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0E32DEC-4E84-440A-9B88-CC92EB42F8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分类目录" sheetId="4" r:id="rId1"/>
    <sheet name="J4-玻璃仪器" sheetId="1" r:id="rId2"/>
    <sheet name="J6-专用物耗" sheetId="8" r:id="rId3"/>
    <sheet name="J8-专用工具" sheetId="9" r:id="rId4"/>
    <sheet name="J7-备品配件" sheetId="7" r:id="rId5"/>
  </sheets>
  <definedNames>
    <definedName name="_xlnm._FilterDatabase" localSheetId="1" hidden="1">'J4-玻璃仪器'!$A$4:$AB$4</definedName>
    <definedName name="_xlnm._FilterDatabase" localSheetId="2" hidden="1">'J6-专用物耗'!$A$3:$AB$3</definedName>
    <definedName name="_xlnm._FilterDatabase" localSheetId="4" hidden="1">'J7-备品配件'!$A$3:$AB$3</definedName>
    <definedName name="_xlnm._FilterDatabase" localSheetId="3" hidden="1">'J8-专用工具'!$A$3:$AB$3</definedName>
    <definedName name="_xlnm.Print_Area" localSheetId="1">'J4-玻璃仪器'!$A$1:$AB$291</definedName>
    <definedName name="_xlnm.Print_Titles" localSheetId="2">'J6-专用物耗'!$1:$3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9" l="1"/>
  <c r="M70" i="9" s="1"/>
  <c r="D71" i="9"/>
  <c r="M71" i="9" s="1"/>
  <c r="D69" i="9"/>
  <c r="M69" i="9" s="1"/>
  <c r="D290" i="1"/>
  <c r="D291" i="1"/>
  <c r="Y525" i="8" l="1"/>
  <c r="X525" i="8"/>
  <c r="U525" i="8"/>
  <c r="D525" i="8"/>
  <c r="M525" i="8" s="1"/>
  <c r="X281" i="7" l="1"/>
  <c r="Y280" i="7"/>
  <c r="X280" i="7"/>
  <c r="U280" i="7"/>
  <c r="Y524" i="8" l="1"/>
  <c r="X524" i="8"/>
  <c r="U524" i="8"/>
  <c r="D524" i="8"/>
  <c r="M524" i="8" s="1"/>
  <c r="Y523" i="8" l="1"/>
  <c r="X523" i="8"/>
  <c r="U523" i="8"/>
  <c r="D523" i="8"/>
  <c r="M523" i="8" s="1"/>
  <c r="Y522" i="8" l="1"/>
  <c r="X522" i="8"/>
  <c r="U522" i="8"/>
  <c r="D522" i="8"/>
  <c r="M522" i="8" s="1"/>
  <c r="Y521" i="8"/>
  <c r="X521" i="8"/>
  <c r="U521" i="8"/>
  <c r="D521" i="8"/>
  <c r="M521" i="8" s="1"/>
  <c r="Y520" i="8"/>
  <c r="X520" i="8"/>
  <c r="U520" i="8"/>
  <c r="D520" i="8"/>
  <c r="M520" i="8" s="1"/>
  <c r="Y519" i="8" l="1"/>
  <c r="X519" i="8"/>
  <c r="U519" i="8"/>
  <c r="D519" i="8"/>
  <c r="M519" i="8" s="1"/>
  <c r="U518" i="8" l="1"/>
  <c r="Y518" i="8"/>
  <c r="X518" i="8"/>
  <c r="D518" i="8"/>
  <c r="M518" i="8" s="1"/>
  <c r="X513" i="8" l="1"/>
  <c r="Y517" i="8" l="1"/>
  <c r="X517" i="8"/>
  <c r="U517" i="8"/>
  <c r="D517" i="8"/>
  <c r="M517" i="8" s="1"/>
  <c r="Y516" i="8"/>
  <c r="X516" i="8"/>
  <c r="U516" i="8"/>
  <c r="D516" i="8"/>
  <c r="M516" i="8" s="1"/>
  <c r="Y515" i="8"/>
  <c r="X515" i="8"/>
  <c r="U515" i="8"/>
  <c r="D515" i="8"/>
  <c r="M515" i="8" s="1"/>
  <c r="Y514" i="8"/>
  <c r="X514" i="8"/>
  <c r="U514" i="8"/>
  <c r="D514" i="8"/>
  <c r="M514" i="8" s="1"/>
  <c r="Y513" i="8"/>
  <c r="U513" i="8"/>
  <c r="D513" i="8"/>
  <c r="M513" i="8" s="1"/>
  <c r="Y512" i="8"/>
  <c r="X512" i="8"/>
  <c r="U512" i="8"/>
  <c r="D512" i="8"/>
  <c r="M512" i="8" s="1"/>
  <c r="U275" i="7"/>
  <c r="X275" i="7"/>
  <c r="D275" i="7"/>
  <c r="Y511" i="8"/>
  <c r="X511" i="8"/>
  <c r="U511" i="8"/>
  <c r="D511" i="8"/>
  <c r="M511" i="8" s="1"/>
  <c r="Y288" i="1"/>
  <c r="X288" i="1"/>
  <c r="U288" i="1"/>
  <c r="D288" i="1"/>
  <c r="M288" i="1" s="1"/>
  <c r="Y510" i="8"/>
  <c r="X510" i="8"/>
  <c r="U510" i="8"/>
  <c r="D510" i="8"/>
  <c r="M510" i="8" s="1"/>
  <c r="Y509" i="8"/>
  <c r="X509" i="8"/>
  <c r="U509" i="8"/>
  <c r="D509" i="8"/>
  <c r="M509" i="8" s="1"/>
  <c r="X508" i="8" l="1"/>
  <c r="Y508" i="8" l="1"/>
  <c r="U508" i="8"/>
  <c r="D508" i="8"/>
  <c r="M508" i="8" s="1"/>
  <c r="D287" i="1" l="1"/>
  <c r="Y270" i="7" l="1"/>
  <c r="X270" i="7"/>
  <c r="U270" i="7"/>
  <c r="D270" i="7"/>
  <c r="M270" i="7" s="1"/>
  <c r="Y271" i="7"/>
  <c r="X271" i="7"/>
  <c r="U271" i="7"/>
  <c r="D271" i="7"/>
  <c r="M271" i="7" s="1"/>
  <c r="Y507" i="8"/>
  <c r="X507" i="8"/>
  <c r="U507" i="8"/>
  <c r="D507" i="8"/>
  <c r="M507" i="8" s="1"/>
  <c r="Y506" i="8"/>
  <c r="X506" i="8"/>
  <c r="U506" i="8"/>
  <c r="D506" i="8"/>
  <c r="M506" i="8" s="1"/>
  <c r="Y505" i="8"/>
  <c r="X505" i="8"/>
  <c r="U505" i="8"/>
  <c r="D505" i="8"/>
  <c r="M505" i="8" s="1"/>
  <c r="Y504" i="8"/>
  <c r="X504" i="8"/>
  <c r="U504" i="8"/>
  <c r="D504" i="8"/>
  <c r="M504" i="8" s="1"/>
  <c r="Y503" i="8"/>
  <c r="X503" i="8"/>
  <c r="U503" i="8"/>
  <c r="D503" i="8"/>
  <c r="M503" i="8" s="1"/>
  <c r="Y502" i="8"/>
  <c r="X502" i="8"/>
  <c r="U502" i="8"/>
  <c r="D502" i="8"/>
  <c r="M502" i="8" s="1"/>
  <c r="Y501" i="8"/>
  <c r="X501" i="8"/>
  <c r="U501" i="8"/>
  <c r="D501" i="8"/>
  <c r="M501" i="8" s="1"/>
  <c r="Y500" i="8"/>
  <c r="X500" i="8"/>
  <c r="U500" i="8"/>
  <c r="D500" i="8"/>
  <c r="M500" i="8" s="1"/>
  <c r="Y499" i="8"/>
  <c r="X499" i="8"/>
  <c r="U499" i="8"/>
  <c r="D499" i="8"/>
  <c r="M499" i="8" s="1"/>
  <c r="Y498" i="8"/>
  <c r="X498" i="8"/>
  <c r="U498" i="8"/>
  <c r="D498" i="8"/>
  <c r="M498" i="8" s="1"/>
  <c r="Y497" i="8"/>
  <c r="X497" i="8"/>
  <c r="U497" i="8"/>
  <c r="D497" i="8"/>
  <c r="M497" i="8" s="1"/>
  <c r="Y496" i="8"/>
  <c r="X496" i="8"/>
  <c r="U496" i="8"/>
  <c r="D496" i="8"/>
  <c r="M496" i="8" s="1"/>
  <c r="Y495" i="8"/>
  <c r="X495" i="8"/>
  <c r="U495" i="8"/>
  <c r="D495" i="8"/>
  <c r="M495" i="8" s="1"/>
  <c r="Y494" i="8"/>
  <c r="X494" i="8"/>
  <c r="U494" i="8"/>
  <c r="D494" i="8"/>
  <c r="M494" i="8" s="1"/>
  <c r="Y493" i="8"/>
  <c r="X493" i="8"/>
  <c r="U493" i="8"/>
  <c r="D493" i="8"/>
  <c r="M493" i="8" s="1"/>
  <c r="Y492" i="8"/>
  <c r="X492" i="8"/>
  <c r="U492" i="8"/>
  <c r="D492" i="8"/>
  <c r="M492" i="8" s="1"/>
  <c r="Y491" i="8"/>
  <c r="X491" i="8"/>
  <c r="U491" i="8"/>
  <c r="D491" i="8"/>
  <c r="M491" i="8" s="1"/>
  <c r="Y490" i="8"/>
  <c r="X490" i="8"/>
  <c r="U490" i="8"/>
  <c r="D490" i="8"/>
  <c r="M490" i="8" s="1"/>
  <c r="Y489" i="8"/>
  <c r="X489" i="8"/>
  <c r="U489" i="8"/>
  <c r="D489" i="8"/>
  <c r="M489" i="8" s="1"/>
  <c r="Y488" i="8"/>
  <c r="X488" i="8"/>
  <c r="U488" i="8"/>
  <c r="D488" i="8"/>
  <c r="M488" i="8" s="1"/>
  <c r="Y487" i="8"/>
  <c r="X487" i="8"/>
  <c r="U487" i="8"/>
  <c r="D487" i="8"/>
  <c r="M487" i="8" s="1"/>
  <c r="Y486" i="8"/>
  <c r="X486" i="8"/>
  <c r="U486" i="8"/>
  <c r="D486" i="8"/>
  <c r="M486" i="8" s="1"/>
  <c r="Y485" i="8"/>
  <c r="X485" i="8"/>
  <c r="U485" i="8"/>
  <c r="D485" i="8"/>
  <c r="M485" i="8" s="1"/>
  <c r="Y484" i="8"/>
  <c r="X484" i="8"/>
  <c r="U484" i="8"/>
  <c r="D484" i="8"/>
  <c r="M484" i="8" s="1"/>
  <c r="Y483" i="8"/>
  <c r="X483" i="8"/>
  <c r="U483" i="8"/>
  <c r="D483" i="8"/>
  <c r="M483" i="8" s="1"/>
  <c r="Y482" i="8"/>
  <c r="X482" i="8"/>
  <c r="U482" i="8"/>
  <c r="D482" i="8"/>
  <c r="M482" i="8" s="1"/>
  <c r="Y481" i="8"/>
  <c r="X481" i="8"/>
  <c r="U481" i="8"/>
  <c r="D481" i="8"/>
  <c r="M481" i="8" s="1"/>
  <c r="Y480" i="8"/>
  <c r="X480" i="8"/>
  <c r="U480" i="8"/>
  <c r="D480" i="8"/>
  <c r="M480" i="8" s="1"/>
  <c r="Y479" i="8"/>
  <c r="X479" i="8"/>
  <c r="U479" i="8"/>
  <c r="D479" i="8"/>
  <c r="M479" i="8" s="1"/>
  <c r="Y478" i="8"/>
  <c r="X478" i="8"/>
  <c r="U478" i="8"/>
  <c r="D478" i="8"/>
  <c r="M478" i="8" s="1"/>
  <c r="Y477" i="8"/>
  <c r="X477" i="8"/>
  <c r="U477" i="8"/>
  <c r="D477" i="8"/>
  <c r="M477" i="8" s="1"/>
  <c r="Y476" i="8"/>
  <c r="X476" i="8"/>
  <c r="U476" i="8"/>
  <c r="D476" i="8"/>
  <c r="M476" i="8" s="1"/>
  <c r="Y475" i="8"/>
  <c r="X475" i="8"/>
  <c r="U475" i="8"/>
  <c r="D475" i="8"/>
  <c r="M475" i="8" s="1"/>
  <c r="Y286" i="1" l="1"/>
  <c r="X286" i="1"/>
  <c r="U286" i="1"/>
  <c r="D286" i="1"/>
  <c r="M286" i="1" s="1"/>
  <c r="Y285" i="1"/>
  <c r="X285" i="1"/>
  <c r="U285" i="1"/>
  <c r="D285" i="1"/>
  <c r="M285" i="1" s="1"/>
  <c r="X468" i="8" l="1"/>
  <c r="X451" i="8" l="1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9" i="8"/>
  <c r="X470" i="8"/>
  <c r="X471" i="8"/>
  <c r="X472" i="8"/>
  <c r="X473" i="8"/>
  <c r="X450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T268" i="8" l="1"/>
  <c r="X111" i="8"/>
  <c r="Y111" i="8"/>
  <c r="U111" i="8"/>
  <c r="X168" i="1"/>
  <c r="X107" i="7" l="1"/>
  <c r="Y107" i="7"/>
  <c r="X108" i="7"/>
  <c r="Y108" i="7"/>
  <c r="X109" i="7"/>
  <c r="Y109" i="7"/>
  <c r="X110" i="7"/>
  <c r="Y110" i="7"/>
  <c r="X111" i="7"/>
  <c r="Y111" i="7"/>
  <c r="X112" i="7"/>
  <c r="Y112" i="7"/>
  <c r="X113" i="7"/>
  <c r="Y113" i="7"/>
  <c r="X114" i="7"/>
  <c r="Y114" i="7"/>
  <c r="X115" i="7"/>
  <c r="Y115" i="7"/>
  <c r="X116" i="7"/>
  <c r="Y116" i="7"/>
  <c r="X117" i="7"/>
  <c r="Y117" i="7"/>
  <c r="X118" i="7"/>
  <c r="Y118" i="7"/>
  <c r="X119" i="7"/>
  <c r="Y119" i="7"/>
  <c r="X120" i="7"/>
  <c r="Y120" i="7"/>
  <c r="X121" i="7"/>
  <c r="Y121" i="7"/>
  <c r="X122" i="7"/>
  <c r="Y122" i="7"/>
  <c r="X123" i="7"/>
  <c r="Y123" i="7"/>
  <c r="X124" i="7"/>
  <c r="Y124" i="7"/>
  <c r="X125" i="7"/>
  <c r="Y125" i="7"/>
  <c r="X126" i="7"/>
  <c r="Y126" i="7"/>
  <c r="X127" i="7"/>
  <c r="Y127" i="7"/>
  <c r="X128" i="7"/>
  <c r="Y128" i="7"/>
  <c r="X129" i="7"/>
  <c r="Y129" i="7"/>
  <c r="X130" i="7"/>
  <c r="Y130" i="7"/>
  <c r="X131" i="7"/>
  <c r="Y131" i="7"/>
  <c r="X132" i="7"/>
  <c r="Y132" i="7"/>
  <c r="X133" i="7"/>
  <c r="Y133" i="7"/>
  <c r="X134" i="7"/>
  <c r="Y134" i="7"/>
  <c r="X135" i="7"/>
  <c r="Y135" i="7"/>
  <c r="X136" i="7"/>
  <c r="Y136" i="7"/>
  <c r="X137" i="7"/>
  <c r="Y137" i="7"/>
  <c r="X138" i="7"/>
  <c r="Y138" i="7"/>
  <c r="X139" i="7"/>
  <c r="Y139" i="7"/>
  <c r="X140" i="7"/>
  <c r="Y140" i="7"/>
  <c r="X141" i="7"/>
  <c r="Y141" i="7"/>
  <c r="X142" i="7"/>
  <c r="Y142" i="7"/>
  <c r="X143" i="7"/>
  <c r="Y143" i="7"/>
  <c r="X144" i="7"/>
  <c r="Y144" i="7"/>
  <c r="X145" i="7"/>
  <c r="Y145" i="7"/>
  <c r="Y266" i="7"/>
  <c r="X266" i="7"/>
  <c r="U266" i="7"/>
  <c r="M266" i="7"/>
  <c r="Y265" i="7"/>
  <c r="X265" i="7"/>
  <c r="U265" i="7"/>
  <c r="M265" i="7"/>
  <c r="Y264" i="7"/>
  <c r="X264" i="7"/>
  <c r="U264" i="7"/>
  <c r="M264" i="7"/>
  <c r="Y263" i="7"/>
  <c r="X263" i="7"/>
  <c r="U263" i="7"/>
  <c r="M263" i="7"/>
  <c r="Y262" i="7"/>
  <c r="X262" i="7"/>
  <c r="U262" i="7"/>
  <c r="M262" i="7"/>
  <c r="Y261" i="7"/>
  <c r="X261" i="7"/>
  <c r="U261" i="7"/>
  <c r="M261" i="7"/>
  <c r="Y260" i="7"/>
  <c r="X260" i="7"/>
  <c r="U260" i="7"/>
  <c r="M260" i="7"/>
  <c r="Y259" i="7"/>
  <c r="X259" i="7"/>
  <c r="U259" i="7"/>
  <c r="M259" i="7"/>
  <c r="Y258" i="7"/>
  <c r="X258" i="7"/>
  <c r="U258" i="7"/>
  <c r="M258" i="7"/>
  <c r="Y257" i="7"/>
  <c r="X257" i="7"/>
  <c r="U257" i="7"/>
  <c r="M257" i="7"/>
  <c r="Y256" i="7"/>
  <c r="X256" i="7"/>
  <c r="U256" i="7"/>
  <c r="M256" i="7"/>
  <c r="Y255" i="7"/>
  <c r="X255" i="7"/>
  <c r="U255" i="7"/>
  <c r="M255" i="7"/>
  <c r="Y254" i="7"/>
  <c r="X254" i="7"/>
  <c r="U254" i="7"/>
  <c r="M254" i="7"/>
  <c r="Y253" i="7"/>
  <c r="X253" i="7"/>
  <c r="U253" i="7"/>
  <c r="M253" i="7"/>
  <c r="Y252" i="7"/>
  <c r="X252" i="7"/>
  <c r="U252" i="7"/>
  <c r="M252" i="7"/>
  <c r="D470" i="8" l="1"/>
  <c r="M470" i="8" s="1"/>
  <c r="U470" i="8"/>
  <c r="Y470" i="8"/>
  <c r="D306" i="8"/>
  <c r="M306" i="8" s="1"/>
  <c r="U306" i="8"/>
  <c r="X306" i="8"/>
  <c r="Y306" i="8"/>
  <c r="D307" i="8"/>
  <c r="M307" i="8" s="1"/>
  <c r="U307" i="8"/>
  <c r="X307" i="8"/>
  <c r="Y307" i="8"/>
  <c r="D209" i="8"/>
  <c r="M209" i="8" s="1"/>
  <c r="U209" i="8"/>
  <c r="X209" i="8"/>
  <c r="Y209" i="8"/>
  <c r="D210" i="8"/>
  <c r="M210" i="8" s="1"/>
  <c r="U210" i="8"/>
  <c r="X210" i="8"/>
  <c r="Y210" i="8"/>
  <c r="D211" i="8"/>
  <c r="M211" i="8" s="1"/>
  <c r="U211" i="8"/>
  <c r="X211" i="8"/>
  <c r="Y211" i="8"/>
  <c r="D212" i="8"/>
  <c r="M212" i="8" s="1"/>
  <c r="U212" i="8"/>
  <c r="X212" i="8"/>
  <c r="Y212" i="8"/>
  <c r="D213" i="8"/>
  <c r="M213" i="8" s="1"/>
  <c r="U213" i="8"/>
  <c r="X213" i="8"/>
  <c r="Y213" i="8"/>
  <c r="D214" i="8"/>
  <c r="M214" i="8" s="1"/>
  <c r="U214" i="8"/>
  <c r="X214" i="8"/>
  <c r="Y214" i="8"/>
  <c r="D215" i="8"/>
  <c r="M215" i="8" s="1"/>
  <c r="U215" i="8"/>
  <c r="X215" i="8"/>
  <c r="Y215" i="8"/>
  <c r="D216" i="8"/>
  <c r="M216" i="8" s="1"/>
  <c r="U216" i="8"/>
  <c r="X216" i="8"/>
  <c r="Y216" i="8"/>
  <c r="D217" i="8"/>
  <c r="M217" i="8" s="1"/>
  <c r="U217" i="8"/>
  <c r="X217" i="8"/>
  <c r="Y217" i="8"/>
  <c r="D218" i="8"/>
  <c r="M218" i="8" s="1"/>
  <c r="U218" i="8"/>
  <c r="X218" i="8"/>
  <c r="Y218" i="8"/>
  <c r="D219" i="8"/>
  <c r="M219" i="8" s="1"/>
  <c r="U219" i="8"/>
  <c r="X219" i="8"/>
  <c r="Y219" i="8"/>
  <c r="D220" i="8"/>
  <c r="M220" i="8" s="1"/>
  <c r="U220" i="8"/>
  <c r="X220" i="8"/>
  <c r="Y220" i="8"/>
  <c r="Y473" i="8" l="1"/>
  <c r="U473" i="8"/>
  <c r="D473" i="8"/>
  <c r="M473" i="8" s="1"/>
  <c r="Y140" i="8"/>
  <c r="X140" i="8"/>
  <c r="U140" i="8"/>
  <c r="D140" i="8"/>
  <c r="M140" i="8" s="1"/>
  <c r="D471" i="8" l="1"/>
  <c r="D251" i="7" l="1"/>
  <c r="U250" i="7"/>
  <c r="X250" i="7"/>
  <c r="Y250" i="7"/>
  <c r="D250" i="7"/>
  <c r="M250" i="7" s="1"/>
  <c r="U249" i="7"/>
  <c r="X249" i="7"/>
  <c r="Y249" i="7"/>
  <c r="D249" i="7"/>
  <c r="M249" i="7" s="1"/>
  <c r="Y246" i="7" l="1"/>
  <c r="X246" i="7"/>
  <c r="U246" i="7"/>
  <c r="D246" i="7"/>
  <c r="M246" i="7" s="1"/>
  <c r="Y248" i="7"/>
  <c r="X248" i="7"/>
  <c r="U248" i="7"/>
  <c r="D248" i="7"/>
  <c r="M248" i="7" s="1"/>
  <c r="Y247" i="7"/>
  <c r="X247" i="7"/>
  <c r="U247" i="7"/>
  <c r="D247" i="7"/>
  <c r="M247" i="7" s="1"/>
  <c r="Y244" i="7"/>
  <c r="Y245" i="7"/>
  <c r="D245" i="7"/>
  <c r="D244" i="7"/>
  <c r="U62" i="9" l="1"/>
  <c r="U63" i="9"/>
  <c r="U65" i="9"/>
  <c r="U66" i="9"/>
  <c r="U67" i="9"/>
  <c r="U68" i="9"/>
  <c r="U69" i="9"/>
  <c r="U70" i="9"/>
  <c r="U71" i="9"/>
  <c r="U72" i="9"/>
  <c r="U73" i="9"/>
  <c r="U74" i="9"/>
  <c r="U75" i="9"/>
  <c r="Y62" i="9"/>
  <c r="Y63" i="9"/>
  <c r="Y65" i="9"/>
  <c r="Y66" i="9"/>
  <c r="Y67" i="9"/>
  <c r="Y68" i="9"/>
  <c r="Y69" i="9"/>
  <c r="Y70" i="9"/>
  <c r="Y71" i="9"/>
  <c r="Y72" i="9"/>
  <c r="Y73" i="9"/>
  <c r="Y74" i="9"/>
  <c r="Y75" i="9"/>
  <c r="Y76" i="9"/>
  <c r="D63" i="9"/>
  <c r="D65" i="9"/>
  <c r="D62" i="9"/>
  <c r="D243" i="7"/>
  <c r="D464" i="8"/>
  <c r="M464" i="8" s="1"/>
  <c r="D465" i="8"/>
  <c r="M465" i="8" s="1"/>
  <c r="D466" i="8"/>
  <c r="M466" i="8" s="1"/>
  <c r="D467" i="8"/>
  <c r="M467" i="8" s="1"/>
  <c r="D468" i="8"/>
  <c r="M468" i="8" s="1"/>
  <c r="D469" i="8"/>
  <c r="M469" i="8" s="1"/>
  <c r="D472" i="8"/>
  <c r="M472" i="8" s="1"/>
  <c r="U472" i="8"/>
  <c r="Y472" i="8"/>
  <c r="D463" i="8"/>
  <c r="M463" i="8" s="1"/>
  <c r="U461" i="8"/>
  <c r="U462" i="8"/>
  <c r="U463" i="8"/>
  <c r="U464" i="8"/>
  <c r="U465" i="8"/>
  <c r="U466" i="8"/>
  <c r="U467" i="8"/>
  <c r="U468" i="8"/>
  <c r="U469" i="8"/>
  <c r="U471" i="8"/>
  <c r="U453" i="8"/>
  <c r="U454" i="8"/>
  <c r="U455" i="8"/>
  <c r="U456" i="8"/>
  <c r="U457" i="8"/>
  <c r="U458" i="8"/>
  <c r="U459" i="8"/>
  <c r="U460" i="8"/>
  <c r="D461" i="8"/>
  <c r="M461" i="8" s="1"/>
  <c r="D462" i="8"/>
  <c r="M462" i="8" s="1"/>
  <c r="D459" i="8"/>
  <c r="M459" i="8" s="1"/>
  <c r="D460" i="8"/>
  <c r="M460" i="8" s="1"/>
  <c r="Y459" i="8"/>
  <c r="Y460" i="8"/>
  <c r="Y461" i="8"/>
  <c r="Y462" i="8"/>
  <c r="Y463" i="8"/>
  <c r="Y464" i="8"/>
  <c r="Y465" i="8"/>
  <c r="Y466" i="8"/>
  <c r="Y467" i="8"/>
  <c r="Y468" i="8"/>
  <c r="Y469" i="8"/>
  <c r="Y471" i="8"/>
  <c r="M471" i="8"/>
  <c r="D447" i="8"/>
  <c r="M447" i="8" s="1"/>
  <c r="D448" i="8"/>
  <c r="M448" i="8" s="1"/>
  <c r="D449" i="8"/>
  <c r="M449" i="8" s="1"/>
  <c r="D450" i="8"/>
  <c r="M450" i="8" s="1"/>
  <c r="D451" i="8"/>
  <c r="M451" i="8" s="1"/>
  <c r="D452" i="8"/>
  <c r="M452" i="8" s="1"/>
  <c r="D453" i="8"/>
  <c r="M453" i="8" s="1"/>
  <c r="D454" i="8"/>
  <c r="M454" i="8" s="1"/>
  <c r="D455" i="8"/>
  <c r="M455" i="8" s="1"/>
  <c r="D456" i="8"/>
  <c r="M456" i="8" s="1"/>
  <c r="D457" i="8"/>
  <c r="M457" i="8" s="1"/>
  <c r="D458" i="8"/>
  <c r="M458" i="8" s="1"/>
  <c r="Y458" i="8"/>
  <c r="Y457" i="8"/>
  <c r="Y456" i="8"/>
  <c r="D283" i="1"/>
  <c r="Y455" i="8"/>
  <c r="D282" i="1"/>
  <c r="U449" i="8"/>
  <c r="Y449" i="8"/>
  <c r="U450" i="8"/>
  <c r="Y450" i="8"/>
  <c r="U451" i="8"/>
  <c r="Y451" i="8"/>
  <c r="U452" i="8"/>
  <c r="Y452" i="8"/>
  <c r="Y453" i="8"/>
  <c r="Y454" i="8"/>
  <c r="Y448" i="8"/>
  <c r="U448" i="8"/>
  <c r="U447" i="8" l="1"/>
  <c r="Y447" i="8"/>
  <c r="U446" i="8" l="1"/>
  <c r="Y446" i="8"/>
  <c r="D446" i="8"/>
  <c r="M446" i="8" s="1"/>
  <c r="Y445" i="8" l="1"/>
  <c r="U445" i="8"/>
  <c r="D445" i="8"/>
  <c r="M445" i="8" s="1"/>
  <c r="Y444" i="8"/>
  <c r="U444" i="8"/>
  <c r="D444" i="8"/>
  <c r="M444" i="8" s="1"/>
  <c r="Y443" i="8"/>
  <c r="U443" i="8"/>
  <c r="D443" i="8"/>
  <c r="M443" i="8" s="1"/>
  <c r="Y442" i="8"/>
  <c r="U442" i="8"/>
  <c r="D442" i="8"/>
  <c r="M442" i="8" s="1"/>
  <c r="Y397" i="8" l="1"/>
  <c r="X397" i="8"/>
  <c r="U397" i="8"/>
  <c r="D397" i="8"/>
  <c r="M397" i="8" s="1"/>
  <c r="Y396" i="8"/>
  <c r="X396" i="8"/>
  <c r="U396" i="8"/>
  <c r="D396" i="8"/>
  <c r="M396" i="8" s="1"/>
  <c r="Y395" i="8"/>
  <c r="X395" i="8"/>
  <c r="U395" i="8"/>
  <c r="D395" i="8"/>
  <c r="M395" i="8" s="1"/>
  <c r="Y394" i="8"/>
  <c r="X394" i="8"/>
  <c r="U394" i="8"/>
  <c r="D394" i="8"/>
  <c r="M394" i="8" s="1"/>
  <c r="Y393" i="8"/>
  <c r="X393" i="8"/>
  <c r="U393" i="8"/>
  <c r="D393" i="8"/>
  <c r="M393" i="8" s="1"/>
  <c r="Y392" i="8"/>
  <c r="X392" i="8"/>
  <c r="U392" i="8"/>
  <c r="D392" i="8"/>
  <c r="M392" i="8" s="1"/>
  <c r="Y391" i="8"/>
  <c r="X391" i="8"/>
  <c r="U391" i="8"/>
  <c r="D391" i="8"/>
  <c r="M391" i="8" s="1"/>
  <c r="Y390" i="8"/>
  <c r="X390" i="8"/>
  <c r="U390" i="8"/>
  <c r="D390" i="8"/>
  <c r="M390" i="8" s="1"/>
  <c r="Y368" i="8"/>
  <c r="X368" i="8"/>
  <c r="U368" i="8"/>
  <c r="D368" i="8"/>
  <c r="M368" i="8" s="1"/>
  <c r="Y286" i="8"/>
  <c r="X286" i="8"/>
  <c r="U286" i="8"/>
  <c r="D286" i="8"/>
  <c r="M286" i="8" s="1"/>
  <c r="Y174" i="8"/>
  <c r="X174" i="8"/>
  <c r="U174" i="8"/>
  <c r="D174" i="8"/>
  <c r="M174" i="8" s="1"/>
  <c r="Y54" i="8"/>
  <c r="X54" i="8"/>
  <c r="U54" i="8"/>
  <c r="D54" i="8"/>
  <c r="M54" i="8" s="1"/>
  <c r="Y52" i="8"/>
  <c r="X52" i="8"/>
  <c r="U52" i="8"/>
  <c r="D52" i="8"/>
  <c r="M52" i="8" s="1"/>
  <c r="Y18" i="8"/>
  <c r="X18" i="8"/>
  <c r="U18" i="8"/>
  <c r="D18" i="8"/>
  <c r="M18" i="8" s="1"/>
  <c r="D17" i="8"/>
  <c r="M17" i="8" s="1"/>
  <c r="U17" i="8"/>
  <c r="X17" i="8"/>
  <c r="Y17" i="8"/>
  <c r="Y176" i="1"/>
  <c r="X176" i="1"/>
  <c r="U176" i="1"/>
  <c r="D176" i="1"/>
  <c r="M176" i="1" s="1"/>
  <c r="D127" i="1"/>
  <c r="M127" i="1" s="1"/>
  <c r="Y127" i="1"/>
  <c r="X127" i="1"/>
  <c r="Y100" i="1"/>
  <c r="U100" i="1"/>
  <c r="X100" i="1"/>
  <c r="D100" i="1"/>
  <c r="M100" i="1" s="1"/>
  <c r="Y240" i="7" l="1"/>
  <c r="X240" i="7"/>
  <c r="U240" i="7"/>
  <c r="D240" i="7"/>
  <c r="M240" i="7" s="1"/>
  <c r="D242" i="7"/>
  <c r="M242" i="7" s="1"/>
  <c r="D241" i="7"/>
  <c r="M241" i="7" s="1"/>
  <c r="Y242" i="7"/>
  <c r="X242" i="7"/>
  <c r="U242" i="7"/>
  <c r="Y241" i="7"/>
  <c r="X241" i="7"/>
  <c r="U241" i="7"/>
  <c r="X265" i="1" l="1"/>
  <c r="X266" i="1"/>
  <c r="X267" i="1"/>
  <c r="X268" i="1"/>
  <c r="X269" i="1"/>
  <c r="X270" i="1"/>
  <c r="X69" i="1"/>
  <c r="X70" i="1"/>
  <c r="X71" i="1"/>
  <c r="X72" i="1"/>
  <c r="X73" i="1"/>
  <c r="X74" i="1"/>
  <c r="X45" i="1"/>
  <c r="X46" i="1"/>
  <c r="X47" i="1"/>
  <c r="X48" i="1"/>
  <c r="X49" i="1"/>
  <c r="X50" i="1"/>
  <c r="X51" i="1"/>
  <c r="X52" i="1"/>
  <c r="X53" i="1"/>
  <c r="X38" i="1"/>
  <c r="X39" i="1"/>
  <c r="X40" i="1"/>
  <c r="X41" i="1"/>
  <c r="X42" i="1"/>
  <c r="X43" i="1"/>
  <c r="X26" i="1"/>
  <c r="X27" i="1"/>
  <c r="X28" i="1"/>
  <c r="X29" i="1"/>
  <c r="X30" i="1"/>
  <c r="X31" i="1"/>
  <c r="X32" i="1"/>
  <c r="X33" i="1"/>
  <c r="X11" i="1"/>
  <c r="X434" i="8"/>
  <c r="X435" i="8"/>
  <c r="X436" i="8"/>
  <c r="X437" i="8"/>
  <c r="X428" i="8"/>
  <c r="X429" i="8"/>
  <c r="X430" i="8"/>
  <c r="X431" i="8"/>
  <c r="X432" i="8"/>
  <c r="X425" i="8"/>
  <c r="X422" i="8"/>
  <c r="X423" i="8"/>
  <c r="X424" i="8"/>
  <c r="X419" i="8"/>
  <c r="X420" i="8"/>
  <c r="X372" i="8"/>
  <c r="X373" i="8"/>
  <c r="X374" i="8"/>
  <c r="X375" i="8"/>
  <c r="X376" i="8"/>
  <c r="X377" i="8"/>
  <c r="X363" i="8"/>
  <c r="X364" i="8"/>
  <c r="X365" i="8"/>
  <c r="X345" i="8"/>
  <c r="X346" i="8"/>
  <c r="X347" i="8"/>
  <c r="X348" i="8"/>
  <c r="X349" i="8"/>
  <c r="X350" i="8"/>
  <c r="X351" i="8"/>
  <c r="X352" i="8"/>
  <c r="X353" i="8"/>
  <c r="X354" i="8"/>
  <c r="X355" i="8"/>
  <c r="X336" i="8"/>
  <c r="X337" i="8"/>
  <c r="X338" i="8"/>
  <c r="X339" i="8"/>
  <c r="X340" i="8"/>
  <c r="X341" i="8"/>
  <c r="X342" i="8"/>
  <c r="X343" i="8"/>
  <c r="X320" i="8"/>
  <c r="X321" i="8"/>
  <c r="X322" i="8"/>
  <c r="X323" i="8"/>
  <c r="X324" i="8"/>
  <c r="X325" i="8"/>
  <c r="X312" i="8"/>
  <c r="X313" i="8"/>
  <c r="X314" i="8"/>
  <c r="X315" i="8"/>
  <c r="X316" i="8"/>
  <c r="X317" i="8"/>
  <c r="X310" i="8"/>
  <c r="X304" i="8"/>
  <c r="X305" i="8"/>
  <c r="X294" i="8"/>
  <c r="X295" i="8"/>
  <c r="X296" i="8"/>
  <c r="X297" i="8"/>
  <c r="X298" i="8"/>
  <c r="X299" i="8"/>
  <c r="X300" i="8"/>
  <c r="X301" i="8"/>
  <c r="X302" i="8"/>
  <c r="X303" i="8"/>
  <c r="X281" i="8"/>
  <c r="X282" i="8"/>
  <c r="X283" i="8"/>
  <c r="X284" i="8"/>
  <c r="X266" i="8"/>
  <c r="X267" i="8"/>
  <c r="X268" i="8"/>
  <c r="X269" i="8"/>
  <c r="X270" i="8"/>
  <c r="X271" i="8"/>
  <c r="X272" i="8"/>
  <c r="X273" i="8"/>
  <c r="X274" i="8"/>
  <c r="X275" i="8"/>
  <c r="X259" i="8"/>
  <c r="X260" i="8"/>
  <c r="X261" i="8"/>
  <c r="X262" i="8"/>
  <c r="X263" i="8"/>
  <c r="X264" i="8"/>
  <c r="X252" i="8"/>
  <c r="X253" i="8"/>
  <c r="X254" i="8"/>
  <c r="X255" i="8"/>
  <c r="X256" i="8"/>
  <c r="X257" i="8"/>
  <c r="X242" i="8"/>
  <c r="X243" i="8"/>
  <c r="X244" i="8"/>
  <c r="X245" i="8"/>
  <c r="X246" i="8"/>
  <c r="X247" i="8"/>
  <c r="X248" i="8"/>
  <c r="X249" i="8"/>
  <c r="X250" i="8"/>
  <c r="X234" i="8"/>
  <c r="X235" i="8"/>
  <c r="X236" i="8"/>
  <c r="X237" i="8"/>
  <c r="X238" i="8"/>
  <c r="X239" i="8"/>
  <c r="X240" i="8"/>
  <c r="X94" i="8"/>
  <c r="X95" i="8"/>
  <c r="X96" i="8"/>
  <c r="X97" i="8"/>
  <c r="X98" i="8"/>
  <c r="X78" i="8"/>
  <c r="X79" i="8"/>
  <c r="X80" i="8"/>
  <c r="X81" i="8"/>
  <c r="X82" i="8"/>
  <c r="X83" i="8"/>
  <c r="X84" i="8"/>
  <c r="X71" i="8"/>
  <c r="X72" i="8"/>
  <c r="X73" i="8"/>
  <c r="X11" i="8"/>
  <c r="X12" i="8"/>
  <c r="X13" i="8"/>
  <c r="X14" i="8"/>
  <c r="X15" i="8"/>
  <c r="X7" i="8"/>
  <c r="X8" i="8"/>
  <c r="X9" i="8"/>
  <c r="Y277" i="8" l="1"/>
  <c r="U277" i="8"/>
  <c r="U441" i="8" l="1"/>
  <c r="Y441" i="8"/>
  <c r="D441" i="8"/>
  <c r="M441" i="8" s="1"/>
  <c r="U227" i="8" l="1"/>
  <c r="U92" i="7" l="1"/>
  <c r="Y92" i="7"/>
  <c r="X92" i="7"/>
  <c r="D92" i="7"/>
  <c r="M92" i="7" s="1"/>
  <c r="U198" i="7"/>
  <c r="Y198" i="7"/>
  <c r="X198" i="7"/>
  <c r="D198" i="7"/>
  <c r="M198" i="7" s="1"/>
  <c r="U139" i="7"/>
  <c r="U138" i="7"/>
  <c r="D139" i="7"/>
  <c r="M139" i="7" s="1"/>
  <c r="D138" i="7"/>
  <c r="M138" i="7" s="1"/>
  <c r="Y432" i="8" l="1"/>
  <c r="D440" i="8"/>
  <c r="M440" i="8" s="1"/>
  <c r="U440" i="8"/>
  <c r="Y440" i="8"/>
  <c r="D439" i="8" l="1"/>
  <c r="M439" i="8" s="1"/>
  <c r="U439" i="8"/>
  <c r="Y439" i="8"/>
  <c r="U433" i="8" l="1"/>
  <c r="U438" i="8" l="1"/>
  <c r="Y438" i="8"/>
  <c r="D438" i="8"/>
  <c r="M438" i="8" s="1"/>
  <c r="Y436" i="8" l="1"/>
  <c r="U436" i="8"/>
  <c r="D436" i="8"/>
  <c r="M436" i="8" s="1"/>
  <c r="Y435" i="8" l="1"/>
  <c r="U435" i="8"/>
  <c r="D435" i="8"/>
  <c r="M435" i="8" s="1"/>
  <c r="U437" i="8" l="1"/>
  <c r="Y437" i="8"/>
  <c r="D437" i="8"/>
  <c r="M437" i="8" s="1"/>
  <c r="U378" i="8" l="1"/>
  <c r="Y434" i="8" l="1"/>
  <c r="U434" i="8"/>
  <c r="D434" i="8"/>
  <c r="M434" i="8" s="1"/>
  <c r="Y433" i="8"/>
  <c r="X433" i="8"/>
  <c r="D433" i="8"/>
  <c r="M433" i="8" s="1"/>
  <c r="D432" i="8" l="1"/>
  <c r="M432" i="8" s="1"/>
  <c r="U432" i="8"/>
  <c r="Y431" i="8" l="1"/>
  <c r="U431" i="8"/>
  <c r="D431" i="8"/>
  <c r="M431" i="8" s="1"/>
  <c r="Y430" i="8" l="1"/>
  <c r="U430" i="8"/>
  <c r="D430" i="8"/>
  <c r="M430" i="8" s="1"/>
  <c r="U321" i="8" l="1"/>
  <c r="U429" i="8" l="1"/>
  <c r="Y429" i="8"/>
  <c r="D429" i="8"/>
  <c r="M429" i="8" s="1"/>
  <c r="U428" i="8" l="1"/>
  <c r="Y428" i="8"/>
  <c r="D428" i="8"/>
  <c r="M428" i="8" s="1"/>
  <c r="Y427" i="8" l="1"/>
  <c r="X427" i="8"/>
  <c r="U427" i="8"/>
  <c r="D427" i="8"/>
  <c r="M427" i="8" s="1"/>
  <c r="Y426" i="8" l="1"/>
  <c r="X426" i="8"/>
  <c r="U426" i="8"/>
  <c r="D426" i="8"/>
  <c r="M426" i="8" s="1"/>
  <c r="Y425" i="8" l="1"/>
  <c r="U425" i="8"/>
  <c r="D425" i="8"/>
  <c r="M425" i="8" s="1"/>
  <c r="Y424" i="8" l="1"/>
  <c r="U424" i="8"/>
  <c r="D424" i="8"/>
  <c r="M424" i="8" s="1"/>
  <c r="D423" i="8" l="1"/>
  <c r="M423" i="8" s="1"/>
  <c r="U423" i="8"/>
  <c r="Y423" i="8"/>
  <c r="Y422" i="8" l="1"/>
  <c r="U422" i="8"/>
  <c r="D422" i="8"/>
  <c r="M422" i="8" s="1"/>
  <c r="Y421" i="8"/>
  <c r="X421" i="8"/>
  <c r="U421" i="8"/>
  <c r="D421" i="8"/>
  <c r="M421" i="8" s="1"/>
  <c r="Y420" i="8"/>
  <c r="U420" i="8"/>
  <c r="D420" i="8"/>
  <c r="M420" i="8" s="1"/>
  <c r="Y419" i="8"/>
  <c r="U419" i="8"/>
  <c r="D419" i="8"/>
  <c r="M419" i="8" s="1"/>
  <c r="Y418" i="8" l="1"/>
  <c r="X418" i="8"/>
  <c r="U418" i="8"/>
  <c r="D418" i="8"/>
  <c r="M418" i="8" s="1"/>
  <c r="Y68" i="7" l="1"/>
  <c r="X68" i="7"/>
  <c r="U68" i="7"/>
  <c r="D68" i="7"/>
  <c r="M68" i="7" s="1"/>
  <c r="Y67" i="7"/>
  <c r="X67" i="7"/>
  <c r="U67" i="7"/>
  <c r="D67" i="7"/>
  <c r="M67" i="7" s="1"/>
  <c r="Y66" i="7"/>
  <c r="X66" i="7"/>
  <c r="U66" i="7"/>
  <c r="D66" i="7"/>
  <c r="M66" i="7" s="1"/>
  <c r="Y65" i="7"/>
  <c r="X65" i="7"/>
  <c r="U65" i="7"/>
  <c r="D65" i="7"/>
  <c r="M65" i="7" s="1"/>
  <c r="Y45" i="7"/>
  <c r="X45" i="7"/>
  <c r="U45" i="7"/>
  <c r="D45" i="7"/>
  <c r="M45" i="7" s="1"/>
  <c r="Y44" i="7"/>
  <c r="X44" i="7"/>
  <c r="U44" i="7"/>
  <c r="D44" i="7"/>
  <c r="M44" i="7" s="1"/>
  <c r="Y43" i="7"/>
  <c r="U43" i="7"/>
  <c r="D43" i="7"/>
  <c r="M43" i="7" s="1"/>
  <c r="Y42" i="7"/>
  <c r="X42" i="7"/>
  <c r="U42" i="7"/>
  <c r="D42" i="7"/>
  <c r="M42" i="7" s="1"/>
  <c r="Y41" i="7"/>
  <c r="X41" i="7"/>
  <c r="U41" i="7"/>
  <c r="D41" i="7"/>
  <c r="M41" i="7" s="1"/>
  <c r="Y40" i="7"/>
  <c r="X40" i="7"/>
  <c r="U40" i="7"/>
  <c r="D40" i="7"/>
  <c r="M40" i="7" s="1"/>
  <c r="Y39" i="7"/>
  <c r="X39" i="7"/>
  <c r="U39" i="7"/>
  <c r="D39" i="7"/>
  <c r="M39" i="7" s="1"/>
  <c r="Y38" i="7"/>
  <c r="X38" i="7"/>
  <c r="U38" i="7"/>
  <c r="D38" i="7"/>
  <c r="M38" i="7" s="1"/>
  <c r="Y37" i="7"/>
  <c r="X37" i="7"/>
  <c r="U37" i="7"/>
  <c r="D37" i="7"/>
  <c r="M37" i="7" s="1"/>
  <c r="Y36" i="7"/>
  <c r="X36" i="7"/>
  <c r="U36" i="7"/>
  <c r="D36" i="7"/>
  <c r="M36" i="7" s="1"/>
  <c r="Y35" i="7"/>
  <c r="X35" i="7"/>
  <c r="U35" i="7"/>
  <c r="D35" i="7"/>
  <c r="M35" i="7" s="1"/>
  <c r="Y34" i="7"/>
  <c r="X34" i="7"/>
  <c r="U34" i="7"/>
  <c r="D34" i="7"/>
  <c r="M34" i="7" s="1"/>
  <c r="Y33" i="7"/>
  <c r="X33" i="7"/>
  <c r="U33" i="7"/>
  <c r="D33" i="7"/>
  <c r="M33" i="7" s="1"/>
  <c r="Y32" i="7"/>
  <c r="X32" i="7"/>
  <c r="U32" i="7"/>
  <c r="D32" i="7"/>
  <c r="M32" i="7" s="1"/>
  <c r="Y31" i="7"/>
  <c r="X31" i="7"/>
  <c r="U31" i="7"/>
  <c r="D31" i="7"/>
  <c r="M31" i="7" s="1"/>
  <c r="Y27" i="7"/>
  <c r="X27" i="7"/>
  <c r="U27" i="7"/>
  <c r="D27" i="7"/>
  <c r="M27" i="7" s="1"/>
  <c r="U25" i="7"/>
  <c r="Y25" i="7"/>
  <c r="U24" i="7"/>
  <c r="Y24" i="7"/>
  <c r="X25" i="7"/>
  <c r="D25" i="7"/>
  <c r="M25" i="7" s="1"/>
  <c r="X24" i="7"/>
  <c r="D24" i="7"/>
  <c r="M24" i="7" s="1"/>
  <c r="Y23" i="7"/>
  <c r="X23" i="7"/>
  <c r="U23" i="7"/>
  <c r="D23" i="7"/>
  <c r="M23" i="7" s="1"/>
  <c r="Y22" i="7"/>
  <c r="X22" i="7"/>
  <c r="U22" i="7"/>
  <c r="D22" i="7"/>
  <c r="M22" i="7" s="1"/>
  <c r="Y21" i="7"/>
  <c r="X21" i="7"/>
  <c r="U21" i="7"/>
  <c r="D21" i="7"/>
  <c r="M21" i="7" s="1"/>
  <c r="Y435" i="7" l="1"/>
  <c r="X435" i="7"/>
  <c r="U435" i="7"/>
  <c r="D435" i="7"/>
  <c r="M435" i="7" s="1"/>
  <c r="Y434" i="7"/>
  <c r="X434" i="7"/>
  <c r="U434" i="7"/>
  <c r="D434" i="7"/>
  <c r="M434" i="7" s="1"/>
  <c r="Y433" i="7"/>
  <c r="X433" i="7"/>
  <c r="U433" i="7"/>
  <c r="D433" i="7"/>
  <c r="M433" i="7" s="1"/>
  <c r="Y432" i="7"/>
  <c r="X432" i="7"/>
  <c r="U432" i="7"/>
  <c r="D432" i="7"/>
  <c r="M432" i="7" s="1"/>
  <c r="Y431" i="7"/>
  <c r="X431" i="7"/>
  <c r="U431" i="7"/>
  <c r="D431" i="7"/>
  <c r="M431" i="7" s="1"/>
  <c r="Y430" i="7"/>
  <c r="X430" i="7"/>
  <c r="U430" i="7"/>
  <c r="D430" i="7"/>
  <c r="M430" i="7" s="1"/>
  <c r="Y429" i="7"/>
  <c r="X429" i="7"/>
  <c r="U429" i="7"/>
  <c r="D429" i="7"/>
  <c r="M429" i="7" s="1"/>
  <c r="Y428" i="7"/>
  <c r="X428" i="7"/>
  <c r="U428" i="7"/>
  <c r="D428" i="7"/>
  <c r="M428" i="7" s="1"/>
  <c r="Y427" i="7"/>
  <c r="X427" i="7"/>
  <c r="U427" i="7"/>
  <c r="D427" i="7"/>
  <c r="M427" i="7" s="1"/>
  <c r="Y426" i="7"/>
  <c r="X426" i="7"/>
  <c r="U426" i="7"/>
  <c r="D426" i="7"/>
  <c r="M426" i="7" s="1"/>
  <c r="Y425" i="7"/>
  <c r="X425" i="7"/>
  <c r="U425" i="7"/>
  <c r="D425" i="7"/>
  <c r="M425" i="7" s="1"/>
  <c r="Y424" i="7"/>
  <c r="X424" i="7"/>
  <c r="U424" i="7"/>
  <c r="D424" i="7"/>
  <c r="M424" i="7" s="1"/>
  <c r="Y423" i="7"/>
  <c r="X423" i="7"/>
  <c r="U423" i="7"/>
  <c r="D423" i="7"/>
  <c r="M423" i="7" s="1"/>
  <c r="Y422" i="7"/>
  <c r="X422" i="7"/>
  <c r="U422" i="7"/>
  <c r="D422" i="7"/>
  <c r="M422" i="7" s="1"/>
  <c r="Y421" i="7"/>
  <c r="X421" i="7"/>
  <c r="U421" i="7"/>
  <c r="D421" i="7"/>
  <c r="M421" i="7" s="1"/>
  <c r="Y420" i="7"/>
  <c r="X420" i="7"/>
  <c r="U420" i="7"/>
  <c r="D420" i="7"/>
  <c r="M420" i="7" s="1"/>
  <c r="Y419" i="7"/>
  <c r="X419" i="7"/>
  <c r="U419" i="7"/>
  <c r="D419" i="7"/>
  <c r="M419" i="7" s="1"/>
  <c r="Y418" i="7"/>
  <c r="X418" i="7"/>
  <c r="U418" i="7"/>
  <c r="D418" i="7"/>
  <c r="M418" i="7" s="1"/>
  <c r="Y417" i="7"/>
  <c r="X417" i="7"/>
  <c r="U417" i="7"/>
  <c r="D417" i="7"/>
  <c r="M417" i="7" s="1"/>
  <c r="Y416" i="7"/>
  <c r="X416" i="7"/>
  <c r="U416" i="7"/>
  <c r="D416" i="7"/>
  <c r="M416" i="7" s="1"/>
  <c r="Y415" i="7"/>
  <c r="X415" i="7"/>
  <c r="U415" i="7"/>
  <c r="D415" i="7"/>
  <c r="M415" i="7" s="1"/>
  <c r="Y414" i="7"/>
  <c r="X414" i="7"/>
  <c r="U414" i="7"/>
  <c r="D414" i="7"/>
  <c r="M414" i="7" s="1"/>
  <c r="Y413" i="7"/>
  <c r="X413" i="7"/>
  <c r="U413" i="7"/>
  <c r="D413" i="7"/>
  <c r="M413" i="7" s="1"/>
  <c r="Y412" i="7"/>
  <c r="X412" i="7"/>
  <c r="U412" i="7"/>
  <c r="D412" i="7"/>
  <c r="M412" i="7" s="1"/>
  <c r="Y411" i="7"/>
  <c r="X411" i="7"/>
  <c r="U411" i="7"/>
  <c r="D411" i="7"/>
  <c r="M411" i="7" s="1"/>
  <c r="Y410" i="7"/>
  <c r="X410" i="7"/>
  <c r="U410" i="7"/>
  <c r="D410" i="7"/>
  <c r="M410" i="7" s="1"/>
  <c r="Y409" i="7"/>
  <c r="X409" i="7"/>
  <c r="U409" i="7"/>
  <c r="D409" i="7"/>
  <c r="M409" i="7" s="1"/>
  <c r="Y408" i="7"/>
  <c r="X408" i="7"/>
  <c r="U408" i="7"/>
  <c r="D408" i="7"/>
  <c r="M408" i="7" s="1"/>
  <c r="Y407" i="7"/>
  <c r="X407" i="7"/>
  <c r="U407" i="7"/>
  <c r="D407" i="7"/>
  <c r="M407" i="7" s="1"/>
  <c r="Y406" i="7"/>
  <c r="X406" i="7"/>
  <c r="U406" i="7"/>
  <c r="D406" i="7"/>
  <c r="M406" i="7" s="1"/>
  <c r="Y405" i="7"/>
  <c r="X405" i="7"/>
  <c r="U405" i="7"/>
  <c r="D405" i="7"/>
  <c r="M405" i="7" s="1"/>
  <c r="Y404" i="7"/>
  <c r="X404" i="7"/>
  <c r="U404" i="7"/>
  <c r="D404" i="7"/>
  <c r="M404" i="7" s="1"/>
  <c r="Y403" i="7"/>
  <c r="X403" i="7"/>
  <c r="U403" i="7"/>
  <c r="D403" i="7"/>
  <c r="M403" i="7" s="1"/>
  <c r="Y402" i="7"/>
  <c r="X402" i="7"/>
  <c r="U402" i="7"/>
  <c r="D402" i="7"/>
  <c r="M402" i="7" s="1"/>
  <c r="Y401" i="7"/>
  <c r="X401" i="7"/>
  <c r="U401" i="7"/>
  <c r="D401" i="7"/>
  <c r="M401" i="7" s="1"/>
  <c r="Y400" i="7"/>
  <c r="X400" i="7"/>
  <c r="U400" i="7"/>
  <c r="D400" i="7"/>
  <c r="M400" i="7" s="1"/>
  <c r="Y399" i="7"/>
  <c r="X399" i="7"/>
  <c r="U399" i="7"/>
  <c r="D399" i="7"/>
  <c r="M399" i="7" s="1"/>
  <c r="Y398" i="7"/>
  <c r="X398" i="7"/>
  <c r="U398" i="7"/>
  <c r="D398" i="7"/>
  <c r="M398" i="7" s="1"/>
  <c r="Y397" i="7"/>
  <c r="X397" i="7"/>
  <c r="U397" i="7"/>
  <c r="D397" i="7"/>
  <c r="M397" i="7" s="1"/>
  <c r="Y396" i="7"/>
  <c r="X396" i="7"/>
  <c r="U396" i="7"/>
  <c r="D396" i="7"/>
  <c r="M396" i="7" s="1"/>
  <c r="Y395" i="7"/>
  <c r="X395" i="7"/>
  <c r="U395" i="7"/>
  <c r="D395" i="7"/>
  <c r="M395" i="7" s="1"/>
  <c r="Y394" i="7"/>
  <c r="X394" i="7"/>
  <c r="U394" i="7"/>
  <c r="D394" i="7"/>
  <c r="M394" i="7" s="1"/>
  <c r="Y393" i="7"/>
  <c r="X393" i="7"/>
  <c r="U393" i="7"/>
  <c r="D393" i="7"/>
  <c r="M393" i="7" s="1"/>
  <c r="Y392" i="7"/>
  <c r="X392" i="7"/>
  <c r="U392" i="7"/>
  <c r="D392" i="7"/>
  <c r="M392" i="7" s="1"/>
  <c r="Y391" i="7"/>
  <c r="X391" i="7"/>
  <c r="U391" i="7"/>
  <c r="D391" i="7"/>
  <c r="M391" i="7" s="1"/>
  <c r="Y390" i="7"/>
  <c r="X390" i="7"/>
  <c r="U390" i="7"/>
  <c r="D390" i="7"/>
  <c r="M390" i="7" s="1"/>
  <c r="Y389" i="7"/>
  <c r="X389" i="7"/>
  <c r="U389" i="7"/>
  <c r="D389" i="7"/>
  <c r="M389" i="7" s="1"/>
  <c r="Y388" i="7"/>
  <c r="X388" i="7"/>
  <c r="U388" i="7"/>
  <c r="D388" i="7"/>
  <c r="M388" i="7" s="1"/>
  <c r="Y387" i="7"/>
  <c r="X387" i="7"/>
  <c r="U387" i="7"/>
  <c r="D387" i="7"/>
  <c r="M387" i="7" s="1"/>
  <c r="Y386" i="7"/>
  <c r="X386" i="7"/>
  <c r="U386" i="7"/>
  <c r="D386" i="7"/>
  <c r="M386" i="7" s="1"/>
  <c r="Y385" i="7"/>
  <c r="X385" i="7"/>
  <c r="U385" i="7"/>
  <c r="D385" i="7"/>
  <c r="M385" i="7" s="1"/>
  <c r="Y384" i="7"/>
  <c r="X384" i="7"/>
  <c r="U384" i="7"/>
  <c r="D384" i="7"/>
  <c r="M384" i="7" s="1"/>
  <c r="Y383" i="7"/>
  <c r="X383" i="7"/>
  <c r="U383" i="7"/>
  <c r="D383" i="7"/>
  <c r="M383" i="7" s="1"/>
  <c r="Y382" i="7"/>
  <c r="X382" i="7"/>
  <c r="U382" i="7"/>
  <c r="D382" i="7"/>
  <c r="M382" i="7" s="1"/>
  <c r="Y381" i="7"/>
  <c r="X381" i="7"/>
  <c r="U381" i="7"/>
  <c r="D381" i="7"/>
  <c r="M381" i="7" s="1"/>
  <c r="Y380" i="7"/>
  <c r="X380" i="7"/>
  <c r="U380" i="7"/>
  <c r="D380" i="7"/>
  <c r="M380" i="7" s="1"/>
  <c r="Y379" i="7"/>
  <c r="X379" i="7"/>
  <c r="U379" i="7"/>
  <c r="D379" i="7"/>
  <c r="M379" i="7" s="1"/>
  <c r="Y378" i="7"/>
  <c r="X378" i="7"/>
  <c r="U378" i="7"/>
  <c r="D378" i="7"/>
  <c r="M378" i="7" s="1"/>
  <c r="Y377" i="7"/>
  <c r="X377" i="7"/>
  <c r="U377" i="7"/>
  <c r="D377" i="7"/>
  <c r="M377" i="7" s="1"/>
  <c r="Y376" i="7"/>
  <c r="X376" i="7"/>
  <c r="U376" i="7"/>
  <c r="D376" i="7"/>
  <c r="M376" i="7" s="1"/>
  <c r="Y375" i="7"/>
  <c r="X375" i="7"/>
  <c r="U375" i="7"/>
  <c r="D375" i="7"/>
  <c r="M375" i="7" s="1"/>
  <c r="Y374" i="7"/>
  <c r="X374" i="7"/>
  <c r="U374" i="7"/>
  <c r="D374" i="7"/>
  <c r="M374" i="7" s="1"/>
  <c r="Y373" i="7"/>
  <c r="X373" i="7"/>
  <c r="U373" i="7"/>
  <c r="D373" i="7"/>
  <c r="M373" i="7" s="1"/>
  <c r="Y372" i="7"/>
  <c r="X372" i="7"/>
  <c r="U372" i="7"/>
  <c r="D372" i="7"/>
  <c r="M372" i="7" s="1"/>
  <c r="Y371" i="7"/>
  <c r="X371" i="7"/>
  <c r="U371" i="7"/>
  <c r="D371" i="7"/>
  <c r="M371" i="7" s="1"/>
  <c r="Y370" i="7"/>
  <c r="X370" i="7"/>
  <c r="U370" i="7"/>
  <c r="D370" i="7"/>
  <c r="M370" i="7" s="1"/>
  <c r="Y369" i="7"/>
  <c r="X369" i="7"/>
  <c r="U369" i="7"/>
  <c r="D369" i="7"/>
  <c r="M369" i="7" s="1"/>
  <c r="Y368" i="7"/>
  <c r="X368" i="7"/>
  <c r="U368" i="7"/>
  <c r="D368" i="7"/>
  <c r="M368" i="7" s="1"/>
  <c r="Y367" i="7"/>
  <c r="X367" i="7"/>
  <c r="U367" i="7"/>
  <c r="D367" i="7"/>
  <c r="M367" i="7" s="1"/>
  <c r="Y366" i="7"/>
  <c r="X366" i="7"/>
  <c r="U366" i="7"/>
  <c r="D366" i="7"/>
  <c r="M366" i="7" s="1"/>
  <c r="Y365" i="7"/>
  <c r="X365" i="7"/>
  <c r="U365" i="7"/>
  <c r="D365" i="7"/>
  <c r="M365" i="7" s="1"/>
  <c r="Y364" i="7"/>
  <c r="X364" i="7"/>
  <c r="U364" i="7"/>
  <c r="D364" i="7"/>
  <c r="M364" i="7" s="1"/>
  <c r="Y363" i="7"/>
  <c r="X363" i="7"/>
  <c r="U363" i="7"/>
  <c r="D363" i="7"/>
  <c r="M363" i="7" s="1"/>
  <c r="Y362" i="7"/>
  <c r="X362" i="7"/>
  <c r="U362" i="7"/>
  <c r="D362" i="7"/>
  <c r="M362" i="7" s="1"/>
  <c r="Y361" i="7"/>
  <c r="X361" i="7"/>
  <c r="U361" i="7"/>
  <c r="D361" i="7"/>
  <c r="M361" i="7" s="1"/>
  <c r="Y360" i="7"/>
  <c r="X360" i="7"/>
  <c r="U360" i="7"/>
  <c r="D360" i="7"/>
  <c r="M360" i="7" s="1"/>
  <c r="Y359" i="7"/>
  <c r="X359" i="7"/>
  <c r="U359" i="7"/>
  <c r="D359" i="7"/>
  <c r="M359" i="7" s="1"/>
  <c r="Y358" i="7"/>
  <c r="X358" i="7"/>
  <c r="U358" i="7"/>
  <c r="D358" i="7"/>
  <c r="M358" i="7" s="1"/>
  <c r="Y357" i="7"/>
  <c r="X357" i="7"/>
  <c r="U357" i="7"/>
  <c r="D357" i="7"/>
  <c r="M357" i="7" s="1"/>
  <c r="Y356" i="7"/>
  <c r="X356" i="7"/>
  <c r="U356" i="7"/>
  <c r="D356" i="7"/>
  <c r="M356" i="7" s="1"/>
  <c r="Y355" i="7"/>
  <c r="X355" i="7"/>
  <c r="U355" i="7"/>
  <c r="D355" i="7"/>
  <c r="M355" i="7" s="1"/>
  <c r="Y354" i="7"/>
  <c r="X354" i="7"/>
  <c r="U354" i="7"/>
  <c r="D354" i="7"/>
  <c r="M354" i="7" s="1"/>
  <c r="Y353" i="7"/>
  <c r="X353" i="7"/>
  <c r="U353" i="7"/>
  <c r="D353" i="7"/>
  <c r="M353" i="7" s="1"/>
  <c r="Y352" i="7"/>
  <c r="X352" i="7"/>
  <c r="U352" i="7"/>
  <c r="D352" i="7"/>
  <c r="M352" i="7" s="1"/>
  <c r="Y351" i="7"/>
  <c r="X351" i="7"/>
  <c r="U351" i="7"/>
  <c r="D351" i="7"/>
  <c r="M351" i="7" s="1"/>
  <c r="Y350" i="7"/>
  <c r="X350" i="7"/>
  <c r="U350" i="7"/>
  <c r="D350" i="7"/>
  <c r="M350" i="7" s="1"/>
  <c r="Y349" i="7"/>
  <c r="X349" i="7"/>
  <c r="U349" i="7"/>
  <c r="D349" i="7"/>
  <c r="M349" i="7" s="1"/>
  <c r="Y348" i="7"/>
  <c r="X348" i="7"/>
  <c r="U348" i="7"/>
  <c r="D348" i="7"/>
  <c r="M348" i="7" s="1"/>
  <c r="Y347" i="7"/>
  <c r="X347" i="7"/>
  <c r="U347" i="7"/>
  <c r="D347" i="7"/>
  <c r="M347" i="7" s="1"/>
  <c r="Y346" i="7"/>
  <c r="X346" i="7"/>
  <c r="U346" i="7"/>
  <c r="D346" i="7"/>
  <c r="M346" i="7" s="1"/>
  <c r="Y345" i="7"/>
  <c r="X345" i="7"/>
  <c r="U345" i="7"/>
  <c r="D345" i="7"/>
  <c r="M345" i="7" s="1"/>
  <c r="Y344" i="7"/>
  <c r="X344" i="7"/>
  <c r="U344" i="7"/>
  <c r="D344" i="7"/>
  <c r="M344" i="7" s="1"/>
  <c r="Y343" i="7"/>
  <c r="X343" i="7"/>
  <c r="U343" i="7"/>
  <c r="D343" i="7"/>
  <c r="M343" i="7" s="1"/>
  <c r="Y342" i="7"/>
  <c r="X342" i="7"/>
  <c r="U342" i="7"/>
  <c r="D342" i="7"/>
  <c r="M342" i="7" s="1"/>
  <c r="Y341" i="7"/>
  <c r="X341" i="7"/>
  <c r="U341" i="7"/>
  <c r="D341" i="7"/>
  <c r="M341" i="7" s="1"/>
  <c r="Y340" i="7"/>
  <c r="X340" i="7"/>
  <c r="U340" i="7"/>
  <c r="D340" i="7"/>
  <c r="M340" i="7" s="1"/>
  <c r="Y339" i="7"/>
  <c r="X339" i="7"/>
  <c r="U339" i="7"/>
  <c r="D339" i="7"/>
  <c r="M339" i="7" s="1"/>
  <c r="Y338" i="7"/>
  <c r="X338" i="7"/>
  <c r="U338" i="7"/>
  <c r="D338" i="7"/>
  <c r="M338" i="7" s="1"/>
  <c r="Y337" i="7"/>
  <c r="X337" i="7"/>
  <c r="U337" i="7"/>
  <c r="D337" i="7"/>
  <c r="M337" i="7" s="1"/>
  <c r="Y336" i="7"/>
  <c r="X336" i="7"/>
  <c r="U336" i="7"/>
  <c r="D336" i="7"/>
  <c r="M336" i="7" s="1"/>
  <c r="Y335" i="7"/>
  <c r="X335" i="7"/>
  <c r="U335" i="7"/>
  <c r="D335" i="7"/>
  <c r="M335" i="7" s="1"/>
  <c r="Y334" i="7"/>
  <c r="X334" i="7"/>
  <c r="U334" i="7"/>
  <c r="D334" i="7"/>
  <c r="M334" i="7" s="1"/>
  <c r="Y333" i="7"/>
  <c r="X333" i="7"/>
  <c r="U333" i="7"/>
  <c r="D333" i="7"/>
  <c r="M333" i="7" s="1"/>
  <c r="Y332" i="7"/>
  <c r="X332" i="7"/>
  <c r="U332" i="7"/>
  <c r="D332" i="7"/>
  <c r="M332" i="7" s="1"/>
  <c r="Y331" i="7"/>
  <c r="X331" i="7"/>
  <c r="U331" i="7"/>
  <c r="D331" i="7"/>
  <c r="M331" i="7" s="1"/>
  <c r="Y330" i="7"/>
  <c r="X330" i="7"/>
  <c r="U330" i="7"/>
  <c r="D330" i="7"/>
  <c r="M330" i="7" s="1"/>
  <c r="Y329" i="7"/>
  <c r="X329" i="7"/>
  <c r="U329" i="7"/>
  <c r="D329" i="7"/>
  <c r="M329" i="7" s="1"/>
  <c r="Y328" i="7"/>
  <c r="X328" i="7"/>
  <c r="U328" i="7"/>
  <c r="D328" i="7"/>
  <c r="M328" i="7" s="1"/>
  <c r="Y327" i="7"/>
  <c r="X327" i="7"/>
  <c r="U327" i="7"/>
  <c r="D327" i="7"/>
  <c r="M327" i="7" s="1"/>
  <c r="Y326" i="7"/>
  <c r="X326" i="7"/>
  <c r="U326" i="7"/>
  <c r="D326" i="7"/>
  <c r="M326" i="7" s="1"/>
  <c r="Y325" i="7"/>
  <c r="X325" i="7"/>
  <c r="U325" i="7"/>
  <c r="D325" i="7"/>
  <c r="M325" i="7" s="1"/>
  <c r="Y324" i="7"/>
  <c r="X324" i="7"/>
  <c r="U324" i="7"/>
  <c r="D324" i="7"/>
  <c r="M324" i="7" s="1"/>
  <c r="Y323" i="7"/>
  <c r="X323" i="7"/>
  <c r="U323" i="7"/>
  <c r="D323" i="7"/>
  <c r="M323" i="7" s="1"/>
  <c r="Y322" i="7"/>
  <c r="X322" i="7"/>
  <c r="U322" i="7"/>
  <c r="D322" i="7"/>
  <c r="M322" i="7" s="1"/>
  <c r="Y321" i="7"/>
  <c r="X321" i="7"/>
  <c r="U321" i="7"/>
  <c r="D321" i="7"/>
  <c r="M321" i="7" s="1"/>
  <c r="Y320" i="7"/>
  <c r="X320" i="7"/>
  <c r="U320" i="7"/>
  <c r="D320" i="7"/>
  <c r="M320" i="7" s="1"/>
  <c r="Y319" i="7"/>
  <c r="X319" i="7"/>
  <c r="U319" i="7"/>
  <c r="D319" i="7"/>
  <c r="M319" i="7" s="1"/>
  <c r="Y318" i="7"/>
  <c r="X318" i="7"/>
  <c r="U318" i="7"/>
  <c r="D318" i="7"/>
  <c r="M318" i="7" s="1"/>
  <c r="Y317" i="7"/>
  <c r="X317" i="7"/>
  <c r="U317" i="7"/>
  <c r="D317" i="7"/>
  <c r="M317" i="7" s="1"/>
  <c r="Y316" i="7"/>
  <c r="X316" i="7"/>
  <c r="U316" i="7"/>
  <c r="D316" i="7"/>
  <c r="M316" i="7" s="1"/>
  <c r="Y315" i="7"/>
  <c r="X315" i="7"/>
  <c r="U315" i="7"/>
  <c r="D315" i="7"/>
  <c r="M315" i="7" s="1"/>
  <c r="Y314" i="7"/>
  <c r="X314" i="7"/>
  <c r="U314" i="7"/>
  <c r="D314" i="7"/>
  <c r="M314" i="7" s="1"/>
  <c r="Y313" i="7"/>
  <c r="X313" i="7"/>
  <c r="U313" i="7"/>
  <c r="D313" i="7"/>
  <c r="M313" i="7" s="1"/>
  <c r="Y312" i="7"/>
  <c r="X312" i="7"/>
  <c r="U312" i="7"/>
  <c r="D312" i="7"/>
  <c r="M312" i="7" s="1"/>
  <c r="Y311" i="7"/>
  <c r="X311" i="7"/>
  <c r="U311" i="7"/>
  <c r="D311" i="7"/>
  <c r="M311" i="7" s="1"/>
  <c r="Y310" i="7"/>
  <c r="X310" i="7"/>
  <c r="U310" i="7"/>
  <c r="D310" i="7"/>
  <c r="M310" i="7" s="1"/>
  <c r="Y309" i="7"/>
  <c r="X309" i="7"/>
  <c r="U309" i="7"/>
  <c r="D309" i="7"/>
  <c r="M309" i="7" s="1"/>
  <c r="Y308" i="7"/>
  <c r="X308" i="7"/>
  <c r="U308" i="7"/>
  <c r="D308" i="7"/>
  <c r="M308" i="7" s="1"/>
  <c r="Y307" i="7"/>
  <c r="X307" i="7"/>
  <c r="U307" i="7"/>
  <c r="D307" i="7"/>
  <c r="M307" i="7" s="1"/>
  <c r="Y306" i="7"/>
  <c r="X306" i="7"/>
  <c r="U306" i="7"/>
  <c r="D306" i="7"/>
  <c r="M306" i="7" s="1"/>
  <c r="Y305" i="7"/>
  <c r="X305" i="7"/>
  <c r="U305" i="7"/>
  <c r="D305" i="7"/>
  <c r="M305" i="7" s="1"/>
  <c r="Y304" i="7"/>
  <c r="X304" i="7"/>
  <c r="U304" i="7"/>
  <c r="D304" i="7"/>
  <c r="M304" i="7" s="1"/>
  <c r="Y303" i="7"/>
  <c r="X303" i="7"/>
  <c r="U303" i="7"/>
  <c r="D303" i="7"/>
  <c r="M303" i="7" s="1"/>
  <c r="Y302" i="7"/>
  <c r="X302" i="7"/>
  <c r="U302" i="7"/>
  <c r="D302" i="7"/>
  <c r="M302" i="7" s="1"/>
  <c r="Y301" i="7"/>
  <c r="X301" i="7"/>
  <c r="U301" i="7"/>
  <c r="D301" i="7"/>
  <c r="M301" i="7" s="1"/>
  <c r="Y300" i="7"/>
  <c r="X300" i="7"/>
  <c r="U300" i="7"/>
  <c r="D300" i="7"/>
  <c r="M300" i="7" s="1"/>
  <c r="Y299" i="7"/>
  <c r="X299" i="7"/>
  <c r="U299" i="7"/>
  <c r="D299" i="7"/>
  <c r="M299" i="7" s="1"/>
  <c r="Y298" i="7"/>
  <c r="X298" i="7"/>
  <c r="U298" i="7"/>
  <c r="D298" i="7"/>
  <c r="M298" i="7" s="1"/>
  <c r="Y297" i="7"/>
  <c r="X297" i="7"/>
  <c r="U297" i="7"/>
  <c r="D297" i="7"/>
  <c r="M297" i="7" s="1"/>
  <c r="Y296" i="7"/>
  <c r="X296" i="7"/>
  <c r="U296" i="7"/>
  <c r="D296" i="7"/>
  <c r="M296" i="7" s="1"/>
  <c r="Y295" i="7"/>
  <c r="X295" i="7"/>
  <c r="U295" i="7"/>
  <c r="D295" i="7"/>
  <c r="M295" i="7" s="1"/>
  <c r="Y294" i="7"/>
  <c r="X294" i="7"/>
  <c r="U294" i="7"/>
  <c r="D294" i="7"/>
  <c r="M294" i="7" s="1"/>
  <c r="Y293" i="7"/>
  <c r="X293" i="7"/>
  <c r="U293" i="7"/>
  <c r="D293" i="7"/>
  <c r="M293" i="7" s="1"/>
  <c r="Y292" i="7"/>
  <c r="X292" i="7"/>
  <c r="U292" i="7"/>
  <c r="D292" i="7"/>
  <c r="M292" i="7" s="1"/>
  <c r="Y291" i="7"/>
  <c r="X291" i="7"/>
  <c r="U291" i="7"/>
  <c r="D291" i="7"/>
  <c r="M291" i="7" s="1"/>
  <c r="Y290" i="7"/>
  <c r="X290" i="7"/>
  <c r="U290" i="7"/>
  <c r="D290" i="7"/>
  <c r="M290" i="7" s="1"/>
  <c r="Y289" i="7"/>
  <c r="X289" i="7"/>
  <c r="U289" i="7"/>
  <c r="D289" i="7"/>
  <c r="M289" i="7" s="1"/>
  <c r="Y288" i="7"/>
  <c r="X288" i="7"/>
  <c r="U288" i="7"/>
  <c r="D288" i="7"/>
  <c r="M288" i="7" s="1"/>
  <c r="Y287" i="7"/>
  <c r="X287" i="7"/>
  <c r="U287" i="7"/>
  <c r="D287" i="7"/>
  <c r="M287" i="7" s="1"/>
  <c r="Y286" i="7"/>
  <c r="X286" i="7"/>
  <c r="U286" i="7"/>
  <c r="D286" i="7"/>
  <c r="M286" i="7" s="1"/>
  <c r="Y285" i="7"/>
  <c r="X285" i="7"/>
  <c r="U285" i="7"/>
  <c r="D285" i="7"/>
  <c r="M285" i="7" s="1"/>
  <c r="Y284" i="7"/>
  <c r="X284" i="7"/>
  <c r="U284" i="7"/>
  <c r="D284" i="7"/>
  <c r="M284" i="7" s="1"/>
  <c r="Y283" i="7"/>
  <c r="X283" i="7"/>
  <c r="U283" i="7"/>
  <c r="D283" i="7"/>
  <c r="M283" i="7" s="1"/>
  <c r="Y282" i="7"/>
  <c r="X282" i="7"/>
  <c r="U282" i="7"/>
  <c r="Y279" i="7"/>
  <c r="X279" i="7"/>
  <c r="U279" i="7"/>
  <c r="D279" i="7"/>
  <c r="M279" i="7" s="1"/>
  <c r="Y278" i="7"/>
  <c r="X278" i="7"/>
  <c r="U278" i="7"/>
  <c r="D278" i="7"/>
  <c r="M278" i="7" s="1"/>
  <c r="Y277" i="7"/>
  <c r="X277" i="7"/>
  <c r="U277" i="7"/>
  <c r="D277" i="7"/>
  <c r="M277" i="7" s="1"/>
  <c r="Y276" i="7"/>
  <c r="X276" i="7"/>
  <c r="U276" i="7"/>
  <c r="D276" i="7"/>
  <c r="M276" i="7" s="1"/>
  <c r="Y274" i="7"/>
  <c r="X274" i="7"/>
  <c r="U274" i="7"/>
  <c r="D274" i="7"/>
  <c r="Y273" i="7"/>
  <c r="X273" i="7"/>
  <c r="U273" i="7"/>
  <c r="D273" i="7"/>
  <c r="Y272" i="7"/>
  <c r="X272" i="7"/>
  <c r="U272" i="7"/>
  <c r="D272" i="7"/>
  <c r="M272" i="7" s="1"/>
  <c r="Y269" i="7"/>
  <c r="X269" i="7"/>
  <c r="U269" i="7"/>
  <c r="D269" i="7"/>
  <c r="M269" i="7" s="1"/>
  <c r="Y268" i="7"/>
  <c r="X268" i="7"/>
  <c r="U268" i="7"/>
  <c r="Y251" i="7"/>
  <c r="U251" i="7"/>
  <c r="M251" i="7"/>
  <c r="X245" i="7"/>
  <c r="U245" i="7"/>
  <c r="M245" i="7"/>
  <c r="X244" i="7"/>
  <c r="U244" i="7"/>
  <c r="M244" i="7"/>
  <c r="Y243" i="7"/>
  <c r="X243" i="7"/>
  <c r="U243" i="7"/>
  <c r="M243" i="7"/>
  <c r="Y239" i="7"/>
  <c r="X239" i="7"/>
  <c r="U239" i="7"/>
  <c r="D239" i="7"/>
  <c r="M239" i="7" s="1"/>
  <c r="Y238" i="7"/>
  <c r="X238" i="7"/>
  <c r="U238" i="7"/>
  <c r="D238" i="7"/>
  <c r="M238" i="7" s="1"/>
  <c r="Y237" i="7"/>
  <c r="X237" i="7"/>
  <c r="U237" i="7"/>
  <c r="D237" i="7"/>
  <c r="M237" i="7" s="1"/>
  <c r="Y236" i="7"/>
  <c r="X236" i="7"/>
  <c r="U236" i="7"/>
  <c r="D236" i="7"/>
  <c r="M236" i="7" s="1"/>
  <c r="Y235" i="7"/>
  <c r="X235" i="7"/>
  <c r="U235" i="7"/>
  <c r="D235" i="7"/>
  <c r="M235" i="7" s="1"/>
  <c r="Y234" i="7"/>
  <c r="X234" i="7"/>
  <c r="U234" i="7"/>
  <c r="D234" i="7"/>
  <c r="M234" i="7" s="1"/>
  <c r="Y233" i="7"/>
  <c r="X233" i="7"/>
  <c r="U233" i="7"/>
  <c r="D233" i="7"/>
  <c r="M233" i="7" s="1"/>
  <c r="Y232" i="7"/>
  <c r="X232" i="7"/>
  <c r="U232" i="7"/>
  <c r="D232" i="7"/>
  <c r="M232" i="7" s="1"/>
  <c r="Y231" i="7"/>
  <c r="X231" i="7"/>
  <c r="U231" i="7"/>
  <c r="D231" i="7"/>
  <c r="M231" i="7" s="1"/>
  <c r="Y230" i="7"/>
  <c r="X230" i="7"/>
  <c r="U230" i="7"/>
  <c r="D230" i="7"/>
  <c r="M230" i="7" s="1"/>
  <c r="Y229" i="7"/>
  <c r="X229" i="7"/>
  <c r="U229" i="7"/>
  <c r="D229" i="7"/>
  <c r="M229" i="7" s="1"/>
  <c r="Y228" i="7"/>
  <c r="X228" i="7"/>
  <c r="U228" i="7"/>
  <c r="D228" i="7"/>
  <c r="M228" i="7" s="1"/>
  <c r="Y227" i="7"/>
  <c r="X227" i="7"/>
  <c r="U227" i="7"/>
  <c r="D227" i="7"/>
  <c r="M227" i="7" s="1"/>
  <c r="Y226" i="7"/>
  <c r="X226" i="7"/>
  <c r="U226" i="7"/>
  <c r="D226" i="7"/>
  <c r="M226" i="7" s="1"/>
  <c r="Y225" i="7"/>
  <c r="X225" i="7"/>
  <c r="U225" i="7"/>
  <c r="D225" i="7"/>
  <c r="M225" i="7" s="1"/>
  <c r="Y224" i="7"/>
  <c r="X224" i="7"/>
  <c r="U224" i="7"/>
  <c r="D224" i="7"/>
  <c r="M224" i="7" s="1"/>
  <c r="Y223" i="7"/>
  <c r="X223" i="7"/>
  <c r="U223" i="7"/>
  <c r="D223" i="7"/>
  <c r="M223" i="7" s="1"/>
  <c r="Y222" i="7"/>
  <c r="X222" i="7"/>
  <c r="U222" i="7"/>
  <c r="D222" i="7"/>
  <c r="M222" i="7" s="1"/>
  <c r="Y221" i="7"/>
  <c r="X221" i="7"/>
  <c r="U221" i="7"/>
  <c r="D221" i="7"/>
  <c r="M221" i="7" s="1"/>
  <c r="Y220" i="7"/>
  <c r="X220" i="7"/>
  <c r="U220" i="7"/>
  <c r="D220" i="7"/>
  <c r="M220" i="7" s="1"/>
  <c r="Y219" i="7"/>
  <c r="X219" i="7"/>
  <c r="U219" i="7"/>
  <c r="D219" i="7"/>
  <c r="M219" i="7" s="1"/>
  <c r="Y218" i="7"/>
  <c r="X218" i="7"/>
  <c r="U218" i="7"/>
  <c r="D218" i="7"/>
  <c r="M218" i="7" s="1"/>
  <c r="Y217" i="7"/>
  <c r="X217" i="7"/>
  <c r="U217" i="7"/>
  <c r="D217" i="7"/>
  <c r="M217" i="7" s="1"/>
  <c r="Y216" i="7"/>
  <c r="X216" i="7"/>
  <c r="U216" i="7"/>
  <c r="D216" i="7"/>
  <c r="M216" i="7" s="1"/>
  <c r="Y215" i="7"/>
  <c r="X215" i="7"/>
  <c r="U215" i="7"/>
  <c r="D215" i="7"/>
  <c r="M215" i="7" s="1"/>
  <c r="Y214" i="7"/>
  <c r="X214" i="7"/>
  <c r="U214" i="7"/>
  <c r="D214" i="7"/>
  <c r="M214" i="7" s="1"/>
  <c r="Y213" i="7"/>
  <c r="X213" i="7"/>
  <c r="U213" i="7"/>
  <c r="D213" i="7"/>
  <c r="M213" i="7" s="1"/>
  <c r="Y212" i="7"/>
  <c r="X212" i="7"/>
  <c r="U212" i="7"/>
  <c r="D212" i="7"/>
  <c r="M212" i="7" s="1"/>
  <c r="Y211" i="7"/>
  <c r="X211" i="7"/>
  <c r="U211" i="7"/>
  <c r="D211" i="7"/>
  <c r="M211" i="7" s="1"/>
  <c r="Y210" i="7"/>
  <c r="X210" i="7"/>
  <c r="U210" i="7"/>
  <c r="D210" i="7"/>
  <c r="M210" i="7" s="1"/>
  <c r="Y209" i="7"/>
  <c r="X209" i="7"/>
  <c r="U209" i="7"/>
  <c r="D209" i="7"/>
  <c r="M209" i="7" s="1"/>
  <c r="Y208" i="7"/>
  <c r="X208" i="7"/>
  <c r="U208" i="7"/>
  <c r="D208" i="7"/>
  <c r="M208" i="7" s="1"/>
  <c r="Y207" i="7"/>
  <c r="X207" i="7"/>
  <c r="U207" i="7"/>
  <c r="D207" i="7"/>
  <c r="M207" i="7" s="1"/>
  <c r="Y206" i="7"/>
  <c r="X206" i="7"/>
  <c r="U206" i="7"/>
  <c r="D206" i="7"/>
  <c r="M206" i="7" s="1"/>
  <c r="Y205" i="7"/>
  <c r="X205" i="7"/>
  <c r="U205" i="7"/>
  <c r="D205" i="7"/>
  <c r="M205" i="7" s="1"/>
  <c r="Y204" i="7"/>
  <c r="X204" i="7"/>
  <c r="U204" i="7"/>
  <c r="D204" i="7"/>
  <c r="M204" i="7" s="1"/>
  <c r="Y203" i="7"/>
  <c r="X203" i="7"/>
  <c r="U203" i="7"/>
  <c r="D203" i="7"/>
  <c r="M203" i="7" s="1"/>
  <c r="Y202" i="7"/>
  <c r="X202" i="7"/>
  <c r="U202" i="7"/>
  <c r="D202" i="7"/>
  <c r="M202" i="7" s="1"/>
  <c r="Y201" i="7"/>
  <c r="X201" i="7"/>
  <c r="U201" i="7"/>
  <c r="D201" i="7"/>
  <c r="M201" i="7" s="1"/>
  <c r="Y200" i="7"/>
  <c r="X200" i="7"/>
  <c r="U200" i="7"/>
  <c r="D200" i="7"/>
  <c r="M200" i="7" s="1"/>
  <c r="Y199" i="7"/>
  <c r="X199" i="7"/>
  <c r="U199" i="7"/>
  <c r="D199" i="7"/>
  <c r="M199" i="7" s="1"/>
  <c r="Y197" i="7"/>
  <c r="X197" i="7"/>
  <c r="U197" i="7"/>
  <c r="D197" i="7"/>
  <c r="M197" i="7" s="1"/>
  <c r="Y196" i="7"/>
  <c r="X196" i="7"/>
  <c r="U196" i="7"/>
  <c r="D196" i="7"/>
  <c r="M196" i="7" s="1"/>
  <c r="Y195" i="7"/>
  <c r="X195" i="7"/>
  <c r="U195" i="7"/>
  <c r="D195" i="7"/>
  <c r="M195" i="7" s="1"/>
  <c r="Y194" i="7"/>
  <c r="X194" i="7"/>
  <c r="U194" i="7"/>
  <c r="D194" i="7"/>
  <c r="M194" i="7" s="1"/>
  <c r="Y193" i="7"/>
  <c r="X193" i="7"/>
  <c r="U193" i="7"/>
  <c r="D193" i="7"/>
  <c r="M193" i="7" s="1"/>
  <c r="Y192" i="7"/>
  <c r="X192" i="7"/>
  <c r="U192" i="7"/>
  <c r="D192" i="7"/>
  <c r="M192" i="7" s="1"/>
  <c r="Y191" i="7"/>
  <c r="X191" i="7"/>
  <c r="U191" i="7"/>
  <c r="D191" i="7"/>
  <c r="M191" i="7" s="1"/>
  <c r="Y190" i="7"/>
  <c r="X190" i="7"/>
  <c r="U190" i="7"/>
  <c r="D190" i="7"/>
  <c r="M190" i="7" s="1"/>
  <c r="Y189" i="7"/>
  <c r="X189" i="7"/>
  <c r="U189" i="7"/>
  <c r="D189" i="7"/>
  <c r="M189" i="7" s="1"/>
  <c r="Y188" i="7"/>
  <c r="X188" i="7"/>
  <c r="U188" i="7"/>
  <c r="D188" i="7"/>
  <c r="M188" i="7" s="1"/>
  <c r="Y187" i="7"/>
  <c r="X187" i="7"/>
  <c r="U187" i="7"/>
  <c r="D187" i="7"/>
  <c r="M187" i="7" s="1"/>
  <c r="Y186" i="7"/>
  <c r="X186" i="7"/>
  <c r="U186" i="7"/>
  <c r="D186" i="7"/>
  <c r="M186" i="7" s="1"/>
  <c r="Y185" i="7"/>
  <c r="X185" i="7"/>
  <c r="U185" i="7"/>
  <c r="D185" i="7"/>
  <c r="M185" i="7" s="1"/>
  <c r="Y184" i="7"/>
  <c r="X184" i="7"/>
  <c r="U184" i="7"/>
  <c r="D184" i="7"/>
  <c r="M184" i="7" s="1"/>
  <c r="Y183" i="7"/>
  <c r="X183" i="7"/>
  <c r="U183" i="7"/>
  <c r="D183" i="7"/>
  <c r="M183" i="7" s="1"/>
  <c r="Y182" i="7"/>
  <c r="X182" i="7"/>
  <c r="U182" i="7"/>
  <c r="D182" i="7"/>
  <c r="M182" i="7" s="1"/>
  <c r="Y181" i="7"/>
  <c r="X181" i="7"/>
  <c r="U181" i="7"/>
  <c r="D181" i="7"/>
  <c r="M181" i="7" s="1"/>
  <c r="Y180" i="7"/>
  <c r="X180" i="7"/>
  <c r="U180" i="7"/>
  <c r="D180" i="7"/>
  <c r="M180" i="7" s="1"/>
  <c r="Y179" i="7"/>
  <c r="X179" i="7"/>
  <c r="U179" i="7"/>
  <c r="D179" i="7"/>
  <c r="M179" i="7" s="1"/>
  <c r="Y178" i="7"/>
  <c r="X178" i="7"/>
  <c r="U178" i="7"/>
  <c r="D178" i="7"/>
  <c r="M178" i="7" s="1"/>
  <c r="Y177" i="7"/>
  <c r="X177" i="7"/>
  <c r="U177" i="7"/>
  <c r="D177" i="7"/>
  <c r="M177" i="7" s="1"/>
  <c r="Y176" i="7"/>
  <c r="X176" i="7"/>
  <c r="U176" i="7"/>
  <c r="D176" i="7"/>
  <c r="M176" i="7" s="1"/>
  <c r="Y175" i="7"/>
  <c r="X175" i="7"/>
  <c r="U175" i="7"/>
  <c r="D175" i="7"/>
  <c r="M175" i="7" s="1"/>
  <c r="Y174" i="7"/>
  <c r="X174" i="7"/>
  <c r="U174" i="7"/>
  <c r="D174" i="7"/>
  <c r="M174" i="7" s="1"/>
  <c r="Y173" i="7"/>
  <c r="X173" i="7"/>
  <c r="U173" i="7"/>
  <c r="D173" i="7"/>
  <c r="M173" i="7" s="1"/>
  <c r="Y172" i="7"/>
  <c r="X172" i="7"/>
  <c r="U172" i="7"/>
  <c r="D172" i="7"/>
  <c r="M172" i="7" s="1"/>
  <c r="Y171" i="7"/>
  <c r="X171" i="7"/>
  <c r="U171" i="7"/>
  <c r="D171" i="7"/>
  <c r="M171" i="7" s="1"/>
  <c r="Y170" i="7"/>
  <c r="X170" i="7"/>
  <c r="U170" i="7"/>
  <c r="D170" i="7"/>
  <c r="M170" i="7" s="1"/>
  <c r="Y169" i="7"/>
  <c r="X169" i="7"/>
  <c r="U169" i="7"/>
  <c r="D169" i="7"/>
  <c r="M169" i="7" s="1"/>
  <c r="Y168" i="7"/>
  <c r="X168" i="7"/>
  <c r="U168" i="7"/>
  <c r="D168" i="7"/>
  <c r="M168" i="7" s="1"/>
  <c r="Y167" i="7"/>
  <c r="X167" i="7"/>
  <c r="U167" i="7"/>
  <c r="D167" i="7"/>
  <c r="M167" i="7" s="1"/>
  <c r="Y166" i="7"/>
  <c r="X166" i="7"/>
  <c r="U166" i="7"/>
  <c r="D166" i="7"/>
  <c r="M166" i="7" s="1"/>
  <c r="Y165" i="7"/>
  <c r="X165" i="7"/>
  <c r="U165" i="7"/>
  <c r="D165" i="7"/>
  <c r="M165" i="7" s="1"/>
  <c r="Y164" i="7"/>
  <c r="X164" i="7"/>
  <c r="U164" i="7"/>
  <c r="D164" i="7"/>
  <c r="M164" i="7" s="1"/>
  <c r="Y163" i="7"/>
  <c r="X163" i="7"/>
  <c r="U163" i="7"/>
  <c r="D163" i="7"/>
  <c r="M163" i="7" s="1"/>
  <c r="Y162" i="7"/>
  <c r="X162" i="7"/>
  <c r="U162" i="7"/>
  <c r="D162" i="7"/>
  <c r="M162" i="7" s="1"/>
  <c r="Y161" i="7"/>
  <c r="X161" i="7"/>
  <c r="U161" i="7"/>
  <c r="D161" i="7"/>
  <c r="M161" i="7" s="1"/>
  <c r="Y160" i="7"/>
  <c r="X160" i="7"/>
  <c r="U160" i="7"/>
  <c r="D160" i="7"/>
  <c r="M160" i="7" s="1"/>
  <c r="Y159" i="7"/>
  <c r="X159" i="7"/>
  <c r="U159" i="7"/>
  <c r="D159" i="7"/>
  <c r="M159" i="7" s="1"/>
  <c r="Y158" i="7"/>
  <c r="X158" i="7"/>
  <c r="U158" i="7"/>
  <c r="D158" i="7"/>
  <c r="M158" i="7" s="1"/>
  <c r="Y157" i="7"/>
  <c r="X157" i="7"/>
  <c r="U157" i="7"/>
  <c r="D157" i="7"/>
  <c r="M157" i="7" s="1"/>
  <c r="Y156" i="7"/>
  <c r="X156" i="7"/>
  <c r="U156" i="7"/>
  <c r="D156" i="7"/>
  <c r="M156" i="7" s="1"/>
  <c r="Y155" i="7"/>
  <c r="X155" i="7"/>
  <c r="U155" i="7"/>
  <c r="D155" i="7"/>
  <c r="M155" i="7" s="1"/>
  <c r="Y154" i="7"/>
  <c r="X154" i="7"/>
  <c r="U154" i="7"/>
  <c r="D154" i="7"/>
  <c r="M154" i="7" s="1"/>
  <c r="Y153" i="7"/>
  <c r="X153" i="7"/>
  <c r="U153" i="7"/>
  <c r="D153" i="7"/>
  <c r="M153" i="7" s="1"/>
  <c r="Y152" i="7"/>
  <c r="X152" i="7"/>
  <c r="U152" i="7"/>
  <c r="D152" i="7"/>
  <c r="M152" i="7" s="1"/>
  <c r="Y151" i="7"/>
  <c r="X151" i="7"/>
  <c r="U151" i="7"/>
  <c r="D151" i="7"/>
  <c r="M151" i="7" s="1"/>
  <c r="Y150" i="7"/>
  <c r="X150" i="7"/>
  <c r="U150" i="7"/>
  <c r="D150" i="7"/>
  <c r="M150" i="7" s="1"/>
  <c r="Y149" i="7"/>
  <c r="X149" i="7"/>
  <c r="U149" i="7"/>
  <c r="D149" i="7"/>
  <c r="M149" i="7" s="1"/>
  <c r="Y148" i="7"/>
  <c r="X148" i="7"/>
  <c r="U148" i="7"/>
  <c r="D148" i="7"/>
  <c r="M148" i="7" s="1"/>
  <c r="Y147" i="7"/>
  <c r="X147" i="7"/>
  <c r="U147" i="7"/>
  <c r="D147" i="7"/>
  <c r="M147" i="7" s="1"/>
  <c r="Y146" i="7"/>
  <c r="X146" i="7"/>
  <c r="U146" i="7"/>
  <c r="D146" i="7"/>
  <c r="M146" i="7" s="1"/>
  <c r="U145" i="7"/>
  <c r="D145" i="7"/>
  <c r="M145" i="7" s="1"/>
  <c r="U144" i="7"/>
  <c r="D144" i="7"/>
  <c r="M144" i="7" s="1"/>
  <c r="U143" i="7"/>
  <c r="D143" i="7"/>
  <c r="M143" i="7" s="1"/>
  <c r="U142" i="7"/>
  <c r="D142" i="7"/>
  <c r="M142" i="7" s="1"/>
  <c r="U141" i="7"/>
  <c r="D141" i="7"/>
  <c r="M141" i="7" s="1"/>
  <c r="U140" i="7"/>
  <c r="D140" i="7"/>
  <c r="M140" i="7" s="1"/>
  <c r="U137" i="7"/>
  <c r="D137" i="7"/>
  <c r="M137" i="7" s="1"/>
  <c r="U136" i="7"/>
  <c r="D136" i="7"/>
  <c r="M136" i="7" s="1"/>
  <c r="U135" i="7"/>
  <c r="D135" i="7"/>
  <c r="M135" i="7" s="1"/>
  <c r="U134" i="7"/>
  <c r="D134" i="7"/>
  <c r="M134" i="7" s="1"/>
  <c r="U133" i="7"/>
  <c r="D133" i="7"/>
  <c r="M133" i="7" s="1"/>
  <c r="U132" i="7"/>
  <c r="D132" i="7"/>
  <c r="M132" i="7" s="1"/>
  <c r="U131" i="7"/>
  <c r="D131" i="7"/>
  <c r="M131" i="7" s="1"/>
  <c r="U130" i="7"/>
  <c r="D130" i="7"/>
  <c r="M130" i="7" s="1"/>
  <c r="U129" i="7"/>
  <c r="D129" i="7"/>
  <c r="M129" i="7" s="1"/>
  <c r="U128" i="7"/>
  <c r="D128" i="7"/>
  <c r="M128" i="7" s="1"/>
  <c r="U127" i="7"/>
  <c r="D127" i="7"/>
  <c r="M127" i="7" s="1"/>
  <c r="U126" i="7"/>
  <c r="D126" i="7"/>
  <c r="M126" i="7" s="1"/>
  <c r="U125" i="7"/>
  <c r="D125" i="7"/>
  <c r="M125" i="7" s="1"/>
  <c r="U124" i="7"/>
  <c r="D124" i="7"/>
  <c r="M124" i="7" s="1"/>
  <c r="U123" i="7"/>
  <c r="D123" i="7"/>
  <c r="M123" i="7" s="1"/>
  <c r="U122" i="7"/>
  <c r="D122" i="7"/>
  <c r="M122" i="7" s="1"/>
  <c r="U121" i="7"/>
  <c r="D121" i="7"/>
  <c r="M121" i="7" s="1"/>
  <c r="U120" i="7"/>
  <c r="D120" i="7"/>
  <c r="M120" i="7" s="1"/>
  <c r="U119" i="7"/>
  <c r="D119" i="7"/>
  <c r="M119" i="7" s="1"/>
  <c r="U118" i="7"/>
  <c r="D118" i="7"/>
  <c r="M118" i="7" s="1"/>
  <c r="U117" i="7"/>
  <c r="D117" i="7"/>
  <c r="M117" i="7" s="1"/>
  <c r="U116" i="7"/>
  <c r="D116" i="7"/>
  <c r="M116" i="7" s="1"/>
  <c r="U115" i="7"/>
  <c r="D115" i="7"/>
  <c r="M115" i="7" s="1"/>
  <c r="U114" i="7"/>
  <c r="D114" i="7"/>
  <c r="M114" i="7" s="1"/>
  <c r="U113" i="7"/>
  <c r="D113" i="7"/>
  <c r="M113" i="7" s="1"/>
  <c r="U112" i="7"/>
  <c r="D112" i="7"/>
  <c r="M112" i="7" s="1"/>
  <c r="U111" i="7"/>
  <c r="D111" i="7"/>
  <c r="M111" i="7" s="1"/>
  <c r="U110" i="7"/>
  <c r="D110" i="7"/>
  <c r="M110" i="7" s="1"/>
  <c r="U109" i="7"/>
  <c r="D109" i="7"/>
  <c r="M109" i="7" s="1"/>
  <c r="U108" i="7"/>
  <c r="D108" i="7"/>
  <c r="M108" i="7" s="1"/>
  <c r="U107" i="7"/>
  <c r="D107" i="7"/>
  <c r="M107" i="7" s="1"/>
  <c r="Y106" i="7"/>
  <c r="X106" i="7"/>
  <c r="U106" i="7"/>
  <c r="D106" i="7"/>
  <c r="M106" i="7" s="1"/>
  <c r="Y105" i="7"/>
  <c r="X105" i="7"/>
  <c r="U105" i="7"/>
  <c r="D105" i="7"/>
  <c r="M105" i="7" s="1"/>
  <c r="Y104" i="7"/>
  <c r="X104" i="7"/>
  <c r="U104" i="7"/>
  <c r="D104" i="7"/>
  <c r="M104" i="7" s="1"/>
  <c r="Y103" i="7"/>
  <c r="X103" i="7"/>
  <c r="U103" i="7"/>
  <c r="D103" i="7"/>
  <c r="M103" i="7" s="1"/>
  <c r="Y102" i="7"/>
  <c r="X102" i="7"/>
  <c r="U102" i="7"/>
  <c r="D102" i="7"/>
  <c r="M102" i="7" s="1"/>
  <c r="Y101" i="7"/>
  <c r="X101" i="7"/>
  <c r="U101" i="7"/>
  <c r="D101" i="7"/>
  <c r="M101" i="7" s="1"/>
  <c r="Y100" i="7"/>
  <c r="X100" i="7"/>
  <c r="U100" i="7"/>
  <c r="D100" i="7"/>
  <c r="M100" i="7" s="1"/>
  <c r="Y99" i="7"/>
  <c r="X99" i="7"/>
  <c r="U99" i="7"/>
  <c r="D99" i="7"/>
  <c r="M99" i="7" s="1"/>
  <c r="Y98" i="7"/>
  <c r="X98" i="7"/>
  <c r="U98" i="7"/>
  <c r="D98" i="7"/>
  <c r="M98" i="7" s="1"/>
  <c r="Y97" i="7"/>
  <c r="X97" i="7"/>
  <c r="U97" i="7"/>
  <c r="D97" i="7"/>
  <c r="M97" i="7" s="1"/>
  <c r="Y96" i="7"/>
  <c r="X96" i="7"/>
  <c r="U96" i="7"/>
  <c r="D96" i="7"/>
  <c r="M96" i="7" s="1"/>
  <c r="Y95" i="7"/>
  <c r="X95" i="7"/>
  <c r="U95" i="7"/>
  <c r="D95" i="7"/>
  <c r="M95" i="7" s="1"/>
  <c r="Y94" i="7"/>
  <c r="X94" i="7"/>
  <c r="U94" i="7"/>
  <c r="D94" i="7"/>
  <c r="M94" i="7" s="1"/>
  <c r="Y93" i="7"/>
  <c r="X93" i="7"/>
  <c r="U93" i="7"/>
  <c r="D93" i="7"/>
  <c r="M93" i="7" s="1"/>
  <c r="Y91" i="7"/>
  <c r="X91" i="7"/>
  <c r="U91" i="7"/>
  <c r="D91" i="7"/>
  <c r="M91" i="7" s="1"/>
  <c r="Y90" i="7"/>
  <c r="X90" i="7"/>
  <c r="U90" i="7"/>
  <c r="D90" i="7"/>
  <c r="M90" i="7" s="1"/>
  <c r="Y89" i="7"/>
  <c r="X89" i="7"/>
  <c r="U89" i="7"/>
  <c r="D89" i="7"/>
  <c r="M89" i="7" s="1"/>
  <c r="Y88" i="7"/>
  <c r="X88" i="7"/>
  <c r="U88" i="7"/>
  <c r="D88" i="7"/>
  <c r="M88" i="7" s="1"/>
  <c r="Y87" i="7"/>
  <c r="X87" i="7"/>
  <c r="U87" i="7"/>
  <c r="D87" i="7"/>
  <c r="M87" i="7" s="1"/>
  <c r="Y86" i="7"/>
  <c r="X86" i="7"/>
  <c r="U86" i="7"/>
  <c r="D86" i="7"/>
  <c r="M86" i="7" s="1"/>
  <c r="Y85" i="7"/>
  <c r="X85" i="7"/>
  <c r="U85" i="7"/>
  <c r="D85" i="7"/>
  <c r="M85" i="7" s="1"/>
  <c r="Y84" i="7"/>
  <c r="X84" i="7"/>
  <c r="U84" i="7"/>
  <c r="D84" i="7"/>
  <c r="M84" i="7" s="1"/>
  <c r="Y83" i="7"/>
  <c r="X83" i="7"/>
  <c r="U83" i="7"/>
  <c r="D83" i="7"/>
  <c r="M83" i="7" s="1"/>
  <c r="Y82" i="7"/>
  <c r="X82" i="7"/>
  <c r="U82" i="7"/>
  <c r="D82" i="7"/>
  <c r="M82" i="7" s="1"/>
  <c r="Y81" i="7"/>
  <c r="X81" i="7"/>
  <c r="U81" i="7"/>
  <c r="D81" i="7"/>
  <c r="M81" i="7" s="1"/>
  <c r="Y80" i="7"/>
  <c r="X80" i="7"/>
  <c r="U80" i="7"/>
  <c r="D80" i="7"/>
  <c r="M80" i="7" s="1"/>
  <c r="Y79" i="7"/>
  <c r="X79" i="7"/>
  <c r="U79" i="7"/>
  <c r="D79" i="7"/>
  <c r="M79" i="7" s="1"/>
  <c r="Y78" i="7"/>
  <c r="X78" i="7"/>
  <c r="U78" i="7"/>
  <c r="D78" i="7"/>
  <c r="M78" i="7" s="1"/>
  <c r="Y77" i="7"/>
  <c r="X77" i="7"/>
  <c r="U77" i="7"/>
  <c r="D77" i="7"/>
  <c r="M77" i="7" s="1"/>
  <c r="Y76" i="7"/>
  <c r="X76" i="7"/>
  <c r="U76" i="7"/>
  <c r="D76" i="7"/>
  <c r="M76" i="7" s="1"/>
  <c r="Y75" i="7"/>
  <c r="X75" i="7"/>
  <c r="U75" i="7"/>
  <c r="D75" i="7"/>
  <c r="M75" i="7" s="1"/>
  <c r="Y74" i="7"/>
  <c r="X74" i="7"/>
  <c r="U74" i="7"/>
  <c r="D74" i="7"/>
  <c r="M74" i="7" s="1"/>
  <c r="Y73" i="7"/>
  <c r="X73" i="7"/>
  <c r="U73" i="7"/>
  <c r="D73" i="7"/>
  <c r="M73" i="7" s="1"/>
  <c r="Y72" i="7"/>
  <c r="X72" i="7"/>
  <c r="U72" i="7"/>
  <c r="D72" i="7"/>
  <c r="M72" i="7" s="1"/>
  <c r="Y71" i="7"/>
  <c r="X71" i="7"/>
  <c r="U71" i="7"/>
  <c r="D71" i="7"/>
  <c r="M71" i="7" s="1"/>
  <c r="Y70" i="7"/>
  <c r="X70" i="7"/>
  <c r="U70" i="7"/>
  <c r="D70" i="7"/>
  <c r="M70" i="7" s="1"/>
  <c r="Y69" i="7"/>
  <c r="X69" i="7"/>
  <c r="U69" i="7"/>
  <c r="D69" i="7"/>
  <c r="M69" i="7" s="1"/>
  <c r="Y407" i="8" l="1"/>
  <c r="X407" i="8"/>
  <c r="U407" i="8"/>
  <c r="D407" i="8"/>
  <c r="M407" i="8" s="1"/>
  <c r="X4" i="1" l="1"/>
  <c r="AB1" i="7" l="1"/>
  <c r="Y14" i="7"/>
  <c r="X14" i="7"/>
  <c r="U14" i="7"/>
  <c r="D14" i="7"/>
  <c r="M14" i="7" s="1"/>
  <c r="Y13" i="7"/>
  <c r="X13" i="7"/>
  <c r="U13" i="7"/>
  <c r="D13" i="7"/>
  <c r="M13" i="7" s="1"/>
  <c r="Y12" i="7"/>
  <c r="X12" i="7"/>
  <c r="U12" i="7"/>
  <c r="D12" i="7"/>
  <c r="M12" i="7" s="1"/>
  <c r="Y11" i="7"/>
  <c r="X11" i="7"/>
  <c r="U11" i="7"/>
  <c r="D11" i="7"/>
  <c r="M11" i="7" s="1"/>
  <c r="Y10" i="7"/>
  <c r="X10" i="7"/>
  <c r="U10" i="7"/>
  <c r="D10" i="7"/>
  <c r="M10" i="7" s="1"/>
  <c r="Y9" i="7"/>
  <c r="X9" i="7"/>
  <c r="U9" i="7"/>
  <c r="D9" i="7"/>
  <c r="M9" i="7" s="1"/>
  <c r="Y8" i="7"/>
  <c r="X8" i="7"/>
  <c r="U8" i="7"/>
  <c r="D8" i="7"/>
  <c r="M8" i="7" s="1"/>
  <c r="Y7" i="7"/>
  <c r="X7" i="7"/>
  <c r="U7" i="7"/>
  <c r="D7" i="7"/>
  <c r="M7" i="7" s="1"/>
  <c r="Y6" i="7"/>
  <c r="X6" i="7"/>
  <c r="U6" i="7"/>
  <c r="D6" i="7"/>
  <c r="M6" i="7" s="1"/>
  <c r="Y5" i="7"/>
  <c r="X5" i="7"/>
  <c r="U5" i="7"/>
  <c r="D5" i="7"/>
  <c r="M5" i="7" s="1"/>
  <c r="Y4" i="7"/>
  <c r="X4" i="7"/>
  <c r="U4" i="7"/>
  <c r="D4" i="7"/>
  <c r="M4" i="7" s="1"/>
  <c r="Y95" i="9"/>
  <c r="X95" i="9"/>
  <c r="U95" i="9"/>
  <c r="D95" i="9"/>
  <c r="M95" i="9" s="1"/>
  <c r="Y94" i="9"/>
  <c r="X94" i="9"/>
  <c r="U94" i="9"/>
  <c r="D94" i="9"/>
  <c r="M94" i="9" s="1"/>
  <c r="Y93" i="9"/>
  <c r="X93" i="9"/>
  <c r="U93" i="9"/>
  <c r="D93" i="9"/>
  <c r="M93" i="9" s="1"/>
  <c r="Y92" i="9"/>
  <c r="X92" i="9"/>
  <c r="U92" i="9"/>
  <c r="D92" i="9"/>
  <c r="M92" i="9" s="1"/>
  <c r="Y91" i="9"/>
  <c r="X91" i="9"/>
  <c r="U91" i="9"/>
  <c r="D91" i="9"/>
  <c r="M91" i="9" s="1"/>
  <c r="Y90" i="9"/>
  <c r="X90" i="9"/>
  <c r="U90" i="9"/>
  <c r="D90" i="9"/>
  <c r="M90" i="9" s="1"/>
  <c r="Y89" i="9"/>
  <c r="X89" i="9"/>
  <c r="U89" i="9"/>
  <c r="D89" i="9"/>
  <c r="M89" i="9" s="1"/>
  <c r="Y88" i="9"/>
  <c r="X88" i="9"/>
  <c r="U88" i="9"/>
  <c r="D88" i="9"/>
  <c r="M88" i="9" s="1"/>
  <c r="Y87" i="9"/>
  <c r="X87" i="9"/>
  <c r="U87" i="9"/>
  <c r="D87" i="9"/>
  <c r="M87" i="9" s="1"/>
  <c r="Y86" i="9"/>
  <c r="X86" i="9"/>
  <c r="U86" i="9"/>
  <c r="D86" i="9"/>
  <c r="M86" i="9" s="1"/>
  <c r="Y85" i="9"/>
  <c r="X85" i="9"/>
  <c r="U85" i="9"/>
  <c r="D85" i="9"/>
  <c r="M85" i="9" s="1"/>
  <c r="Y84" i="9"/>
  <c r="X84" i="9"/>
  <c r="U84" i="9"/>
  <c r="D84" i="9"/>
  <c r="M84" i="9" s="1"/>
  <c r="Y83" i="9"/>
  <c r="X83" i="9"/>
  <c r="U83" i="9"/>
  <c r="D83" i="9"/>
  <c r="M83" i="9" s="1"/>
  <c r="Y82" i="9"/>
  <c r="X82" i="9"/>
  <c r="U82" i="9"/>
  <c r="D82" i="9"/>
  <c r="M82" i="9" s="1"/>
  <c r="Y81" i="9"/>
  <c r="X81" i="9"/>
  <c r="U81" i="9"/>
  <c r="D81" i="9"/>
  <c r="M81" i="9" s="1"/>
  <c r="Y80" i="9"/>
  <c r="X80" i="9"/>
  <c r="U80" i="9"/>
  <c r="D80" i="9"/>
  <c r="M80" i="9" s="1"/>
  <c r="Y79" i="9"/>
  <c r="X79" i="9"/>
  <c r="U79" i="9"/>
  <c r="D79" i="9"/>
  <c r="M79" i="9" s="1"/>
  <c r="Y78" i="9"/>
  <c r="X78" i="9"/>
  <c r="U78" i="9"/>
  <c r="D78" i="9"/>
  <c r="M78" i="9" s="1"/>
  <c r="Y77" i="9"/>
  <c r="X77" i="9"/>
  <c r="U77" i="9"/>
  <c r="D77" i="9"/>
  <c r="M77" i="9" s="1"/>
  <c r="X76" i="9"/>
  <c r="U76" i="9"/>
  <c r="D76" i="9"/>
  <c r="M76" i="9" s="1"/>
  <c r="X75" i="9"/>
  <c r="D75" i="9"/>
  <c r="M75" i="9" s="1"/>
  <c r="X74" i="9"/>
  <c r="D74" i="9"/>
  <c r="M74" i="9" s="1"/>
  <c r="X73" i="9"/>
  <c r="D73" i="9"/>
  <c r="M73" i="9" s="1"/>
  <c r="X72" i="9"/>
  <c r="D72" i="9"/>
  <c r="X71" i="9"/>
  <c r="X70" i="9"/>
  <c r="X69" i="9"/>
  <c r="X68" i="9"/>
  <c r="D68" i="9"/>
  <c r="M68" i="9" s="1"/>
  <c r="X67" i="9"/>
  <c r="D67" i="9"/>
  <c r="M67" i="9" s="1"/>
  <c r="X66" i="9"/>
  <c r="D66" i="9"/>
  <c r="M66" i="9" s="1"/>
  <c r="X65" i="9"/>
  <c r="M65" i="9"/>
  <c r="X63" i="9"/>
  <c r="M63" i="9"/>
  <c r="X62" i="9"/>
  <c r="M62" i="9"/>
  <c r="Y61" i="9"/>
  <c r="X61" i="9"/>
  <c r="U61" i="9"/>
  <c r="D61" i="9"/>
  <c r="M61" i="9" s="1"/>
  <c r="Y60" i="9"/>
  <c r="X60" i="9"/>
  <c r="U60" i="9"/>
  <c r="D60" i="9"/>
  <c r="M60" i="9" s="1"/>
  <c r="Y59" i="9"/>
  <c r="X59" i="9"/>
  <c r="U59" i="9"/>
  <c r="D59" i="9"/>
  <c r="M59" i="9" s="1"/>
  <c r="Y58" i="9"/>
  <c r="X58" i="9"/>
  <c r="U58" i="9"/>
  <c r="D58" i="9"/>
  <c r="M58" i="9" s="1"/>
  <c r="Y57" i="9"/>
  <c r="X57" i="9"/>
  <c r="U57" i="9"/>
  <c r="D57" i="9"/>
  <c r="M57" i="9" s="1"/>
  <c r="Y56" i="9"/>
  <c r="X56" i="9"/>
  <c r="U56" i="9"/>
  <c r="D56" i="9"/>
  <c r="M56" i="9" s="1"/>
  <c r="Y55" i="9"/>
  <c r="X55" i="9"/>
  <c r="U55" i="9"/>
  <c r="D55" i="9"/>
  <c r="M55" i="9" s="1"/>
  <c r="Y54" i="9"/>
  <c r="X54" i="9"/>
  <c r="U54" i="9"/>
  <c r="D54" i="9"/>
  <c r="M54" i="9" s="1"/>
  <c r="Y53" i="9"/>
  <c r="X53" i="9"/>
  <c r="U53" i="9"/>
  <c r="D53" i="9"/>
  <c r="M53" i="9" s="1"/>
  <c r="Y52" i="9"/>
  <c r="X52" i="9"/>
  <c r="U52" i="9"/>
  <c r="D52" i="9"/>
  <c r="M52" i="9" s="1"/>
  <c r="Y51" i="9"/>
  <c r="X51" i="9"/>
  <c r="U51" i="9"/>
  <c r="D51" i="9"/>
  <c r="M51" i="9" s="1"/>
  <c r="Y50" i="9"/>
  <c r="X50" i="9"/>
  <c r="U50" i="9"/>
  <c r="D50" i="9"/>
  <c r="M50" i="9" s="1"/>
  <c r="Y49" i="9"/>
  <c r="X49" i="9"/>
  <c r="U49" i="9"/>
  <c r="D49" i="9"/>
  <c r="M49" i="9" s="1"/>
  <c r="Y48" i="9"/>
  <c r="X48" i="9"/>
  <c r="U48" i="9"/>
  <c r="D48" i="9"/>
  <c r="M48" i="9" s="1"/>
  <c r="Y47" i="9"/>
  <c r="X47" i="9"/>
  <c r="U47" i="9"/>
  <c r="D47" i="9"/>
  <c r="M47" i="9" s="1"/>
  <c r="Y46" i="9"/>
  <c r="X46" i="9"/>
  <c r="U46" i="9"/>
  <c r="D46" i="9"/>
  <c r="M46" i="9" s="1"/>
  <c r="Y45" i="9"/>
  <c r="X45" i="9"/>
  <c r="U45" i="9"/>
  <c r="D45" i="9"/>
  <c r="M45" i="9" s="1"/>
  <c r="Y44" i="9"/>
  <c r="X44" i="9"/>
  <c r="U44" i="9"/>
  <c r="D44" i="9"/>
  <c r="M44" i="9" s="1"/>
  <c r="Y43" i="9"/>
  <c r="X43" i="9"/>
  <c r="U43" i="9"/>
  <c r="D43" i="9"/>
  <c r="M43" i="9" s="1"/>
  <c r="Y42" i="9"/>
  <c r="X42" i="9"/>
  <c r="U42" i="9"/>
  <c r="D42" i="9"/>
  <c r="M42" i="9" s="1"/>
  <c r="Y41" i="9"/>
  <c r="X41" i="9"/>
  <c r="U41" i="9"/>
  <c r="D41" i="9"/>
  <c r="M41" i="9" s="1"/>
  <c r="Y40" i="9"/>
  <c r="X40" i="9"/>
  <c r="U40" i="9"/>
  <c r="D40" i="9"/>
  <c r="M40" i="9" s="1"/>
  <c r="Y39" i="9"/>
  <c r="X39" i="9"/>
  <c r="U39" i="9"/>
  <c r="D39" i="9"/>
  <c r="M39" i="9" s="1"/>
  <c r="Y38" i="9"/>
  <c r="X38" i="9"/>
  <c r="U38" i="9"/>
  <c r="D38" i="9"/>
  <c r="M38" i="9" s="1"/>
  <c r="Y37" i="9"/>
  <c r="X37" i="9"/>
  <c r="U37" i="9"/>
  <c r="D37" i="9"/>
  <c r="M37" i="9" s="1"/>
  <c r="Y36" i="9"/>
  <c r="X36" i="9"/>
  <c r="U36" i="9"/>
  <c r="D36" i="9"/>
  <c r="M36" i="9" s="1"/>
  <c r="Y35" i="9"/>
  <c r="X35" i="9"/>
  <c r="U35" i="9"/>
  <c r="D35" i="9"/>
  <c r="M35" i="9" s="1"/>
  <c r="Y34" i="9"/>
  <c r="X34" i="9"/>
  <c r="U34" i="9"/>
  <c r="D34" i="9"/>
  <c r="M34" i="9" s="1"/>
  <c r="Y33" i="9"/>
  <c r="X33" i="9"/>
  <c r="U33" i="9"/>
  <c r="D33" i="9"/>
  <c r="M33" i="9" s="1"/>
  <c r="Y32" i="9"/>
  <c r="X32" i="9"/>
  <c r="U32" i="9"/>
  <c r="D32" i="9"/>
  <c r="M32" i="9" s="1"/>
  <c r="Y31" i="9"/>
  <c r="X31" i="9"/>
  <c r="U31" i="9"/>
  <c r="D31" i="9"/>
  <c r="M31" i="9" s="1"/>
  <c r="Y30" i="9"/>
  <c r="X30" i="9"/>
  <c r="U30" i="9"/>
  <c r="D30" i="9"/>
  <c r="M30" i="9" s="1"/>
  <c r="Y29" i="9"/>
  <c r="X29" i="9"/>
  <c r="U29" i="9"/>
  <c r="D29" i="9"/>
  <c r="M29" i="9" s="1"/>
  <c r="Y28" i="9"/>
  <c r="X28" i="9"/>
  <c r="U28" i="9"/>
  <c r="D28" i="9"/>
  <c r="M28" i="9" s="1"/>
  <c r="Y27" i="9"/>
  <c r="X27" i="9"/>
  <c r="U27" i="9"/>
  <c r="D27" i="9"/>
  <c r="M27" i="9" s="1"/>
  <c r="Y26" i="9"/>
  <c r="X26" i="9"/>
  <c r="U26" i="9"/>
  <c r="D26" i="9"/>
  <c r="M26" i="9" s="1"/>
  <c r="Y25" i="9"/>
  <c r="X25" i="9"/>
  <c r="U25" i="9"/>
  <c r="D25" i="9"/>
  <c r="M25" i="9" s="1"/>
  <c r="Y24" i="9"/>
  <c r="X24" i="9"/>
  <c r="U24" i="9"/>
  <c r="D24" i="9"/>
  <c r="M24" i="9" s="1"/>
  <c r="Y23" i="9"/>
  <c r="X23" i="9"/>
  <c r="U23" i="9"/>
  <c r="D23" i="9"/>
  <c r="M23" i="9" s="1"/>
  <c r="Y22" i="9"/>
  <c r="X22" i="9"/>
  <c r="U22" i="9"/>
  <c r="D22" i="9"/>
  <c r="M22" i="9" s="1"/>
  <c r="Y21" i="9"/>
  <c r="X21" i="9"/>
  <c r="U21" i="9"/>
  <c r="D21" i="9"/>
  <c r="M21" i="9" s="1"/>
  <c r="Y20" i="9"/>
  <c r="X20" i="9"/>
  <c r="U20" i="9"/>
  <c r="D20" i="9"/>
  <c r="M20" i="9" s="1"/>
  <c r="Y19" i="9"/>
  <c r="X19" i="9"/>
  <c r="U19" i="9"/>
  <c r="D19" i="9"/>
  <c r="M19" i="9" s="1"/>
  <c r="Y18" i="9"/>
  <c r="X18" i="9"/>
  <c r="U18" i="9"/>
  <c r="D18" i="9"/>
  <c r="M18" i="9" s="1"/>
  <c r="Y17" i="9"/>
  <c r="X17" i="9"/>
  <c r="U17" i="9"/>
  <c r="D17" i="9"/>
  <c r="M17" i="9" s="1"/>
  <c r="Y16" i="9"/>
  <c r="X16" i="9"/>
  <c r="U16" i="9"/>
  <c r="D16" i="9"/>
  <c r="M16" i="9" s="1"/>
  <c r="Y15" i="9"/>
  <c r="X15" i="9"/>
  <c r="U15" i="9"/>
  <c r="D15" i="9"/>
  <c r="M15" i="9" s="1"/>
  <c r="Y14" i="9"/>
  <c r="X14" i="9"/>
  <c r="U14" i="9"/>
  <c r="D14" i="9"/>
  <c r="M14" i="9" s="1"/>
  <c r="Y13" i="9"/>
  <c r="X13" i="9"/>
  <c r="U13" i="9"/>
  <c r="D13" i="9"/>
  <c r="M13" i="9" s="1"/>
  <c r="Y12" i="9"/>
  <c r="X12" i="9"/>
  <c r="U12" i="9"/>
  <c r="D12" i="9"/>
  <c r="M12" i="9" s="1"/>
  <c r="Y11" i="9"/>
  <c r="X11" i="9"/>
  <c r="U11" i="9"/>
  <c r="D11" i="9"/>
  <c r="M11" i="9" s="1"/>
  <c r="Y10" i="9"/>
  <c r="X10" i="9"/>
  <c r="U10" i="9"/>
  <c r="D10" i="9"/>
  <c r="M10" i="9" s="1"/>
  <c r="Y9" i="9"/>
  <c r="X9" i="9"/>
  <c r="U9" i="9"/>
  <c r="D9" i="9"/>
  <c r="M9" i="9" s="1"/>
  <c r="Y8" i="9"/>
  <c r="X8" i="9"/>
  <c r="U8" i="9"/>
  <c r="D8" i="9"/>
  <c r="M8" i="9" s="1"/>
  <c r="Y7" i="9"/>
  <c r="X7" i="9"/>
  <c r="U7" i="9"/>
  <c r="D7" i="9"/>
  <c r="M7" i="9" s="1"/>
  <c r="Y6" i="9"/>
  <c r="X6" i="9"/>
  <c r="U6" i="9"/>
  <c r="D6" i="9"/>
  <c r="M6" i="9" s="1"/>
  <c r="Y5" i="9"/>
  <c r="X5" i="9"/>
  <c r="U5" i="9"/>
  <c r="D5" i="9"/>
  <c r="M5" i="9" s="1"/>
  <c r="Y4" i="9"/>
  <c r="X4" i="9"/>
  <c r="U4" i="9"/>
  <c r="D4" i="9"/>
  <c r="M4" i="9" s="1"/>
  <c r="AB1" i="9"/>
  <c r="Y417" i="8"/>
  <c r="X417" i="8"/>
  <c r="U417" i="8"/>
  <c r="D417" i="8"/>
  <c r="M417" i="8" s="1"/>
  <c r="Y416" i="8"/>
  <c r="X416" i="8"/>
  <c r="U416" i="8"/>
  <c r="D416" i="8"/>
  <c r="M416" i="8" s="1"/>
  <c r="Y415" i="8"/>
  <c r="X415" i="8"/>
  <c r="U415" i="8"/>
  <c r="D415" i="8"/>
  <c r="M415" i="8" s="1"/>
  <c r="Y414" i="8"/>
  <c r="X414" i="8"/>
  <c r="U414" i="8"/>
  <c r="D414" i="8"/>
  <c r="M414" i="8" s="1"/>
  <c r="Y413" i="8"/>
  <c r="X413" i="8"/>
  <c r="U413" i="8"/>
  <c r="D413" i="8"/>
  <c r="M413" i="8" s="1"/>
  <c r="Y412" i="8"/>
  <c r="X412" i="8"/>
  <c r="U412" i="8"/>
  <c r="D412" i="8"/>
  <c r="M412" i="8" s="1"/>
  <c r="Y411" i="8"/>
  <c r="X411" i="8"/>
  <c r="U411" i="8"/>
  <c r="D411" i="8"/>
  <c r="M411" i="8" s="1"/>
  <c r="Y410" i="8"/>
  <c r="X410" i="8"/>
  <c r="U410" i="8"/>
  <c r="D410" i="8"/>
  <c r="M410" i="8" s="1"/>
  <c r="Y409" i="8"/>
  <c r="X409" i="8"/>
  <c r="U409" i="8"/>
  <c r="D409" i="8"/>
  <c r="M409" i="8" s="1"/>
  <c r="Y408" i="8"/>
  <c r="X408" i="8"/>
  <c r="U408" i="8"/>
  <c r="D408" i="8"/>
  <c r="M408" i="8" s="1"/>
  <c r="Y406" i="8"/>
  <c r="X406" i="8"/>
  <c r="U406" i="8"/>
  <c r="D406" i="8"/>
  <c r="M406" i="8" s="1"/>
  <c r="Y405" i="8"/>
  <c r="X405" i="8"/>
  <c r="U405" i="8"/>
  <c r="D405" i="8"/>
  <c r="M405" i="8" s="1"/>
  <c r="Y404" i="8"/>
  <c r="X404" i="8"/>
  <c r="U404" i="8"/>
  <c r="D404" i="8"/>
  <c r="M404" i="8" s="1"/>
  <c r="Y403" i="8"/>
  <c r="X403" i="8"/>
  <c r="U403" i="8"/>
  <c r="D403" i="8"/>
  <c r="M403" i="8" s="1"/>
  <c r="Y402" i="8"/>
  <c r="X402" i="8"/>
  <c r="U402" i="8"/>
  <c r="D402" i="8"/>
  <c r="M402" i="8" s="1"/>
  <c r="Y401" i="8"/>
  <c r="X401" i="8"/>
  <c r="U401" i="8"/>
  <c r="D401" i="8"/>
  <c r="M401" i="8" s="1"/>
  <c r="Y400" i="8"/>
  <c r="X400" i="8"/>
  <c r="U400" i="8"/>
  <c r="D400" i="8"/>
  <c r="M400" i="8" s="1"/>
  <c r="Y399" i="8"/>
  <c r="X399" i="8"/>
  <c r="U399" i="8"/>
  <c r="D399" i="8"/>
  <c r="M399" i="8" s="1"/>
  <c r="Y398" i="8"/>
  <c r="X398" i="8"/>
  <c r="U398" i="8"/>
  <c r="D398" i="8"/>
  <c r="M398" i="8" s="1"/>
  <c r="Y389" i="8"/>
  <c r="X389" i="8"/>
  <c r="U389" i="8"/>
  <c r="D389" i="8"/>
  <c r="M389" i="8" s="1"/>
  <c r="Y388" i="8"/>
  <c r="X388" i="8"/>
  <c r="U388" i="8"/>
  <c r="D388" i="8"/>
  <c r="M388" i="8" s="1"/>
  <c r="Y387" i="8"/>
  <c r="X387" i="8"/>
  <c r="U387" i="8"/>
  <c r="D387" i="8"/>
  <c r="M387" i="8" s="1"/>
  <c r="Y386" i="8"/>
  <c r="X386" i="8"/>
  <c r="U386" i="8"/>
  <c r="D386" i="8"/>
  <c r="M386" i="8" s="1"/>
  <c r="Y385" i="8"/>
  <c r="X385" i="8"/>
  <c r="U385" i="8"/>
  <c r="D385" i="8"/>
  <c r="M385" i="8" s="1"/>
  <c r="Y384" i="8"/>
  <c r="X384" i="8"/>
  <c r="U384" i="8"/>
  <c r="D384" i="8"/>
  <c r="M384" i="8" s="1"/>
  <c r="Y383" i="8"/>
  <c r="X383" i="8"/>
  <c r="U383" i="8"/>
  <c r="D383" i="8"/>
  <c r="M383" i="8" s="1"/>
  <c r="Y382" i="8"/>
  <c r="X382" i="8"/>
  <c r="U382" i="8"/>
  <c r="D382" i="8"/>
  <c r="M382" i="8" s="1"/>
  <c r="Y381" i="8"/>
  <c r="X381" i="8"/>
  <c r="U381" i="8"/>
  <c r="D381" i="8"/>
  <c r="M381" i="8" s="1"/>
  <c r="Y380" i="8"/>
  <c r="X380" i="8"/>
  <c r="U380" i="8"/>
  <c r="D380" i="8"/>
  <c r="M380" i="8" s="1"/>
  <c r="Y379" i="8"/>
  <c r="X379" i="8"/>
  <c r="U379" i="8"/>
  <c r="D379" i="8"/>
  <c r="M379" i="8" s="1"/>
  <c r="Y378" i="8"/>
  <c r="X378" i="8"/>
  <c r="D378" i="8"/>
  <c r="M378" i="8" s="1"/>
  <c r="Y377" i="8"/>
  <c r="U377" i="8"/>
  <c r="D377" i="8"/>
  <c r="M377" i="8" s="1"/>
  <c r="Y376" i="8"/>
  <c r="U376" i="8"/>
  <c r="D376" i="8"/>
  <c r="M376" i="8" s="1"/>
  <c r="Y375" i="8"/>
  <c r="U375" i="8"/>
  <c r="D375" i="8"/>
  <c r="M375" i="8" s="1"/>
  <c r="Y374" i="8"/>
  <c r="U374" i="8"/>
  <c r="D374" i="8"/>
  <c r="M374" i="8" s="1"/>
  <c r="Y373" i="8"/>
  <c r="U373" i="8"/>
  <c r="D373" i="8"/>
  <c r="M373" i="8" s="1"/>
  <c r="Y372" i="8"/>
  <c r="U372" i="8"/>
  <c r="D372" i="8"/>
  <c r="M372" i="8" s="1"/>
  <c r="Y371" i="8"/>
  <c r="X371" i="8"/>
  <c r="U371" i="8"/>
  <c r="D371" i="8"/>
  <c r="M371" i="8" s="1"/>
  <c r="Y370" i="8"/>
  <c r="X370" i="8"/>
  <c r="U370" i="8"/>
  <c r="D370" i="8"/>
  <c r="M370" i="8" s="1"/>
  <c r="Y369" i="8"/>
  <c r="X369" i="8"/>
  <c r="U369" i="8"/>
  <c r="D369" i="8"/>
  <c r="M369" i="8" s="1"/>
  <c r="Y367" i="8"/>
  <c r="X367" i="8"/>
  <c r="U367" i="8"/>
  <c r="D367" i="8"/>
  <c r="M367" i="8" s="1"/>
  <c r="Y366" i="8"/>
  <c r="X366" i="8"/>
  <c r="U366" i="8"/>
  <c r="D366" i="8"/>
  <c r="M366" i="8" s="1"/>
  <c r="Y365" i="8"/>
  <c r="U365" i="8"/>
  <c r="D365" i="8"/>
  <c r="M365" i="8" s="1"/>
  <c r="Y364" i="8"/>
  <c r="U364" i="8"/>
  <c r="D364" i="8"/>
  <c r="M364" i="8" s="1"/>
  <c r="Y363" i="8"/>
  <c r="U363" i="8"/>
  <c r="D363" i="8"/>
  <c r="M363" i="8" s="1"/>
  <c r="Y362" i="8"/>
  <c r="X362" i="8"/>
  <c r="U362" i="8"/>
  <c r="D362" i="8"/>
  <c r="M362" i="8" s="1"/>
  <c r="Y361" i="8"/>
  <c r="X361" i="8"/>
  <c r="U361" i="8"/>
  <c r="D361" i="8"/>
  <c r="M361" i="8" s="1"/>
  <c r="Y360" i="8"/>
  <c r="X360" i="8"/>
  <c r="U360" i="8"/>
  <c r="D360" i="8"/>
  <c r="M360" i="8" s="1"/>
  <c r="Y359" i="8"/>
  <c r="X359" i="8"/>
  <c r="U359" i="8"/>
  <c r="D359" i="8"/>
  <c r="M359" i="8" s="1"/>
  <c r="Y358" i="8"/>
  <c r="X358" i="8"/>
  <c r="U358" i="8"/>
  <c r="D358" i="8"/>
  <c r="M358" i="8" s="1"/>
  <c r="Y357" i="8"/>
  <c r="X357" i="8"/>
  <c r="U357" i="8"/>
  <c r="D357" i="8"/>
  <c r="M357" i="8" s="1"/>
  <c r="Y356" i="8"/>
  <c r="X356" i="8"/>
  <c r="U356" i="8"/>
  <c r="D356" i="8"/>
  <c r="M356" i="8" s="1"/>
  <c r="Y355" i="8"/>
  <c r="U355" i="8"/>
  <c r="D355" i="8"/>
  <c r="M355" i="8" s="1"/>
  <c r="Y354" i="8"/>
  <c r="U354" i="8"/>
  <c r="D354" i="8"/>
  <c r="M354" i="8" s="1"/>
  <c r="Y353" i="8"/>
  <c r="U353" i="8"/>
  <c r="D353" i="8"/>
  <c r="M353" i="8" s="1"/>
  <c r="Y352" i="8"/>
  <c r="U352" i="8"/>
  <c r="D352" i="8"/>
  <c r="M352" i="8" s="1"/>
  <c r="Y351" i="8"/>
  <c r="U351" i="8"/>
  <c r="D351" i="8"/>
  <c r="M351" i="8" s="1"/>
  <c r="Y350" i="8"/>
  <c r="U350" i="8"/>
  <c r="D350" i="8"/>
  <c r="M350" i="8" s="1"/>
  <c r="Y349" i="8"/>
  <c r="U349" i="8"/>
  <c r="D349" i="8"/>
  <c r="M349" i="8" s="1"/>
  <c r="Y348" i="8"/>
  <c r="U348" i="8"/>
  <c r="D348" i="8"/>
  <c r="M348" i="8" s="1"/>
  <c r="Y347" i="8"/>
  <c r="U347" i="8"/>
  <c r="D347" i="8"/>
  <c r="M347" i="8" s="1"/>
  <c r="Y346" i="8"/>
  <c r="U346" i="8"/>
  <c r="D346" i="8"/>
  <c r="M346" i="8" s="1"/>
  <c r="Y345" i="8"/>
  <c r="U345" i="8"/>
  <c r="D345" i="8"/>
  <c r="M345" i="8" s="1"/>
  <c r="Y344" i="8"/>
  <c r="X344" i="8"/>
  <c r="U344" i="8"/>
  <c r="D344" i="8"/>
  <c r="M344" i="8" s="1"/>
  <c r="Y343" i="8"/>
  <c r="U343" i="8"/>
  <c r="D343" i="8"/>
  <c r="M343" i="8" s="1"/>
  <c r="Y342" i="8"/>
  <c r="U342" i="8"/>
  <c r="D342" i="8"/>
  <c r="M342" i="8" s="1"/>
  <c r="Y341" i="8"/>
  <c r="U341" i="8"/>
  <c r="D341" i="8"/>
  <c r="M341" i="8" s="1"/>
  <c r="Y340" i="8"/>
  <c r="U340" i="8"/>
  <c r="D340" i="8"/>
  <c r="M340" i="8" s="1"/>
  <c r="Y339" i="8"/>
  <c r="U339" i="8"/>
  <c r="D339" i="8"/>
  <c r="M339" i="8" s="1"/>
  <c r="Y338" i="8"/>
  <c r="U338" i="8"/>
  <c r="D338" i="8"/>
  <c r="M338" i="8" s="1"/>
  <c r="Y337" i="8"/>
  <c r="U337" i="8"/>
  <c r="D337" i="8"/>
  <c r="M337" i="8" s="1"/>
  <c r="Y336" i="8"/>
  <c r="U336" i="8"/>
  <c r="D336" i="8"/>
  <c r="M336" i="8" s="1"/>
  <c r="Y335" i="8"/>
  <c r="X335" i="8"/>
  <c r="U335" i="8"/>
  <c r="D335" i="8"/>
  <c r="M335" i="8" s="1"/>
  <c r="Y334" i="8"/>
  <c r="X334" i="8"/>
  <c r="U334" i="8"/>
  <c r="D334" i="8"/>
  <c r="M334" i="8" s="1"/>
  <c r="Y333" i="8"/>
  <c r="X333" i="8"/>
  <c r="U333" i="8"/>
  <c r="D333" i="8"/>
  <c r="M333" i="8" s="1"/>
  <c r="Y332" i="8"/>
  <c r="X332" i="8"/>
  <c r="U332" i="8"/>
  <c r="D332" i="8"/>
  <c r="M332" i="8" s="1"/>
  <c r="Y331" i="8"/>
  <c r="X331" i="8"/>
  <c r="U331" i="8"/>
  <c r="D331" i="8"/>
  <c r="M331" i="8" s="1"/>
  <c r="Y330" i="8"/>
  <c r="X330" i="8"/>
  <c r="U330" i="8"/>
  <c r="D330" i="8"/>
  <c r="M330" i="8" s="1"/>
  <c r="Y329" i="8"/>
  <c r="X329" i="8"/>
  <c r="U329" i="8"/>
  <c r="D329" i="8"/>
  <c r="M329" i="8" s="1"/>
  <c r="Y328" i="8"/>
  <c r="X328" i="8"/>
  <c r="U328" i="8"/>
  <c r="D328" i="8"/>
  <c r="M328" i="8" s="1"/>
  <c r="Y327" i="8"/>
  <c r="X327" i="8"/>
  <c r="U327" i="8"/>
  <c r="D327" i="8"/>
  <c r="M327" i="8" s="1"/>
  <c r="Y326" i="8"/>
  <c r="X326" i="8"/>
  <c r="U326" i="8"/>
  <c r="D326" i="8"/>
  <c r="M326" i="8" s="1"/>
  <c r="Y325" i="8"/>
  <c r="U325" i="8"/>
  <c r="D325" i="8"/>
  <c r="M325" i="8" s="1"/>
  <c r="Y324" i="8"/>
  <c r="U324" i="8"/>
  <c r="D324" i="8"/>
  <c r="M324" i="8" s="1"/>
  <c r="Y323" i="8"/>
  <c r="U323" i="8"/>
  <c r="D323" i="8"/>
  <c r="M323" i="8" s="1"/>
  <c r="Y322" i="8"/>
  <c r="U322" i="8"/>
  <c r="D322" i="8"/>
  <c r="M322" i="8" s="1"/>
  <c r="Y321" i="8"/>
  <c r="D321" i="8"/>
  <c r="M321" i="8" s="1"/>
  <c r="Y320" i="8"/>
  <c r="U320" i="8"/>
  <c r="D320" i="8"/>
  <c r="M320" i="8" s="1"/>
  <c r="Y319" i="8"/>
  <c r="X319" i="8"/>
  <c r="U319" i="8"/>
  <c r="D319" i="8"/>
  <c r="M319" i="8" s="1"/>
  <c r="Y318" i="8"/>
  <c r="X318" i="8"/>
  <c r="U318" i="8"/>
  <c r="D318" i="8"/>
  <c r="M318" i="8" s="1"/>
  <c r="Y317" i="8"/>
  <c r="U317" i="8"/>
  <c r="D317" i="8"/>
  <c r="M317" i="8" s="1"/>
  <c r="Y316" i="8"/>
  <c r="U316" i="8"/>
  <c r="D316" i="8"/>
  <c r="M316" i="8" s="1"/>
  <c r="Y315" i="8"/>
  <c r="U315" i="8"/>
  <c r="D315" i="8"/>
  <c r="M315" i="8" s="1"/>
  <c r="Y314" i="8"/>
  <c r="U314" i="8"/>
  <c r="D314" i="8"/>
  <c r="M314" i="8" s="1"/>
  <c r="Y313" i="8"/>
  <c r="U313" i="8"/>
  <c r="D313" i="8"/>
  <c r="M313" i="8" s="1"/>
  <c r="Y312" i="8"/>
  <c r="U312" i="8"/>
  <c r="D312" i="8"/>
  <c r="M312" i="8" s="1"/>
  <c r="Y311" i="8"/>
  <c r="X311" i="8"/>
  <c r="U311" i="8"/>
  <c r="D311" i="8"/>
  <c r="M311" i="8" s="1"/>
  <c r="Y310" i="8"/>
  <c r="U310" i="8"/>
  <c r="D310" i="8"/>
  <c r="M310" i="8" s="1"/>
  <c r="Y309" i="8"/>
  <c r="X309" i="8"/>
  <c r="U309" i="8"/>
  <c r="D309" i="8"/>
  <c r="M309" i="8" s="1"/>
  <c r="Y308" i="8"/>
  <c r="X308" i="8"/>
  <c r="U308" i="8"/>
  <c r="D308" i="8"/>
  <c r="M308" i="8" s="1"/>
  <c r="Y305" i="8"/>
  <c r="U305" i="8"/>
  <c r="D305" i="8"/>
  <c r="M305" i="8" s="1"/>
  <c r="Y304" i="8"/>
  <c r="U304" i="8"/>
  <c r="D304" i="8"/>
  <c r="M304" i="8" s="1"/>
  <c r="Y303" i="8"/>
  <c r="U303" i="8"/>
  <c r="D303" i="8"/>
  <c r="M303" i="8" s="1"/>
  <c r="Y302" i="8"/>
  <c r="U302" i="8"/>
  <c r="D302" i="8"/>
  <c r="M302" i="8" s="1"/>
  <c r="Y301" i="8"/>
  <c r="U301" i="8"/>
  <c r="D301" i="8"/>
  <c r="M301" i="8" s="1"/>
  <c r="Y300" i="8"/>
  <c r="U300" i="8"/>
  <c r="D300" i="8"/>
  <c r="M300" i="8" s="1"/>
  <c r="Y299" i="8"/>
  <c r="U299" i="8"/>
  <c r="D299" i="8"/>
  <c r="M299" i="8" s="1"/>
  <c r="Y298" i="8"/>
  <c r="U298" i="8"/>
  <c r="D298" i="8"/>
  <c r="M298" i="8" s="1"/>
  <c r="Y297" i="8"/>
  <c r="U297" i="8"/>
  <c r="D297" i="8"/>
  <c r="M297" i="8" s="1"/>
  <c r="Y296" i="8"/>
  <c r="U296" i="8"/>
  <c r="D296" i="8"/>
  <c r="M296" i="8" s="1"/>
  <c r="Y295" i="8"/>
  <c r="U295" i="8"/>
  <c r="D295" i="8"/>
  <c r="M295" i="8" s="1"/>
  <c r="Y294" i="8"/>
  <c r="U294" i="8"/>
  <c r="D294" i="8"/>
  <c r="M294" i="8" s="1"/>
  <c r="Y293" i="8"/>
  <c r="X293" i="8"/>
  <c r="U293" i="8"/>
  <c r="D293" i="8"/>
  <c r="M293" i="8" s="1"/>
  <c r="Y292" i="8"/>
  <c r="X292" i="8"/>
  <c r="U292" i="8"/>
  <c r="D292" i="8"/>
  <c r="M292" i="8" s="1"/>
  <c r="Y291" i="8"/>
  <c r="X291" i="8"/>
  <c r="U291" i="8"/>
  <c r="D291" i="8"/>
  <c r="M291" i="8" s="1"/>
  <c r="Y290" i="8"/>
  <c r="X290" i="8"/>
  <c r="U290" i="8"/>
  <c r="D290" i="8"/>
  <c r="M290" i="8" s="1"/>
  <c r="Y289" i="8"/>
  <c r="X289" i="8"/>
  <c r="U289" i="8"/>
  <c r="D289" i="8"/>
  <c r="M289" i="8" s="1"/>
  <c r="Y288" i="8"/>
  <c r="X288" i="8"/>
  <c r="U288" i="8"/>
  <c r="D288" i="8"/>
  <c r="M288" i="8" s="1"/>
  <c r="Y287" i="8"/>
  <c r="X287" i="8"/>
  <c r="U287" i="8"/>
  <c r="D287" i="8"/>
  <c r="M287" i="8" s="1"/>
  <c r="Y285" i="8"/>
  <c r="X285" i="8"/>
  <c r="U285" i="8"/>
  <c r="D285" i="8"/>
  <c r="M285" i="8" s="1"/>
  <c r="Y284" i="8"/>
  <c r="U284" i="8"/>
  <c r="D284" i="8"/>
  <c r="M284" i="8" s="1"/>
  <c r="Y283" i="8"/>
  <c r="U283" i="8"/>
  <c r="D283" i="8"/>
  <c r="M283" i="8" s="1"/>
  <c r="Y282" i="8"/>
  <c r="U282" i="8"/>
  <c r="D282" i="8"/>
  <c r="M282" i="8" s="1"/>
  <c r="Y281" i="8"/>
  <c r="U281" i="8"/>
  <c r="D281" i="8"/>
  <c r="M281" i="8" s="1"/>
  <c r="Y280" i="8"/>
  <c r="X280" i="8"/>
  <c r="U280" i="8"/>
  <c r="D280" i="8"/>
  <c r="M280" i="8" s="1"/>
  <c r="Y279" i="8"/>
  <c r="X279" i="8"/>
  <c r="U279" i="8"/>
  <c r="D279" i="8"/>
  <c r="M279" i="8" s="1"/>
  <c r="Y278" i="8"/>
  <c r="X278" i="8"/>
  <c r="U278" i="8"/>
  <c r="D278" i="8"/>
  <c r="M278" i="8" s="1"/>
  <c r="X277" i="8"/>
  <c r="D277" i="8"/>
  <c r="M277" i="8" s="1"/>
  <c r="Y276" i="8"/>
  <c r="X276" i="8"/>
  <c r="U276" i="8"/>
  <c r="D276" i="8"/>
  <c r="M276" i="8" s="1"/>
  <c r="Y275" i="8"/>
  <c r="U275" i="8"/>
  <c r="D275" i="8"/>
  <c r="M275" i="8" s="1"/>
  <c r="Y274" i="8"/>
  <c r="U274" i="8"/>
  <c r="D274" i="8"/>
  <c r="M274" i="8" s="1"/>
  <c r="Y273" i="8"/>
  <c r="U273" i="8"/>
  <c r="D273" i="8"/>
  <c r="M273" i="8" s="1"/>
  <c r="Y272" i="8"/>
  <c r="U272" i="8"/>
  <c r="D272" i="8"/>
  <c r="M272" i="8" s="1"/>
  <c r="Y271" i="8"/>
  <c r="U271" i="8"/>
  <c r="D271" i="8"/>
  <c r="M271" i="8" s="1"/>
  <c r="Y270" i="8"/>
  <c r="U270" i="8"/>
  <c r="D270" i="8"/>
  <c r="M270" i="8" s="1"/>
  <c r="Y269" i="8"/>
  <c r="U269" i="8"/>
  <c r="D269" i="8"/>
  <c r="M269" i="8" s="1"/>
  <c r="Y268" i="8"/>
  <c r="U268" i="8"/>
  <c r="D268" i="8"/>
  <c r="M268" i="8" s="1"/>
  <c r="Y267" i="8"/>
  <c r="U267" i="8"/>
  <c r="D267" i="8"/>
  <c r="M267" i="8" s="1"/>
  <c r="Y266" i="8"/>
  <c r="U266" i="8"/>
  <c r="D266" i="8"/>
  <c r="M266" i="8" s="1"/>
  <c r="Y265" i="8"/>
  <c r="X265" i="8"/>
  <c r="U265" i="8"/>
  <c r="D265" i="8"/>
  <c r="M265" i="8" s="1"/>
  <c r="Y264" i="8"/>
  <c r="U264" i="8"/>
  <c r="D264" i="8"/>
  <c r="M264" i="8" s="1"/>
  <c r="Y263" i="8"/>
  <c r="U263" i="8"/>
  <c r="D263" i="8"/>
  <c r="M263" i="8" s="1"/>
  <c r="Y262" i="8"/>
  <c r="U262" i="8"/>
  <c r="D262" i="8"/>
  <c r="M262" i="8" s="1"/>
  <c r="Y261" i="8"/>
  <c r="U261" i="8"/>
  <c r="D261" i="8"/>
  <c r="M261" i="8" s="1"/>
  <c r="Y260" i="8"/>
  <c r="U260" i="8"/>
  <c r="D260" i="8"/>
  <c r="M260" i="8" s="1"/>
  <c r="Y259" i="8"/>
  <c r="U259" i="8"/>
  <c r="D259" i="8"/>
  <c r="M259" i="8" s="1"/>
  <c r="Y258" i="8"/>
  <c r="X258" i="8"/>
  <c r="U258" i="8"/>
  <c r="D258" i="8"/>
  <c r="M258" i="8" s="1"/>
  <c r="Y257" i="8"/>
  <c r="U257" i="8"/>
  <c r="D257" i="8"/>
  <c r="M257" i="8" s="1"/>
  <c r="Y256" i="8"/>
  <c r="U256" i="8"/>
  <c r="D256" i="8"/>
  <c r="M256" i="8" s="1"/>
  <c r="Y255" i="8"/>
  <c r="U255" i="8"/>
  <c r="D255" i="8"/>
  <c r="M255" i="8" s="1"/>
  <c r="Y254" i="8"/>
  <c r="U254" i="8"/>
  <c r="D254" i="8"/>
  <c r="M254" i="8" s="1"/>
  <c r="Y253" i="8"/>
  <c r="U253" i="8"/>
  <c r="D253" i="8"/>
  <c r="M253" i="8" s="1"/>
  <c r="Y252" i="8"/>
  <c r="U252" i="8"/>
  <c r="D252" i="8"/>
  <c r="M252" i="8" s="1"/>
  <c r="Y251" i="8"/>
  <c r="X251" i="8"/>
  <c r="U251" i="8"/>
  <c r="D251" i="8"/>
  <c r="M251" i="8" s="1"/>
  <c r="Y250" i="8"/>
  <c r="U250" i="8"/>
  <c r="D250" i="8"/>
  <c r="M250" i="8" s="1"/>
  <c r="Y249" i="8"/>
  <c r="U249" i="8"/>
  <c r="D249" i="8"/>
  <c r="M249" i="8" s="1"/>
  <c r="Y248" i="8"/>
  <c r="U248" i="8"/>
  <c r="D248" i="8"/>
  <c r="M248" i="8" s="1"/>
  <c r="Y247" i="8"/>
  <c r="U247" i="8"/>
  <c r="D247" i="8"/>
  <c r="M247" i="8" s="1"/>
  <c r="Y246" i="8"/>
  <c r="U246" i="8"/>
  <c r="D246" i="8"/>
  <c r="M246" i="8" s="1"/>
  <c r="Y245" i="8"/>
  <c r="U245" i="8"/>
  <c r="D245" i="8"/>
  <c r="M245" i="8" s="1"/>
  <c r="Y244" i="8"/>
  <c r="U244" i="8"/>
  <c r="D244" i="8"/>
  <c r="M244" i="8" s="1"/>
  <c r="Y243" i="8"/>
  <c r="U243" i="8"/>
  <c r="D243" i="8"/>
  <c r="M243" i="8" s="1"/>
  <c r="Y242" i="8"/>
  <c r="U242" i="8"/>
  <c r="D242" i="8"/>
  <c r="M242" i="8" s="1"/>
  <c r="Y241" i="8"/>
  <c r="X241" i="8"/>
  <c r="U241" i="8"/>
  <c r="D241" i="8"/>
  <c r="M241" i="8" s="1"/>
  <c r="Y240" i="8"/>
  <c r="U240" i="8"/>
  <c r="D240" i="8"/>
  <c r="M240" i="8" s="1"/>
  <c r="Y239" i="8"/>
  <c r="U239" i="8"/>
  <c r="D239" i="8"/>
  <c r="M239" i="8" s="1"/>
  <c r="Y238" i="8"/>
  <c r="U238" i="8"/>
  <c r="D238" i="8"/>
  <c r="M238" i="8" s="1"/>
  <c r="Y237" i="8"/>
  <c r="U237" i="8"/>
  <c r="D237" i="8"/>
  <c r="M237" i="8" s="1"/>
  <c r="Y236" i="8"/>
  <c r="U236" i="8"/>
  <c r="D236" i="8"/>
  <c r="M236" i="8" s="1"/>
  <c r="Y235" i="8"/>
  <c r="U235" i="8"/>
  <c r="D235" i="8"/>
  <c r="M235" i="8" s="1"/>
  <c r="Y234" i="8"/>
  <c r="U234" i="8"/>
  <c r="D234" i="8"/>
  <c r="M234" i="8" s="1"/>
  <c r="Y233" i="8"/>
  <c r="X233" i="8"/>
  <c r="U233" i="8"/>
  <c r="D233" i="8"/>
  <c r="M233" i="8" s="1"/>
  <c r="Y232" i="8"/>
  <c r="X232" i="8"/>
  <c r="U232" i="8"/>
  <c r="D232" i="8"/>
  <c r="M232" i="8" s="1"/>
  <c r="Y231" i="8"/>
  <c r="X231" i="8"/>
  <c r="U231" i="8"/>
  <c r="D231" i="8"/>
  <c r="M231" i="8" s="1"/>
  <c r="Y230" i="8"/>
  <c r="X230" i="8"/>
  <c r="U230" i="8"/>
  <c r="D230" i="8"/>
  <c r="M230" i="8" s="1"/>
  <c r="Y229" i="8"/>
  <c r="X229" i="8"/>
  <c r="U229" i="8"/>
  <c r="D229" i="8"/>
  <c r="M229" i="8" s="1"/>
  <c r="Y228" i="8"/>
  <c r="X228" i="8"/>
  <c r="U228" i="8"/>
  <c r="D228" i="8"/>
  <c r="M228" i="8" s="1"/>
  <c r="Y227" i="8"/>
  <c r="X227" i="8"/>
  <c r="D227" i="8"/>
  <c r="M227" i="8" s="1"/>
  <c r="Y226" i="8"/>
  <c r="X226" i="8"/>
  <c r="U226" i="8"/>
  <c r="D226" i="8"/>
  <c r="M226" i="8" s="1"/>
  <c r="Y225" i="8"/>
  <c r="X225" i="8"/>
  <c r="U225" i="8"/>
  <c r="D225" i="8"/>
  <c r="M225" i="8" s="1"/>
  <c r="Y224" i="8"/>
  <c r="X224" i="8"/>
  <c r="U224" i="8"/>
  <c r="D224" i="8"/>
  <c r="M224" i="8" s="1"/>
  <c r="Y223" i="8"/>
  <c r="X223" i="8"/>
  <c r="U223" i="8"/>
  <c r="D223" i="8"/>
  <c r="M223" i="8" s="1"/>
  <c r="Y222" i="8"/>
  <c r="X222" i="8"/>
  <c r="U222" i="8"/>
  <c r="D222" i="8"/>
  <c r="M222" i="8" s="1"/>
  <c r="Y221" i="8"/>
  <c r="X221" i="8"/>
  <c r="U221" i="8"/>
  <c r="D221" i="8"/>
  <c r="M221" i="8" s="1"/>
  <c r="Y208" i="8"/>
  <c r="X208" i="8"/>
  <c r="U208" i="8"/>
  <c r="D208" i="8"/>
  <c r="M208" i="8" s="1"/>
  <c r="Y207" i="8"/>
  <c r="X207" i="8"/>
  <c r="U207" i="8"/>
  <c r="D207" i="8"/>
  <c r="M207" i="8" s="1"/>
  <c r="Y206" i="8"/>
  <c r="X206" i="8"/>
  <c r="U206" i="8"/>
  <c r="D206" i="8"/>
  <c r="M206" i="8" s="1"/>
  <c r="Y205" i="8"/>
  <c r="X205" i="8"/>
  <c r="U205" i="8"/>
  <c r="D205" i="8"/>
  <c r="M205" i="8" s="1"/>
  <c r="Y204" i="8"/>
  <c r="X204" i="8"/>
  <c r="U204" i="8"/>
  <c r="D204" i="8"/>
  <c r="M204" i="8" s="1"/>
  <c r="Y203" i="8"/>
  <c r="X203" i="8"/>
  <c r="U203" i="8"/>
  <c r="D203" i="8"/>
  <c r="M203" i="8" s="1"/>
  <c r="Y202" i="8"/>
  <c r="X202" i="8"/>
  <c r="U202" i="8"/>
  <c r="D202" i="8"/>
  <c r="M202" i="8" s="1"/>
  <c r="Y201" i="8"/>
  <c r="X201" i="8"/>
  <c r="U201" i="8"/>
  <c r="D201" i="8"/>
  <c r="M201" i="8" s="1"/>
  <c r="Y200" i="8"/>
  <c r="X200" i="8"/>
  <c r="U200" i="8"/>
  <c r="D200" i="8"/>
  <c r="M200" i="8" s="1"/>
  <c r="Y199" i="8"/>
  <c r="X199" i="8"/>
  <c r="U199" i="8"/>
  <c r="D199" i="8"/>
  <c r="M199" i="8" s="1"/>
  <c r="Y198" i="8"/>
  <c r="X198" i="8"/>
  <c r="U198" i="8"/>
  <c r="D198" i="8"/>
  <c r="M198" i="8" s="1"/>
  <c r="Y197" i="8"/>
  <c r="X197" i="8"/>
  <c r="U197" i="8"/>
  <c r="D197" i="8"/>
  <c r="M197" i="8" s="1"/>
  <c r="Y196" i="8"/>
  <c r="X196" i="8"/>
  <c r="U196" i="8"/>
  <c r="D196" i="8"/>
  <c r="M196" i="8" s="1"/>
  <c r="Y195" i="8"/>
  <c r="X195" i="8"/>
  <c r="U195" i="8"/>
  <c r="D195" i="8"/>
  <c r="M195" i="8" s="1"/>
  <c r="Y194" i="8"/>
  <c r="X194" i="8"/>
  <c r="U194" i="8"/>
  <c r="D194" i="8"/>
  <c r="M194" i="8" s="1"/>
  <c r="Y193" i="8"/>
  <c r="X193" i="8"/>
  <c r="U193" i="8"/>
  <c r="D193" i="8"/>
  <c r="M193" i="8" s="1"/>
  <c r="Y192" i="8"/>
  <c r="X192" i="8"/>
  <c r="U192" i="8"/>
  <c r="D192" i="8"/>
  <c r="M192" i="8" s="1"/>
  <c r="Y191" i="8"/>
  <c r="X191" i="8"/>
  <c r="U191" i="8"/>
  <c r="D191" i="8"/>
  <c r="M191" i="8" s="1"/>
  <c r="Y190" i="8"/>
  <c r="X190" i="8"/>
  <c r="U190" i="8"/>
  <c r="D190" i="8"/>
  <c r="M190" i="8" s="1"/>
  <c r="Y189" i="8"/>
  <c r="X189" i="8"/>
  <c r="U189" i="8"/>
  <c r="D189" i="8"/>
  <c r="M189" i="8" s="1"/>
  <c r="Y188" i="8"/>
  <c r="X188" i="8"/>
  <c r="U188" i="8"/>
  <c r="D188" i="8"/>
  <c r="M188" i="8" s="1"/>
  <c r="Y187" i="8"/>
  <c r="X187" i="8"/>
  <c r="U187" i="8"/>
  <c r="D187" i="8"/>
  <c r="M187" i="8" s="1"/>
  <c r="Y186" i="8"/>
  <c r="X186" i="8"/>
  <c r="U186" i="8"/>
  <c r="D186" i="8"/>
  <c r="M186" i="8" s="1"/>
  <c r="Y185" i="8"/>
  <c r="X185" i="8"/>
  <c r="U185" i="8"/>
  <c r="D185" i="8"/>
  <c r="M185" i="8" s="1"/>
  <c r="Y184" i="8"/>
  <c r="X184" i="8"/>
  <c r="U184" i="8"/>
  <c r="D184" i="8"/>
  <c r="M184" i="8" s="1"/>
  <c r="Y183" i="8"/>
  <c r="X183" i="8"/>
  <c r="U183" i="8"/>
  <c r="D183" i="8"/>
  <c r="M183" i="8" s="1"/>
  <c r="Y182" i="8"/>
  <c r="X182" i="8"/>
  <c r="U182" i="8"/>
  <c r="D182" i="8"/>
  <c r="M182" i="8" s="1"/>
  <c r="Y181" i="8"/>
  <c r="X181" i="8"/>
  <c r="U181" i="8"/>
  <c r="D181" i="8"/>
  <c r="M181" i="8" s="1"/>
  <c r="Y180" i="8"/>
  <c r="X180" i="8"/>
  <c r="U180" i="8"/>
  <c r="D180" i="8"/>
  <c r="M180" i="8" s="1"/>
  <c r="Y179" i="8"/>
  <c r="X179" i="8"/>
  <c r="U179" i="8"/>
  <c r="D179" i="8"/>
  <c r="M179" i="8" s="1"/>
  <c r="Y178" i="8"/>
  <c r="X178" i="8"/>
  <c r="U178" i="8"/>
  <c r="D178" i="8"/>
  <c r="M178" i="8" s="1"/>
  <c r="Y177" i="8"/>
  <c r="X177" i="8"/>
  <c r="U177" i="8"/>
  <c r="D177" i="8"/>
  <c r="M177" i="8" s="1"/>
  <c r="Y176" i="8"/>
  <c r="X176" i="8"/>
  <c r="U176" i="8"/>
  <c r="D176" i="8"/>
  <c r="M176" i="8" s="1"/>
  <c r="Y175" i="8"/>
  <c r="X175" i="8"/>
  <c r="U175" i="8"/>
  <c r="D175" i="8"/>
  <c r="M175" i="8" s="1"/>
  <c r="Y173" i="8"/>
  <c r="X173" i="8"/>
  <c r="U173" i="8"/>
  <c r="D173" i="8"/>
  <c r="M173" i="8" s="1"/>
  <c r="Y172" i="8"/>
  <c r="X172" i="8"/>
  <c r="U172" i="8"/>
  <c r="D172" i="8"/>
  <c r="M172" i="8" s="1"/>
  <c r="Y171" i="8"/>
  <c r="X171" i="8"/>
  <c r="U171" i="8"/>
  <c r="D171" i="8"/>
  <c r="M171" i="8" s="1"/>
  <c r="Y170" i="8"/>
  <c r="X170" i="8"/>
  <c r="U170" i="8"/>
  <c r="D170" i="8"/>
  <c r="M170" i="8" s="1"/>
  <c r="Y169" i="8"/>
  <c r="X169" i="8"/>
  <c r="U169" i="8"/>
  <c r="D169" i="8"/>
  <c r="M169" i="8" s="1"/>
  <c r="Y168" i="8"/>
  <c r="X168" i="8"/>
  <c r="U168" i="8"/>
  <c r="D168" i="8"/>
  <c r="M168" i="8" s="1"/>
  <c r="Y167" i="8"/>
  <c r="X167" i="8"/>
  <c r="U167" i="8"/>
  <c r="D167" i="8"/>
  <c r="M167" i="8" s="1"/>
  <c r="Y166" i="8"/>
  <c r="X166" i="8"/>
  <c r="U166" i="8"/>
  <c r="D166" i="8"/>
  <c r="M166" i="8" s="1"/>
  <c r="Y165" i="8"/>
  <c r="X165" i="8"/>
  <c r="U165" i="8"/>
  <c r="D165" i="8"/>
  <c r="M165" i="8" s="1"/>
  <c r="Y164" i="8"/>
  <c r="X164" i="8"/>
  <c r="U164" i="8"/>
  <c r="D164" i="8"/>
  <c r="M164" i="8" s="1"/>
  <c r="Y163" i="8"/>
  <c r="X163" i="8"/>
  <c r="U163" i="8"/>
  <c r="D163" i="8"/>
  <c r="M163" i="8" s="1"/>
  <c r="Y162" i="8"/>
  <c r="X162" i="8"/>
  <c r="U162" i="8"/>
  <c r="D162" i="8"/>
  <c r="M162" i="8" s="1"/>
  <c r="Y161" i="8"/>
  <c r="X161" i="8"/>
  <c r="U161" i="8"/>
  <c r="D161" i="8"/>
  <c r="M161" i="8" s="1"/>
  <c r="Y160" i="8"/>
  <c r="X160" i="8"/>
  <c r="U160" i="8"/>
  <c r="D160" i="8"/>
  <c r="M160" i="8" s="1"/>
  <c r="Y159" i="8"/>
  <c r="X159" i="8"/>
  <c r="U159" i="8"/>
  <c r="D159" i="8"/>
  <c r="M159" i="8" s="1"/>
  <c r="Y158" i="8"/>
  <c r="X158" i="8"/>
  <c r="U158" i="8"/>
  <c r="D158" i="8"/>
  <c r="M158" i="8" s="1"/>
  <c r="Y157" i="8"/>
  <c r="X157" i="8"/>
  <c r="U157" i="8"/>
  <c r="D157" i="8"/>
  <c r="M157" i="8" s="1"/>
  <c r="Y156" i="8"/>
  <c r="X156" i="8"/>
  <c r="U156" i="8"/>
  <c r="D156" i="8"/>
  <c r="M156" i="8" s="1"/>
  <c r="Y155" i="8"/>
  <c r="X155" i="8"/>
  <c r="U155" i="8"/>
  <c r="D155" i="8"/>
  <c r="M155" i="8" s="1"/>
  <c r="Y154" i="8"/>
  <c r="X154" i="8"/>
  <c r="U154" i="8"/>
  <c r="D154" i="8"/>
  <c r="M154" i="8" s="1"/>
  <c r="Y153" i="8"/>
  <c r="X153" i="8"/>
  <c r="U153" i="8"/>
  <c r="D153" i="8"/>
  <c r="M153" i="8" s="1"/>
  <c r="Y152" i="8"/>
  <c r="X152" i="8"/>
  <c r="U152" i="8"/>
  <c r="D152" i="8"/>
  <c r="M152" i="8" s="1"/>
  <c r="Y151" i="8"/>
  <c r="X151" i="8"/>
  <c r="U151" i="8"/>
  <c r="D151" i="8"/>
  <c r="M151" i="8" s="1"/>
  <c r="Y150" i="8"/>
  <c r="X150" i="8"/>
  <c r="U150" i="8"/>
  <c r="D150" i="8"/>
  <c r="M150" i="8" s="1"/>
  <c r="Y149" i="8"/>
  <c r="X149" i="8"/>
  <c r="U149" i="8"/>
  <c r="D149" i="8"/>
  <c r="M149" i="8" s="1"/>
  <c r="Y148" i="8"/>
  <c r="X148" i="8"/>
  <c r="U148" i="8"/>
  <c r="D148" i="8"/>
  <c r="M148" i="8" s="1"/>
  <c r="Y147" i="8"/>
  <c r="X147" i="8"/>
  <c r="U147" i="8"/>
  <c r="D147" i="8"/>
  <c r="M147" i="8" s="1"/>
  <c r="Y146" i="8"/>
  <c r="X146" i="8"/>
  <c r="U146" i="8"/>
  <c r="D146" i="8"/>
  <c r="M146" i="8" s="1"/>
  <c r="Y145" i="8"/>
  <c r="X145" i="8"/>
  <c r="U145" i="8"/>
  <c r="D145" i="8"/>
  <c r="M145" i="8" s="1"/>
  <c r="Y144" i="8"/>
  <c r="X144" i="8"/>
  <c r="U144" i="8"/>
  <c r="D144" i="8"/>
  <c r="M144" i="8" s="1"/>
  <c r="Y143" i="8"/>
  <c r="X143" i="8"/>
  <c r="U143" i="8"/>
  <c r="D143" i="8"/>
  <c r="M143" i="8" s="1"/>
  <c r="Y142" i="8"/>
  <c r="X142" i="8"/>
  <c r="U142" i="8"/>
  <c r="D142" i="8"/>
  <c r="M142" i="8" s="1"/>
  <c r="Y141" i="8"/>
  <c r="X141" i="8"/>
  <c r="U141" i="8"/>
  <c r="D141" i="8"/>
  <c r="M141" i="8" s="1"/>
  <c r="Y139" i="8"/>
  <c r="X139" i="8"/>
  <c r="U139" i="8"/>
  <c r="D139" i="8"/>
  <c r="M139" i="8" s="1"/>
  <c r="Y138" i="8"/>
  <c r="X138" i="8"/>
  <c r="U138" i="8"/>
  <c r="D138" i="8"/>
  <c r="M138" i="8" s="1"/>
  <c r="Y137" i="8"/>
  <c r="X137" i="8"/>
  <c r="U137" i="8"/>
  <c r="D137" i="8"/>
  <c r="M137" i="8" s="1"/>
  <c r="Y136" i="8"/>
  <c r="X136" i="8"/>
  <c r="U136" i="8"/>
  <c r="D136" i="8"/>
  <c r="M136" i="8" s="1"/>
  <c r="Y135" i="8"/>
  <c r="X135" i="8"/>
  <c r="U135" i="8"/>
  <c r="D135" i="8"/>
  <c r="M135" i="8" s="1"/>
  <c r="Y134" i="8"/>
  <c r="X134" i="8"/>
  <c r="U134" i="8"/>
  <c r="D134" i="8"/>
  <c r="M134" i="8" s="1"/>
  <c r="Y133" i="8"/>
  <c r="X133" i="8"/>
  <c r="U133" i="8"/>
  <c r="D133" i="8"/>
  <c r="M133" i="8" s="1"/>
  <c r="Y132" i="8"/>
  <c r="X132" i="8"/>
  <c r="U132" i="8"/>
  <c r="D132" i="8"/>
  <c r="M132" i="8" s="1"/>
  <c r="Y131" i="8"/>
  <c r="X131" i="8"/>
  <c r="U131" i="8"/>
  <c r="D131" i="8"/>
  <c r="M131" i="8" s="1"/>
  <c r="Y130" i="8"/>
  <c r="X130" i="8"/>
  <c r="U130" i="8"/>
  <c r="D130" i="8"/>
  <c r="M130" i="8" s="1"/>
  <c r="Y129" i="8"/>
  <c r="X129" i="8"/>
  <c r="U129" i="8"/>
  <c r="D129" i="8"/>
  <c r="M129" i="8" s="1"/>
  <c r="Y128" i="8"/>
  <c r="X128" i="8"/>
  <c r="U128" i="8"/>
  <c r="D128" i="8"/>
  <c r="M128" i="8" s="1"/>
  <c r="Y127" i="8"/>
  <c r="X127" i="8"/>
  <c r="U127" i="8"/>
  <c r="D127" i="8"/>
  <c r="M127" i="8" s="1"/>
  <c r="Y126" i="8"/>
  <c r="X126" i="8"/>
  <c r="U126" i="8"/>
  <c r="D126" i="8"/>
  <c r="M126" i="8" s="1"/>
  <c r="Y125" i="8"/>
  <c r="X125" i="8"/>
  <c r="U125" i="8"/>
  <c r="D125" i="8"/>
  <c r="M125" i="8" s="1"/>
  <c r="Y124" i="8"/>
  <c r="X124" i="8"/>
  <c r="U124" i="8"/>
  <c r="D124" i="8"/>
  <c r="M124" i="8" s="1"/>
  <c r="Y123" i="8"/>
  <c r="X123" i="8"/>
  <c r="U123" i="8"/>
  <c r="D123" i="8"/>
  <c r="M123" i="8" s="1"/>
  <c r="Y122" i="8"/>
  <c r="X122" i="8"/>
  <c r="U122" i="8"/>
  <c r="D122" i="8"/>
  <c r="M122" i="8" s="1"/>
  <c r="Y121" i="8"/>
  <c r="X121" i="8"/>
  <c r="U121" i="8"/>
  <c r="D121" i="8"/>
  <c r="M121" i="8" s="1"/>
  <c r="Y120" i="8"/>
  <c r="X120" i="8"/>
  <c r="U120" i="8"/>
  <c r="D120" i="8"/>
  <c r="M120" i="8" s="1"/>
  <c r="Y119" i="8"/>
  <c r="X119" i="8"/>
  <c r="U119" i="8"/>
  <c r="D119" i="8"/>
  <c r="M119" i="8" s="1"/>
  <c r="Y118" i="8"/>
  <c r="X118" i="8"/>
  <c r="U118" i="8"/>
  <c r="D118" i="8"/>
  <c r="M118" i="8" s="1"/>
  <c r="Y117" i="8"/>
  <c r="X117" i="8"/>
  <c r="U117" i="8"/>
  <c r="D117" i="8"/>
  <c r="M117" i="8" s="1"/>
  <c r="Y116" i="8"/>
  <c r="X116" i="8"/>
  <c r="U116" i="8"/>
  <c r="D116" i="8"/>
  <c r="M116" i="8" s="1"/>
  <c r="Y115" i="8"/>
  <c r="X115" i="8"/>
  <c r="U115" i="8"/>
  <c r="D115" i="8"/>
  <c r="M115" i="8" s="1"/>
  <c r="Y114" i="8"/>
  <c r="X114" i="8"/>
  <c r="U114" i="8"/>
  <c r="D114" i="8"/>
  <c r="M114" i="8" s="1"/>
  <c r="Y113" i="8"/>
  <c r="X113" i="8"/>
  <c r="U113" i="8"/>
  <c r="D113" i="8"/>
  <c r="M113" i="8" s="1"/>
  <c r="Y112" i="8"/>
  <c r="X112" i="8"/>
  <c r="U112" i="8"/>
  <c r="D112" i="8"/>
  <c r="M112" i="8" s="1"/>
  <c r="Y110" i="8"/>
  <c r="X110" i="8"/>
  <c r="U110" i="8"/>
  <c r="D110" i="8"/>
  <c r="M110" i="8" s="1"/>
  <c r="Y109" i="8"/>
  <c r="X109" i="8"/>
  <c r="U109" i="8"/>
  <c r="D109" i="8"/>
  <c r="M109" i="8" s="1"/>
  <c r="Y108" i="8"/>
  <c r="X108" i="8"/>
  <c r="U108" i="8"/>
  <c r="D108" i="8"/>
  <c r="M108" i="8" s="1"/>
  <c r="Y107" i="8"/>
  <c r="X107" i="8"/>
  <c r="U107" i="8"/>
  <c r="D107" i="8"/>
  <c r="M107" i="8" s="1"/>
  <c r="Y106" i="8"/>
  <c r="X106" i="8"/>
  <c r="U106" i="8"/>
  <c r="D106" i="8"/>
  <c r="M106" i="8" s="1"/>
  <c r="Y105" i="8"/>
  <c r="X105" i="8"/>
  <c r="U105" i="8"/>
  <c r="D105" i="8"/>
  <c r="M105" i="8" s="1"/>
  <c r="Y104" i="8"/>
  <c r="X104" i="8"/>
  <c r="U104" i="8"/>
  <c r="D104" i="8"/>
  <c r="M104" i="8" s="1"/>
  <c r="Y103" i="8"/>
  <c r="X103" i="8"/>
  <c r="U103" i="8"/>
  <c r="D103" i="8"/>
  <c r="M103" i="8" s="1"/>
  <c r="Y102" i="8"/>
  <c r="X102" i="8"/>
  <c r="U102" i="8"/>
  <c r="D102" i="8"/>
  <c r="M102" i="8" s="1"/>
  <c r="Y101" i="8"/>
  <c r="X101" i="8"/>
  <c r="U101" i="8"/>
  <c r="D101" i="8"/>
  <c r="M101" i="8" s="1"/>
  <c r="Y100" i="8"/>
  <c r="X100" i="8"/>
  <c r="U100" i="8"/>
  <c r="D100" i="8"/>
  <c r="M100" i="8" s="1"/>
  <c r="Y99" i="8"/>
  <c r="X99" i="8"/>
  <c r="U99" i="8"/>
  <c r="D99" i="8"/>
  <c r="M99" i="8" s="1"/>
  <c r="Y98" i="8"/>
  <c r="U98" i="8"/>
  <c r="D98" i="8"/>
  <c r="M98" i="8" s="1"/>
  <c r="Y97" i="8"/>
  <c r="U97" i="8"/>
  <c r="D97" i="8"/>
  <c r="M97" i="8" s="1"/>
  <c r="Y96" i="8"/>
  <c r="U96" i="8"/>
  <c r="D96" i="8"/>
  <c r="M96" i="8" s="1"/>
  <c r="Y95" i="8"/>
  <c r="U95" i="8"/>
  <c r="D95" i="8"/>
  <c r="M95" i="8" s="1"/>
  <c r="Y94" i="8"/>
  <c r="U94" i="8"/>
  <c r="D94" i="8"/>
  <c r="M94" i="8" s="1"/>
  <c r="Y93" i="8"/>
  <c r="X93" i="8"/>
  <c r="U93" i="8"/>
  <c r="D93" i="8"/>
  <c r="M93" i="8" s="1"/>
  <c r="Y92" i="8"/>
  <c r="X92" i="8"/>
  <c r="U92" i="8"/>
  <c r="D92" i="8"/>
  <c r="M92" i="8" s="1"/>
  <c r="Y91" i="8"/>
  <c r="X91" i="8"/>
  <c r="U91" i="8"/>
  <c r="D91" i="8"/>
  <c r="M91" i="8" s="1"/>
  <c r="Y90" i="8"/>
  <c r="X90" i="8"/>
  <c r="U90" i="8"/>
  <c r="D90" i="8"/>
  <c r="M90" i="8" s="1"/>
  <c r="Y89" i="8"/>
  <c r="X89" i="8"/>
  <c r="U89" i="8"/>
  <c r="D89" i="8"/>
  <c r="M89" i="8" s="1"/>
  <c r="Y88" i="8"/>
  <c r="X88" i="8"/>
  <c r="U88" i="8"/>
  <c r="D88" i="8"/>
  <c r="M88" i="8" s="1"/>
  <c r="Y87" i="8"/>
  <c r="X87" i="8"/>
  <c r="U87" i="8"/>
  <c r="D87" i="8"/>
  <c r="M87" i="8" s="1"/>
  <c r="Y86" i="8"/>
  <c r="X86" i="8"/>
  <c r="U86" i="8"/>
  <c r="D86" i="8"/>
  <c r="M86" i="8" s="1"/>
  <c r="Y85" i="8"/>
  <c r="X85" i="8"/>
  <c r="U85" i="8"/>
  <c r="D85" i="8"/>
  <c r="M85" i="8" s="1"/>
  <c r="Y84" i="8"/>
  <c r="U84" i="8"/>
  <c r="D84" i="8"/>
  <c r="M84" i="8" s="1"/>
  <c r="Y83" i="8"/>
  <c r="U83" i="8"/>
  <c r="D83" i="8"/>
  <c r="M83" i="8" s="1"/>
  <c r="Y82" i="8"/>
  <c r="U82" i="8"/>
  <c r="D82" i="8"/>
  <c r="M82" i="8" s="1"/>
  <c r="Y81" i="8"/>
  <c r="U81" i="8"/>
  <c r="D81" i="8"/>
  <c r="M81" i="8" s="1"/>
  <c r="Y80" i="8"/>
  <c r="U80" i="8"/>
  <c r="D80" i="8"/>
  <c r="M80" i="8" s="1"/>
  <c r="Y79" i="8"/>
  <c r="U79" i="8"/>
  <c r="D79" i="8"/>
  <c r="M79" i="8" s="1"/>
  <c r="Y78" i="8"/>
  <c r="U78" i="8"/>
  <c r="D78" i="8"/>
  <c r="M78" i="8" s="1"/>
  <c r="Y77" i="8"/>
  <c r="X77" i="8"/>
  <c r="U77" i="8"/>
  <c r="D77" i="8"/>
  <c r="M77" i="8" s="1"/>
  <c r="Y76" i="8"/>
  <c r="X76" i="8"/>
  <c r="U76" i="8"/>
  <c r="D76" i="8"/>
  <c r="M76" i="8" s="1"/>
  <c r="Y75" i="8"/>
  <c r="X75" i="8"/>
  <c r="U75" i="8"/>
  <c r="D75" i="8"/>
  <c r="M75" i="8" s="1"/>
  <c r="Y74" i="8"/>
  <c r="X74" i="8"/>
  <c r="U74" i="8"/>
  <c r="D74" i="8"/>
  <c r="M74" i="8" s="1"/>
  <c r="Y73" i="8"/>
  <c r="U73" i="8"/>
  <c r="D73" i="8"/>
  <c r="M73" i="8" s="1"/>
  <c r="Y72" i="8"/>
  <c r="U72" i="8"/>
  <c r="D72" i="8"/>
  <c r="M72" i="8" s="1"/>
  <c r="Y71" i="8"/>
  <c r="U71" i="8"/>
  <c r="D71" i="8"/>
  <c r="M71" i="8" s="1"/>
  <c r="Y70" i="8"/>
  <c r="X70" i="8"/>
  <c r="U70" i="8"/>
  <c r="D70" i="8"/>
  <c r="M70" i="8" s="1"/>
  <c r="Y69" i="8"/>
  <c r="X69" i="8"/>
  <c r="U69" i="8"/>
  <c r="D69" i="8"/>
  <c r="M69" i="8" s="1"/>
  <c r="Y68" i="8"/>
  <c r="X68" i="8"/>
  <c r="U68" i="8"/>
  <c r="D68" i="8"/>
  <c r="M68" i="8" s="1"/>
  <c r="Y67" i="8"/>
  <c r="X67" i="8"/>
  <c r="U67" i="8"/>
  <c r="D67" i="8"/>
  <c r="M67" i="8" s="1"/>
  <c r="Y66" i="8"/>
  <c r="X66" i="8"/>
  <c r="U66" i="8"/>
  <c r="D66" i="8"/>
  <c r="M66" i="8" s="1"/>
  <c r="Y65" i="8"/>
  <c r="X65" i="8"/>
  <c r="U65" i="8"/>
  <c r="D65" i="8"/>
  <c r="M65" i="8" s="1"/>
  <c r="Y64" i="8"/>
  <c r="X64" i="8"/>
  <c r="U64" i="8"/>
  <c r="D64" i="8"/>
  <c r="M64" i="8" s="1"/>
  <c r="Y63" i="8"/>
  <c r="X63" i="8"/>
  <c r="U63" i="8"/>
  <c r="D63" i="8"/>
  <c r="M63" i="8" s="1"/>
  <c r="Y62" i="8"/>
  <c r="X62" i="8"/>
  <c r="U62" i="8"/>
  <c r="D62" i="8"/>
  <c r="M62" i="8" s="1"/>
  <c r="Y61" i="8"/>
  <c r="X61" i="8"/>
  <c r="U61" i="8"/>
  <c r="D61" i="8"/>
  <c r="M61" i="8" s="1"/>
  <c r="Y60" i="8"/>
  <c r="X60" i="8"/>
  <c r="U60" i="8"/>
  <c r="D60" i="8"/>
  <c r="M60" i="8" s="1"/>
  <c r="Y59" i="8"/>
  <c r="X59" i="8"/>
  <c r="U59" i="8"/>
  <c r="D59" i="8"/>
  <c r="M59" i="8" s="1"/>
  <c r="Y58" i="8"/>
  <c r="X58" i="8"/>
  <c r="U58" i="8"/>
  <c r="D58" i="8"/>
  <c r="M58" i="8" s="1"/>
  <c r="Y57" i="8"/>
  <c r="X57" i="8"/>
  <c r="U57" i="8"/>
  <c r="D57" i="8"/>
  <c r="M57" i="8" s="1"/>
  <c r="Y56" i="8"/>
  <c r="X56" i="8"/>
  <c r="U56" i="8"/>
  <c r="D56" i="8"/>
  <c r="M56" i="8" s="1"/>
  <c r="Y55" i="8"/>
  <c r="X55" i="8"/>
  <c r="U55" i="8"/>
  <c r="D55" i="8"/>
  <c r="M55" i="8" s="1"/>
  <c r="Y53" i="8"/>
  <c r="X53" i="8"/>
  <c r="U53" i="8"/>
  <c r="D53" i="8"/>
  <c r="M53" i="8" s="1"/>
  <c r="Y51" i="8"/>
  <c r="X51" i="8"/>
  <c r="U51" i="8"/>
  <c r="D51" i="8"/>
  <c r="M51" i="8" s="1"/>
  <c r="Y50" i="8"/>
  <c r="X50" i="8"/>
  <c r="U50" i="8"/>
  <c r="D50" i="8"/>
  <c r="M50" i="8" s="1"/>
  <c r="Y49" i="8"/>
  <c r="X49" i="8"/>
  <c r="U49" i="8"/>
  <c r="D49" i="8"/>
  <c r="M49" i="8" s="1"/>
  <c r="Y48" i="8"/>
  <c r="X48" i="8"/>
  <c r="U48" i="8"/>
  <c r="D48" i="8"/>
  <c r="M48" i="8" s="1"/>
  <c r="Y47" i="8"/>
  <c r="X47" i="8"/>
  <c r="U47" i="8"/>
  <c r="D47" i="8"/>
  <c r="M47" i="8" s="1"/>
  <c r="Y46" i="8"/>
  <c r="X46" i="8"/>
  <c r="U46" i="8"/>
  <c r="D46" i="8"/>
  <c r="M46" i="8" s="1"/>
  <c r="Y45" i="8"/>
  <c r="X45" i="8"/>
  <c r="U45" i="8"/>
  <c r="D45" i="8"/>
  <c r="M45" i="8" s="1"/>
  <c r="Y44" i="8"/>
  <c r="X44" i="8"/>
  <c r="U44" i="8"/>
  <c r="D44" i="8"/>
  <c r="M44" i="8" s="1"/>
  <c r="Y43" i="8"/>
  <c r="X43" i="8"/>
  <c r="U43" i="8"/>
  <c r="D43" i="8"/>
  <c r="M43" i="8" s="1"/>
  <c r="Y42" i="8"/>
  <c r="X42" i="8"/>
  <c r="U42" i="8"/>
  <c r="D42" i="8"/>
  <c r="M42" i="8" s="1"/>
  <c r="Y41" i="8"/>
  <c r="X41" i="8"/>
  <c r="U41" i="8"/>
  <c r="D41" i="8"/>
  <c r="M41" i="8" s="1"/>
  <c r="Y40" i="8"/>
  <c r="X40" i="8"/>
  <c r="U40" i="8"/>
  <c r="D40" i="8"/>
  <c r="M40" i="8" s="1"/>
  <c r="Y39" i="8"/>
  <c r="X39" i="8"/>
  <c r="U39" i="8"/>
  <c r="D39" i="8"/>
  <c r="M39" i="8" s="1"/>
  <c r="Y38" i="8"/>
  <c r="X38" i="8"/>
  <c r="U38" i="8"/>
  <c r="D38" i="8"/>
  <c r="M38" i="8" s="1"/>
  <c r="Y37" i="8"/>
  <c r="X37" i="8"/>
  <c r="U37" i="8"/>
  <c r="D37" i="8"/>
  <c r="M37" i="8" s="1"/>
  <c r="Y36" i="8"/>
  <c r="X36" i="8"/>
  <c r="U36" i="8"/>
  <c r="D36" i="8"/>
  <c r="M36" i="8" s="1"/>
  <c r="Y35" i="8"/>
  <c r="X35" i="8"/>
  <c r="U35" i="8"/>
  <c r="D35" i="8"/>
  <c r="M35" i="8" s="1"/>
  <c r="Y34" i="8"/>
  <c r="X34" i="8"/>
  <c r="U34" i="8"/>
  <c r="D34" i="8"/>
  <c r="M34" i="8" s="1"/>
  <c r="Y33" i="8"/>
  <c r="X33" i="8"/>
  <c r="U33" i="8"/>
  <c r="D33" i="8"/>
  <c r="M33" i="8" s="1"/>
  <c r="Y32" i="8"/>
  <c r="X32" i="8"/>
  <c r="U32" i="8"/>
  <c r="D32" i="8"/>
  <c r="M32" i="8" s="1"/>
  <c r="Y31" i="8"/>
  <c r="X31" i="8"/>
  <c r="U31" i="8"/>
  <c r="D31" i="8"/>
  <c r="M31" i="8" s="1"/>
  <c r="Y30" i="8"/>
  <c r="X30" i="8"/>
  <c r="U30" i="8"/>
  <c r="D30" i="8"/>
  <c r="M30" i="8" s="1"/>
  <c r="Y29" i="8"/>
  <c r="X29" i="8"/>
  <c r="U29" i="8"/>
  <c r="D29" i="8"/>
  <c r="M29" i="8" s="1"/>
  <c r="Y28" i="8"/>
  <c r="X28" i="8"/>
  <c r="U28" i="8"/>
  <c r="D28" i="8"/>
  <c r="M28" i="8" s="1"/>
  <c r="Y27" i="8"/>
  <c r="X27" i="8"/>
  <c r="U27" i="8"/>
  <c r="D27" i="8"/>
  <c r="M27" i="8" s="1"/>
  <c r="Y26" i="8"/>
  <c r="X26" i="8"/>
  <c r="U26" i="8"/>
  <c r="D26" i="8"/>
  <c r="M26" i="8" s="1"/>
  <c r="Y25" i="8"/>
  <c r="X25" i="8"/>
  <c r="U25" i="8"/>
  <c r="D25" i="8"/>
  <c r="M25" i="8" s="1"/>
  <c r="Y24" i="8"/>
  <c r="X24" i="8"/>
  <c r="U24" i="8"/>
  <c r="D24" i="8"/>
  <c r="M24" i="8" s="1"/>
  <c r="Y23" i="8"/>
  <c r="X23" i="8"/>
  <c r="U23" i="8"/>
  <c r="D23" i="8"/>
  <c r="M23" i="8" s="1"/>
  <c r="Y22" i="8"/>
  <c r="X22" i="8"/>
  <c r="U22" i="8"/>
  <c r="D22" i="8"/>
  <c r="M22" i="8" s="1"/>
  <c r="Y21" i="8"/>
  <c r="X21" i="8"/>
  <c r="U21" i="8"/>
  <c r="D21" i="8"/>
  <c r="M21" i="8" s="1"/>
  <c r="Y20" i="8"/>
  <c r="X20" i="8"/>
  <c r="U20" i="8"/>
  <c r="D20" i="8"/>
  <c r="M20" i="8" s="1"/>
  <c r="Y19" i="8"/>
  <c r="X19" i="8"/>
  <c r="U19" i="8"/>
  <c r="D19" i="8"/>
  <c r="M19" i="8" s="1"/>
  <c r="Y16" i="8"/>
  <c r="X16" i="8"/>
  <c r="U16" i="8"/>
  <c r="D16" i="8"/>
  <c r="M16" i="8" s="1"/>
  <c r="Y15" i="8"/>
  <c r="U15" i="8"/>
  <c r="D15" i="8"/>
  <c r="M15" i="8" s="1"/>
  <c r="Y14" i="8"/>
  <c r="U14" i="8"/>
  <c r="D14" i="8"/>
  <c r="M14" i="8" s="1"/>
  <c r="Y13" i="8"/>
  <c r="U13" i="8"/>
  <c r="D13" i="8"/>
  <c r="M13" i="8" s="1"/>
  <c r="Y12" i="8"/>
  <c r="U12" i="8"/>
  <c r="D12" i="8"/>
  <c r="M12" i="8" s="1"/>
  <c r="Y11" i="8"/>
  <c r="U11" i="8"/>
  <c r="D11" i="8"/>
  <c r="M11" i="8" s="1"/>
  <c r="Y10" i="8"/>
  <c r="X10" i="8"/>
  <c r="U10" i="8"/>
  <c r="D10" i="8"/>
  <c r="M10" i="8" s="1"/>
  <c r="Y9" i="8"/>
  <c r="U9" i="8"/>
  <c r="D9" i="8"/>
  <c r="M9" i="8" s="1"/>
  <c r="Y8" i="8"/>
  <c r="U8" i="8"/>
  <c r="D8" i="8"/>
  <c r="M8" i="8" s="1"/>
  <c r="Y7" i="8"/>
  <c r="U7" i="8"/>
  <c r="D7" i="8"/>
  <c r="M7" i="8" s="1"/>
  <c r="Y6" i="8"/>
  <c r="X6" i="8"/>
  <c r="U6" i="8"/>
  <c r="D6" i="8"/>
  <c r="M6" i="8" s="1"/>
  <c r="Y5" i="8"/>
  <c r="X5" i="8"/>
  <c r="U5" i="8"/>
  <c r="D5" i="8"/>
  <c r="M5" i="8" s="1"/>
  <c r="Y4" i="8"/>
  <c r="X4" i="8"/>
  <c r="U4" i="8"/>
  <c r="D4" i="8"/>
  <c r="M4" i="8" s="1"/>
  <c r="AB1" i="8"/>
  <c r="Y15" i="7"/>
  <c r="Y16" i="7"/>
  <c r="Y17" i="7"/>
  <c r="Y18" i="7"/>
  <c r="Y19" i="7"/>
  <c r="Y20" i="7"/>
  <c r="Y26" i="7"/>
  <c r="Y28" i="7"/>
  <c r="Y29" i="7"/>
  <c r="Y30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D15" i="7"/>
  <c r="M15" i="7" s="1"/>
  <c r="D16" i="7"/>
  <c r="M16" i="7" s="1"/>
  <c r="D17" i="7"/>
  <c r="M17" i="7" s="1"/>
  <c r="D18" i="7"/>
  <c r="M18" i="7" s="1"/>
  <c r="D19" i="7"/>
  <c r="M19" i="7" s="1"/>
  <c r="D20" i="7"/>
  <c r="M20" i="7" s="1"/>
  <c r="X15" i="7"/>
  <c r="X16" i="7"/>
  <c r="X17" i="7"/>
  <c r="X18" i="7"/>
  <c r="X19" i="7"/>
  <c r="X20" i="7"/>
  <c r="X26" i="7"/>
  <c r="X28" i="7"/>
  <c r="X29" i="7"/>
  <c r="X30" i="7"/>
  <c r="X46" i="7"/>
  <c r="U15" i="7"/>
  <c r="U16" i="7"/>
  <c r="U17" i="7"/>
  <c r="U18" i="7"/>
  <c r="U19" i="7"/>
  <c r="U20" i="7"/>
  <c r="U26" i="7"/>
  <c r="U28" i="7"/>
  <c r="U29" i="7"/>
  <c r="U30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D276" i="1" l="1"/>
  <c r="D277" i="1"/>
  <c r="D278" i="1"/>
  <c r="D279" i="1"/>
  <c r="D280" i="1"/>
  <c r="D281" i="1"/>
  <c r="D289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X262" i="1"/>
  <c r="X263" i="1"/>
  <c r="X264" i="1"/>
  <c r="X271" i="1"/>
  <c r="X272" i="1"/>
  <c r="X273" i="1"/>
  <c r="X274" i="1"/>
  <c r="X275" i="1"/>
  <c r="X276" i="1"/>
  <c r="X277" i="1"/>
  <c r="X278" i="1"/>
  <c r="X279" i="1"/>
  <c r="X280" i="1"/>
  <c r="Y271" i="1"/>
  <c r="Y272" i="1"/>
  <c r="Y273" i="1"/>
  <c r="Y274" i="1"/>
  <c r="Y275" i="1"/>
  <c r="Y276" i="1"/>
  <c r="Y277" i="1"/>
  <c r="Y278" i="1"/>
  <c r="Y279" i="1"/>
  <c r="Y280" i="1"/>
  <c r="Y281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X64" i="7"/>
  <c r="D64" i="7"/>
  <c r="M64" i="7" s="1"/>
  <c r="X63" i="7"/>
  <c r="D63" i="7"/>
  <c r="M63" i="7" s="1"/>
  <c r="X62" i="7"/>
  <c r="D62" i="7"/>
  <c r="M62" i="7" s="1"/>
  <c r="X61" i="7"/>
  <c r="D61" i="7"/>
  <c r="M61" i="7" s="1"/>
  <c r="X60" i="7"/>
  <c r="D60" i="7"/>
  <c r="M60" i="7" s="1"/>
  <c r="X59" i="7"/>
  <c r="D59" i="7"/>
  <c r="M59" i="7" s="1"/>
  <c r="X58" i="7"/>
  <c r="D58" i="7"/>
  <c r="M58" i="7" s="1"/>
  <c r="X57" i="7"/>
  <c r="D57" i="7"/>
  <c r="M57" i="7" s="1"/>
  <c r="X56" i="7"/>
  <c r="D56" i="7"/>
  <c r="M56" i="7" s="1"/>
  <c r="X55" i="7"/>
  <c r="D55" i="7"/>
  <c r="M55" i="7" s="1"/>
  <c r="X54" i="7"/>
  <c r="D54" i="7"/>
  <c r="M54" i="7" s="1"/>
  <c r="X53" i="7"/>
  <c r="D53" i="7"/>
  <c r="M53" i="7" s="1"/>
  <c r="X52" i="7"/>
  <c r="D52" i="7"/>
  <c r="M52" i="7" s="1"/>
  <c r="X51" i="7"/>
  <c r="D51" i="7"/>
  <c r="M51" i="7" s="1"/>
  <c r="X50" i="7"/>
  <c r="D50" i="7"/>
  <c r="M50" i="7" s="1"/>
  <c r="X49" i="7"/>
  <c r="D49" i="7"/>
  <c r="M49" i="7" s="1"/>
  <c r="X48" i="7"/>
  <c r="D48" i="7"/>
  <c r="M48" i="7" s="1"/>
  <c r="X47" i="7"/>
  <c r="D47" i="7"/>
  <c r="M47" i="7" s="1"/>
  <c r="D46" i="7"/>
  <c r="M46" i="7" s="1"/>
  <c r="D30" i="7"/>
  <c r="M30" i="7" s="1"/>
  <c r="D29" i="7"/>
  <c r="M29" i="7" s="1"/>
  <c r="D28" i="7"/>
  <c r="M28" i="7" s="1"/>
  <c r="D26" i="7"/>
  <c r="M26" i="7" s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7" i="1"/>
  <c r="U118" i="1"/>
  <c r="U119" i="1"/>
  <c r="U120" i="1"/>
  <c r="U121" i="1"/>
  <c r="U122" i="1"/>
  <c r="U123" i="1"/>
  <c r="U124" i="1"/>
  <c r="U125" i="1"/>
  <c r="U126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81" i="1"/>
  <c r="U282" i="1"/>
  <c r="U283" i="1"/>
  <c r="U287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D275" i="1" l="1"/>
  <c r="M275" i="1" s="1"/>
  <c r="D274" i="1" l="1"/>
  <c r="M274" i="1" s="1"/>
  <c r="D273" i="1" l="1"/>
  <c r="M273" i="1" s="1"/>
  <c r="D272" i="1" l="1"/>
  <c r="M272" i="1" s="1"/>
  <c r="D271" i="1" l="1"/>
  <c r="M271" i="1" s="1"/>
  <c r="M276" i="1" l="1"/>
  <c r="Y270" i="1"/>
  <c r="D270" i="1"/>
  <c r="M270" i="1" s="1"/>
  <c r="Y269" i="1" l="1"/>
  <c r="D269" i="1"/>
  <c r="M269" i="1" s="1"/>
  <c r="Y268" i="1" l="1"/>
  <c r="D268" i="1"/>
  <c r="M268" i="1" s="1"/>
  <c r="Y267" i="1" l="1"/>
  <c r="Y266" i="1"/>
  <c r="Y265" i="1"/>
  <c r="Y264" i="1"/>
  <c r="D267" i="1" l="1"/>
  <c r="M267" i="1" s="1"/>
  <c r="Y263" i="1"/>
  <c r="Y262" i="1"/>
  <c r="D266" i="1"/>
  <c r="M266" i="1" s="1"/>
  <c r="D265" i="1"/>
  <c r="M265" i="1" s="1"/>
  <c r="D264" i="1"/>
  <c r="M264" i="1" s="1"/>
  <c r="D263" i="1"/>
  <c r="M263" i="1" s="1"/>
  <c r="D262" i="1"/>
  <c r="M262" i="1" s="1"/>
  <c r="M277" i="1" l="1"/>
  <c r="Y304" i="1" l="1"/>
  <c r="X304" i="1"/>
  <c r="M304" i="1"/>
  <c r="Y303" i="1"/>
  <c r="X303" i="1"/>
  <c r="M303" i="1"/>
  <c r="Y302" i="1"/>
  <c r="X302" i="1"/>
  <c r="M302" i="1"/>
  <c r="Y301" i="1"/>
  <c r="X301" i="1"/>
  <c r="M301" i="1"/>
  <c r="Y300" i="1"/>
  <c r="X300" i="1"/>
  <c r="M300" i="1"/>
  <c r="Y299" i="1"/>
  <c r="X299" i="1"/>
  <c r="M299" i="1"/>
  <c r="Y298" i="1"/>
  <c r="X298" i="1"/>
  <c r="M298" i="1"/>
  <c r="Y297" i="1"/>
  <c r="X297" i="1"/>
  <c r="M297" i="1"/>
  <c r="Y296" i="1"/>
  <c r="X296" i="1"/>
  <c r="M296" i="1"/>
  <c r="Y295" i="1"/>
  <c r="X295" i="1"/>
  <c r="M295" i="1"/>
  <c r="Y294" i="1"/>
  <c r="X294" i="1"/>
  <c r="M294" i="1"/>
  <c r="Y293" i="1"/>
  <c r="X293" i="1"/>
  <c r="M293" i="1"/>
  <c r="Y292" i="1"/>
  <c r="X292" i="1"/>
  <c r="M292" i="1"/>
  <c r="Y291" i="1"/>
  <c r="X291" i="1"/>
  <c r="M291" i="1"/>
  <c r="Y290" i="1"/>
  <c r="X290" i="1"/>
  <c r="M290" i="1"/>
  <c r="Y289" i="1"/>
  <c r="X289" i="1"/>
  <c r="M289" i="1"/>
  <c r="Y287" i="1"/>
  <c r="X287" i="1"/>
  <c r="M287" i="1"/>
  <c r="Y283" i="1"/>
  <c r="X283" i="1"/>
  <c r="M283" i="1"/>
  <c r="Y282" i="1"/>
  <c r="X282" i="1"/>
  <c r="M282" i="1"/>
  <c r="X281" i="1"/>
  <c r="M281" i="1"/>
  <c r="M280" i="1"/>
  <c r="M279" i="1"/>
  <c r="M278" i="1"/>
  <c r="AB1" i="1" l="1"/>
  <c r="D4" i="1" l="1"/>
  <c r="X249" i="1" l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48" i="1"/>
  <c r="Y248" i="1"/>
  <c r="D249" i="1"/>
  <c r="M249" i="1" s="1"/>
  <c r="D250" i="1"/>
  <c r="M250" i="1" s="1"/>
  <c r="D251" i="1"/>
  <c r="M251" i="1" s="1"/>
  <c r="D252" i="1"/>
  <c r="M252" i="1" s="1"/>
  <c r="D253" i="1"/>
  <c r="M253" i="1" s="1"/>
  <c r="D254" i="1"/>
  <c r="M254" i="1" s="1"/>
  <c r="D255" i="1"/>
  <c r="M255" i="1" s="1"/>
  <c r="D256" i="1"/>
  <c r="M256" i="1" s="1"/>
  <c r="D257" i="1"/>
  <c r="M257" i="1" s="1"/>
  <c r="D258" i="1"/>
  <c r="M258" i="1" s="1"/>
  <c r="D259" i="1"/>
  <c r="M259" i="1" s="1"/>
  <c r="D260" i="1"/>
  <c r="M260" i="1" s="1"/>
  <c r="D261" i="1"/>
  <c r="M261" i="1" s="1"/>
  <c r="D248" i="1"/>
  <c r="M248" i="1" s="1"/>
  <c r="Y247" i="1" l="1"/>
  <c r="X247" i="1"/>
  <c r="D247" i="1"/>
  <c r="M247" i="1" s="1"/>
  <c r="Y246" i="1"/>
  <c r="X246" i="1"/>
  <c r="D246" i="1"/>
  <c r="M246" i="1" s="1"/>
  <c r="Y245" i="1"/>
  <c r="X245" i="1"/>
  <c r="D245" i="1"/>
  <c r="M245" i="1" s="1"/>
  <c r="Y244" i="1"/>
  <c r="X244" i="1"/>
  <c r="D244" i="1"/>
  <c r="M244" i="1" s="1"/>
  <c r="Y243" i="1"/>
  <c r="X243" i="1"/>
  <c r="D243" i="1"/>
  <c r="M243" i="1" s="1"/>
  <c r="Y242" i="1"/>
  <c r="X242" i="1"/>
  <c r="D242" i="1"/>
  <c r="M242" i="1" s="1"/>
  <c r="Y241" i="1"/>
  <c r="X241" i="1"/>
  <c r="D241" i="1"/>
  <c r="M241" i="1" s="1"/>
  <c r="Y240" i="1"/>
  <c r="X240" i="1"/>
  <c r="D240" i="1"/>
  <c r="M240" i="1" s="1"/>
  <c r="Y239" i="1"/>
  <c r="X239" i="1"/>
  <c r="D239" i="1"/>
  <c r="M239" i="1" s="1"/>
  <c r="Y238" i="1"/>
  <c r="X238" i="1"/>
  <c r="D238" i="1"/>
  <c r="M238" i="1" s="1"/>
  <c r="Y237" i="1"/>
  <c r="X237" i="1"/>
  <c r="D237" i="1"/>
  <c r="M237" i="1" s="1"/>
  <c r="Y236" i="1"/>
  <c r="X236" i="1"/>
  <c r="D236" i="1"/>
  <c r="M236" i="1" s="1"/>
  <c r="Y235" i="1"/>
  <c r="X235" i="1"/>
  <c r="D235" i="1"/>
  <c r="M235" i="1" s="1"/>
  <c r="Y234" i="1"/>
  <c r="X234" i="1"/>
  <c r="D234" i="1"/>
  <c r="M234" i="1" s="1"/>
  <c r="Y233" i="1"/>
  <c r="X233" i="1"/>
  <c r="D233" i="1"/>
  <c r="M233" i="1" s="1"/>
  <c r="Y232" i="1"/>
  <c r="X232" i="1"/>
  <c r="D232" i="1"/>
  <c r="M232" i="1" s="1"/>
  <c r="Y231" i="1"/>
  <c r="X231" i="1"/>
  <c r="D231" i="1"/>
  <c r="M231" i="1" s="1"/>
  <c r="Y230" i="1"/>
  <c r="X230" i="1"/>
  <c r="D230" i="1"/>
  <c r="M230" i="1" s="1"/>
  <c r="Y229" i="1"/>
  <c r="X229" i="1"/>
  <c r="D229" i="1"/>
  <c r="M229" i="1" s="1"/>
  <c r="Y228" i="1"/>
  <c r="X228" i="1"/>
  <c r="D228" i="1"/>
  <c r="M228" i="1" s="1"/>
  <c r="Y227" i="1"/>
  <c r="X227" i="1"/>
  <c r="D227" i="1"/>
  <c r="M227" i="1" s="1"/>
  <c r="Y226" i="1"/>
  <c r="X226" i="1"/>
  <c r="D226" i="1"/>
  <c r="M226" i="1" s="1"/>
  <c r="Y225" i="1"/>
  <c r="X225" i="1"/>
  <c r="D225" i="1"/>
  <c r="M225" i="1" s="1"/>
  <c r="Y224" i="1"/>
  <c r="X224" i="1"/>
  <c r="D224" i="1"/>
  <c r="M224" i="1" s="1"/>
  <c r="Y223" i="1"/>
  <c r="X223" i="1"/>
  <c r="D223" i="1"/>
  <c r="M223" i="1" s="1"/>
  <c r="Y222" i="1"/>
  <c r="X222" i="1"/>
  <c r="D222" i="1"/>
  <c r="M222" i="1" s="1"/>
  <c r="Y221" i="1"/>
  <c r="X221" i="1"/>
  <c r="D221" i="1"/>
  <c r="M221" i="1" s="1"/>
  <c r="Y220" i="1"/>
  <c r="X220" i="1"/>
  <c r="D220" i="1"/>
  <c r="M220" i="1" s="1"/>
  <c r="Y219" i="1"/>
  <c r="X219" i="1"/>
  <c r="D219" i="1"/>
  <c r="M219" i="1" s="1"/>
  <c r="Y218" i="1"/>
  <c r="X218" i="1"/>
  <c r="D218" i="1"/>
  <c r="M218" i="1" s="1"/>
  <c r="Y217" i="1"/>
  <c r="X217" i="1"/>
  <c r="D217" i="1"/>
  <c r="M217" i="1" s="1"/>
  <c r="Y216" i="1"/>
  <c r="X216" i="1"/>
  <c r="D216" i="1"/>
  <c r="M216" i="1" s="1"/>
  <c r="Y215" i="1"/>
  <c r="X215" i="1"/>
  <c r="D215" i="1"/>
  <c r="M215" i="1" s="1"/>
  <c r="Y214" i="1"/>
  <c r="X214" i="1"/>
  <c r="D214" i="1"/>
  <c r="M214" i="1" s="1"/>
  <c r="Y213" i="1"/>
  <c r="X213" i="1"/>
  <c r="D213" i="1"/>
  <c r="M213" i="1" s="1"/>
  <c r="Y212" i="1"/>
  <c r="X212" i="1"/>
  <c r="D212" i="1"/>
  <c r="M212" i="1" s="1"/>
  <c r="Y211" i="1"/>
  <c r="X211" i="1"/>
  <c r="D211" i="1"/>
  <c r="M211" i="1" s="1"/>
  <c r="Y210" i="1"/>
  <c r="X210" i="1"/>
  <c r="D210" i="1"/>
  <c r="M210" i="1" s="1"/>
  <c r="Y209" i="1"/>
  <c r="X209" i="1"/>
  <c r="D209" i="1"/>
  <c r="M209" i="1" s="1"/>
  <c r="Y208" i="1"/>
  <c r="X208" i="1"/>
  <c r="D208" i="1"/>
  <c r="M208" i="1" s="1"/>
  <c r="Y207" i="1"/>
  <c r="X207" i="1"/>
  <c r="D207" i="1"/>
  <c r="M207" i="1" s="1"/>
  <c r="Y206" i="1"/>
  <c r="X206" i="1"/>
  <c r="D206" i="1"/>
  <c r="M206" i="1" s="1"/>
  <c r="Y205" i="1"/>
  <c r="X205" i="1"/>
  <c r="D205" i="1"/>
  <c r="M205" i="1" s="1"/>
  <c r="Y204" i="1"/>
  <c r="X204" i="1"/>
  <c r="D204" i="1"/>
  <c r="M204" i="1" s="1"/>
  <c r="Y203" i="1"/>
  <c r="X203" i="1"/>
  <c r="D203" i="1"/>
  <c r="M203" i="1" s="1"/>
  <c r="Y202" i="1"/>
  <c r="X202" i="1"/>
  <c r="D202" i="1"/>
  <c r="M202" i="1" s="1"/>
  <c r="Y201" i="1"/>
  <c r="X201" i="1"/>
  <c r="D201" i="1"/>
  <c r="M201" i="1" s="1"/>
  <c r="Y200" i="1"/>
  <c r="X200" i="1"/>
  <c r="D200" i="1"/>
  <c r="M200" i="1" s="1"/>
  <c r="Y199" i="1"/>
  <c r="X199" i="1"/>
  <c r="D199" i="1"/>
  <c r="M199" i="1" s="1"/>
  <c r="Y198" i="1"/>
  <c r="X198" i="1"/>
  <c r="D198" i="1"/>
  <c r="M198" i="1" s="1"/>
  <c r="Y197" i="1"/>
  <c r="X197" i="1"/>
  <c r="D197" i="1"/>
  <c r="M197" i="1" s="1"/>
  <c r="Y196" i="1"/>
  <c r="X196" i="1"/>
  <c r="D196" i="1"/>
  <c r="M196" i="1" s="1"/>
  <c r="Y195" i="1"/>
  <c r="X195" i="1"/>
  <c r="D195" i="1"/>
  <c r="M195" i="1" s="1"/>
  <c r="Y194" i="1"/>
  <c r="X194" i="1"/>
  <c r="D194" i="1"/>
  <c r="M194" i="1" s="1"/>
  <c r="Y193" i="1"/>
  <c r="X193" i="1"/>
  <c r="D193" i="1"/>
  <c r="M193" i="1" s="1"/>
  <c r="Y192" i="1"/>
  <c r="X192" i="1"/>
  <c r="D192" i="1"/>
  <c r="M192" i="1" s="1"/>
  <c r="Y191" i="1"/>
  <c r="X191" i="1"/>
  <c r="D191" i="1"/>
  <c r="M191" i="1" s="1"/>
  <c r="Y190" i="1"/>
  <c r="X190" i="1"/>
  <c r="D190" i="1"/>
  <c r="M190" i="1" s="1"/>
  <c r="Y189" i="1"/>
  <c r="X189" i="1"/>
  <c r="D189" i="1"/>
  <c r="M189" i="1" s="1"/>
  <c r="Y188" i="1"/>
  <c r="X188" i="1"/>
  <c r="D188" i="1"/>
  <c r="M188" i="1" s="1"/>
  <c r="Y187" i="1"/>
  <c r="X187" i="1"/>
  <c r="D187" i="1"/>
  <c r="M187" i="1" s="1"/>
  <c r="Y186" i="1"/>
  <c r="X186" i="1"/>
  <c r="D186" i="1"/>
  <c r="M186" i="1" s="1"/>
  <c r="Y185" i="1"/>
  <c r="X185" i="1"/>
  <c r="D185" i="1"/>
  <c r="M185" i="1" s="1"/>
  <c r="Y184" i="1"/>
  <c r="X184" i="1"/>
  <c r="D184" i="1"/>
  <c r="M184" i="1" s="1"/>
  <c r="Y183" i="1"/>
  <c r="X183" i="1"/>
  <c r="D183" i="1"/>
  <c r="M183" i="1" s="1"/>
  <c r="Y182" i="1"/>
  <c r="X182" i="1"/>
  <c r="D182" i="1"/>
  <c r="M182" i="1" s="1"/>
  <c r="Y181" i="1"/>
  <c r="X181" i="1"/>
  <c r="D181" i="1"/>
  <c r="M181" i="1" s="1"/>
  <c r="Y180" i="1"/>
  <c r="X180" i="1"/>
  <c r="D180" i="1"/>
  <c r="M180" i="1" s="1"/>
  <c r="Y179" i="1"/>
  <c r="X179" i="1"/>
  <c r="D179" i="1"/>
  <c r="M179" i="1" s="1"/>
  <c r="Y178" i="1"/>
  <c r="X178" i="1"/>
  <c r="D178" i="1"/>
  <c r="M178" i="1" s="1"/>
  <c r="Y177" i="1"/>
  <c r="X177" i="1"/>
  <c r="D177" i="1"/>
  <c r="M177" i="1" s="1"/>
  <c r="Y175" i="1"/>
  <c r="X175" i="1"/>
  <c r="D175" i="1"/>
  <c r="M175" i="1" s="1"/>
  <c r="Y174" i="1"/>
  <c r="X174" i="1"/>
  <c r="D174" i="1"/>
  <c r="M174" i="1" s="1"/>
  <c r="Y173" i="1"/>
  <c r="X173" i="1"/>
  <c r="D173" i="1"/>
  <c r="M173" i="1" s="1"/>
  <c r="Y172" i="1"/>
  <c r="X172" i="1"/>
  <c r="D172" i="1"/>
  <c r="M172" i="1" s="1"/>
  <c r="Y171" i="1"/>
  <c r="X171" i="1"/>
  <c r="D171" i="1"/>
  <c r="M171" i="1" s="1"/>
  <c r="Y170" i="1"/>
  <c r="X170" i="1"/>
  <c r="D170" i="1"/>
  <c r="M170" i="1" s="1"/>
  <c r="Y169" i="1"/>
  <c r="X169" i="1"/>
  <c r="D169" i="1"/>
  <c r="M169" i="1" s="1"/>
  <c r="Y168" i="1"/>
  <c r="D168" i="1"/>
  <c r="M168" i="1" s="1"/>
  <c r="Y167" i="1"/>
  <c r="X167" i="1"/>
  <c r="D167" i="1"/>
  <c r="M167" i="1" s="1"/>
  <c r="Y166" i="1"/>
  <c r="X166" i="1"/>
  <c r="D166" i="1"/>
  <c r="M166" i="1" s="1"/>
  <c r="Y165" i="1"/>
  <c r="X165" i="1"/>
  <c r="D165" i="1"/>
  <c r="M165" i="1" s="1"/>
  <c r="Y164" i="1"/>
  <c r="X164" i="1"/>
  <c r="D164" i="1"/>
  <c r="M164" i="1" s="1"/>
  <c r="Y163" i="1"/>
  <c r="X163" i="1"/>
  <c r="D163" i="1"/>
  <c r="M163" i="1" s="1"/>
  <c r="Y162" i="1"/>
  <c r="X162" i="1"/>
  <c r="D162" i="1"/>
  <c r="M162" i="1" s="1"/>
  <c r="Y161" i="1"/>
  <c r="X161" i="1"/>
  <c r="D161" i="1"/>
  <c r="M161" i="1" s="1"/>
  <c r="Y160" i="1"/>
  <c r="X160" i="1"/>
  <c r="D160" i="1"/>
  <c r="M160" i="1" s="1"/>
  <c r="Y159" i="1"/>
  <c r="X159" i="1"/>
  <c r="D159" i="1"/>
  <c r="M159" i="1" s="1"/>
  <c r="Y158" i="1"/>
  <c r="X158" i="1"/>
  <c r="D158" i="1"/>
  <c r="M158" i="1" s="1"/>
  <c r="Y157" i="1"/>
  <c r="X157" i="1"/>
  <c r="D157" i="1"/>
  <c r="M157" i="1" s="1"/>
  <c r="Y156" i="1"/>
  <c r="X156" i="1"/>
  <c r="D156" i="1"/>
  <c r="M156" i="1" s="1"/>
  <c r="Y155" i="1"/>
  <c r="X155" i="1"/>
  <c r="D155" i="1"/>
  <c r="M155" i="1" s="1"/>
  <c r="Y154" i="1"/>
  <c r="X154" i="1"/>
  <c r="D154" i="1"/>
  <c r="M154" i="1" s="1"/>
  <c r="Y153" i="1"/>
  <c r="X153" i="1"/>
  <c r="D153" i="1"/>
  <c r="M153" i="1" s="1"/>
  <c r="Y152" i="1"/>
  <c r="X152" i="1"/>
  <c r="D152" i="1"/>
  <c r="M152" i="1" s="1"/>
  <c r="Y151" i="1"/>
  <c r="X151" i="1"/>
  <c r="D151" i="1"/>
  <c r="M151" i="1" s="1"/>
  <c r="Y150" i="1"/>
  <c r="X150" i="1"/>
  <c r="D150" i="1"/>
  <c r="M150" i="1" s="1"/>
  <c r="Y149" i="1"/>
  <c r="X149" i="1"/>
  <c r="D149" i="1"/>
  <c r="M149" i="1" s="1"/>
  <c r="Y148" i="1"/>
  <c r="X148" i="1"/>
  <c r="D148" i="1"/>
  <c r="M148" i="1" s="1"/>
  <c r="Y147" i="1"/>
  <c r="X147" i="1"/>
  <c r="D147" i="1"/>
  <c r="M147" i="1" s="1"/>
  <c r="Y146" i="1"/>
  <c r="X146" i="1"/>
  <c r="D146" i="1"/>
  <c r="M146" i="1" s="1"/>
  <c r="Y145" i="1"/>
  <c r="X145" i="1"/>
  <c r="D145" i="1"/>
  <c r="M145" i="1" s="1"/>
  <c r="Y144" i="1"/>
  <c r="X144" i="1"/>
  <c r="D144" i="1"/>
  <c r="M144" i="1" s="1"/>
  <c r="Y143" i="1"/>
  <c r="X143" i="1"/>
  <c r="D143" i="1"/>
  <c r="M143" i="1" s="1"/>
  <c r="Y142" i="1"/>
  <c r="X142" i="1"/>
  <c r="D142" i="1"/>
  <c r="M142" i="1" s="1"/>
  <c r="Y141" i="1"/>
  <c r="X141" i="1"/>
  <c r="D141" i="1"/>
  <c r="M141" i="1" s="1"/>
  <c r="Y140" i="1"/>
  <c r="X140" i="1"/>
  <c r="D140" i="1"/>
  <c r="M140" i="1" s="1"/>
  <c r="Y139" i="1"/>
  <c r="X139" i="1"/>
  <c r="D139" i="1"/>
  <c r="M139" i="1" s="1"/>
  <c r="Y138" i="1"/>
  <c r="X138" i="1"/>
  <c r="D138" i="1"/>
  <c r="M138" i="1" s="1"/>
  <c r="Y137" i="1"/>
  <c r="X137" i="1"/>
  <c r="D137" i="1"/>
  <c r="M137" i="1" s="1"/>
  <c r="Y136" i="1"/>
  <c r="X136" i="1"/>
  <c r="D136" i="1"/>
  <c r="M136" i="1" s="1"/>
  <c r="Y135" i="1"/>
  <c r="X135" i="1"/>
  <c r="D135" i="1"/>
  <c r="M135" i="1" s="1"/>
  <c r="Y134" i="1"/>
  <c r="X134" i="1"/>
  <c r="D134" i="1"/>
  <c r="M134" i="1" s="1"/>
  <c r="Y133" i="1"/>
  <c r="X133" i="1"/>
  <c r="D133" i="1"/>
  <c r="M133" i="1" s="1"/>
  <c r="Y132" i="1"/>
  <c r="X132" i="1"/>
  <c r="D132" i="1"/>
  <c r="M132" i="1" s="1"/>
  <c r="Y131" i="1"/>
  <c r="X131" i="1"/>
  <c r="D131" i="1"/>
  <c r="M131" i="1" s="1"/>
  <c r="Y130" i="1"/>
  <c r="X130" i="1"/>
  <c r="D130" i="1"/>
  <c r="M130" i="1" s="1"/>
  <c r="Y129" i="1"/>
  <c r="X129" i="1"/>
  <c r="D129" i="1"/>
  <c r="M129" i="1" s="1"/>
  <c r="Y128" i="1"/>
  <c r="X128" i="1"/>
  <c r="D128" i="1"/>
  <c r="M128" i="1" s="1"/>
  <c r="Y126" i="1"/>
  <c r="X126" i="1"/>
  <c r="D126" i="1"/>
  <c r="M126" i="1" s="1"/>
  <c r="Y125" i="1"/>
  <c r="X125" i="1"/>
  <c r="D125" i="1"/>
  <c r="M125" i="1" s="1"/>
  <c r="Y124" i="1"/>
  <c r="X124" i="1"/>
  <c r="D124" i="1"/>
  <c r="M124" i="1" s="1"/>
  <c r="Y123" i="1"/>
  <c r="X123" i="1"/>
  <c r="D123" i="1"/>
  <c r="M123" i="1" s="1"/>
  <c r="Y122" i="1"/>
  <c r="X122" i="1"/>
  <c r="D122" i="1"/>
  <c r="M122" i="1" s="1"/>
  <c r="Y121" i="1"/>
  <c r="X121" i="1"/>
  <c r="D121" i="1"/>
  <c r="M121" i="1" s="1"/>
  <c r="Y120" i="1"/>
  <c r="X120" i="1"/>
  <c r="D120" i="1"/>
  <c r="M120" i="1" s="1"/>
  <c r="Y119" i="1"/>
  <c r="X119" i="1"/>
  <c r="D119" i="1"/>
  <c r="M119" i="1" s="1"/>
  <c r="Y118" i="1"/>
  <c r="X118" i="1"/>
  <c r="D118" i="1"/>
  <c r="M118" i="1" s="1"/>
  <c r="Y117" i="1"/>
  <c r="X117" i="1"/>
  <c r="D117" i="1"/>
  <c r="M117" i="1" s="1"/>
  <c r="Y115" i="1"/>
  <c r="X115" i="1"/>
  <c r="D115" i="1"/>
  <c r="M115" i="1" s="1"/>
  <c r="Y114" i="1"/>
  <c r="X114" i="1"/>
  <c r="D114" i="1"/>
  <c r="M114" i="1" s="1"/>
  <c r="Y113" i="1"/>
  <c r="X113" i="1"/>
  <c r="D113" i="1"/>
  <c r="M113" i="1" s="1"/>
  <c r="Y112" i="1"/>
  <c r="X112" i="1"/>
  <c r="D112" i="1"/>
  <c r="M112" i="1" s="1"/>
  <c r="Y111" i="1"/>
  <c r="X111" i="1"/>
  <c r="D111" i="1"/>
  <c r="M111" i="1" s="1"/>
  <c r="Y110" i="1"/>
  <c r="X110" i="1"/>
  <c r="D110" i="1"/>
  <c r="M110" i="1" s="1"/>
  <c r="Y109" i="1"/>
  <c r="X109" i="1"/>
  <c r="D109" i="1"/>
  <c r="M109" i="1" s="1"/>
  <c r="Y108" i="1"/>
  <c r="X108" i="1"/>
  <c r="D108" i="1"/>
  <c r="M108" i="1" s="1"/>
  <c r="Y107" i="1"/>
  <c r="X107" i="1"/>
  <c r="D107" i="1"/>
  <c r="M107" i="1" s="1"/>
  <c r="Y106" i="1"/>
  <c r="X106" i="1"/>
  <c r="D106" i="1"/>
  <c r="M106" i="1" s="1"/>
  <c r="Y105" i="1"/>
  <c r="X105" i="1"/>
  <c r="D105" i="1"/>
  <c r="M105" i="1" s="1"/>
  <c r="Y104" i="1"/>
  <c r="X104" i="1"/>
  <c r="D104" i="1"/>
  <c r="M104" i="1" s="1"/>
  <c r="Y103" i="1"/>
  <c r="D103" i="1"/>
  <c r="M103" i="1" s="1"/>
  <c r="Y102" i="1"/>
  <c r="X102" i="1"/>
  <c r="D102" i="1"/>
  <c r="M102" i="1" s="1"/>
  <c r="Y101" i="1"/>
  <c r="X101" i="1"/>
  <c r="D101" i="1"/>
  <c r="M101" i="1" s="1"/>
  <c r="Y99" i="1"/>
  <c r="X99" i="1"/>
  <c r="D99" i="1"/>
  <c r="M99" i="1" s="1"/>
  <c r="Y98" i="1"/>
  <c r="X98" i="1"/>
  <c r="D98" i="1"/>
  <c r="M98" i="1" s="1"/>
  <c r="Y97" i="1"/>
  <c r="X97" i="1"/>
  <c r="D97" i="1"/>
  <c r="M97" i="1" s="1"/>
  <c r="Y96" i="1"/>
  <c r="X96" i="1"/>
  <c r="D96" i="1"/>
  <c r="M96" i="1" s="1"/>
  <c r="Y95" i="1"/>
  <c r="X95" i="1"/>
  <c r="D95" i="1"/>
  <c r="M95" i="1" s="1"/>
  <c r="Y94" i="1"/>
  <c r="X94" i="1"/>
  <c r="D94" i="1"/>
  <c r="M94" i="1" s="1"/>
  <c r="Y93" i="1"/>
  <c r="X93" i="1"/>
  <c r="D93" i="1"/>
  <c r="M93" i="1" s="1"/>
  <c r="Y92" i="1"/>
  <c r="X92" i="1"/>
  <c r="D92" i="1"/>
  <c r="M92" i="1" s="1"/>
  <c r="Y91" i="1"/>
  <c r="X91" i="1"/>
  <c r="D91" i="1"/>
  <c r="M91" i="1" s="1"/>
  <c r="Y90" i="1"/>
  <c r="X90" i="1"/>
  <c r="D90" i="1"/>
  <c r="M90" i="1" s="1"/>
  <c r="Y89" i="1"/>
  <c r="X89" i="1"/>
  <c r="D89" i="1"/>
  <c r="M89" i="1" s="1"/>
  <c r="Y88" i="1"/>
  <c r="X88" i="1"/>
  <c r="D88" i="1"/>
  <c r="M88" i="1" s="1"/>
  <c r="Y87" i="1"/>
  <c r="X87" i="1"/>
  <c r="D87" i="1"/>
  <c r="M87" i="1" s="1"/>
  <c r="Y86" i="1"/>
  <c r="X86" i="1"/>
  <c r="D86" i="1"/>
  <c r="M86" i="1" s="1"/>
  <c r="Y85" i="1"/>
  <c r="X85" i="1"/>
  <c r="D85" i="1"/>
  <c r="M85" i="1" s="1"/>
  <c r="Y84" i="1"/>
  <c r="X84" i="1"/>
  <c r="D84" i="1"/>
  <c r="M84" i="1" s="1"/>
  <c r="Y83" i="1"/>
  <c r="X83" i="1"/>
  <c r="D83" i="1"/>
  <c r="M83" i="1" s="1"/>
  <c r="Y82" i="1"/>
  <c r="X82" i="1"/>
  <c r="D82" i="1"/>
  <c r="M82" i="1" s="1"/>
  <c r="Y81" i="1"/>
  <c r="X81" i="1"/>
  <c r="D81" i="1"/>
  <c r="M81" i="1" s="1"/>
  <c r="Y80" i="1"/>
  <c r="X80" i="1"/>
  <c r="D80" i="1"/>
  <c r="M80" i="1" s="1"/>
  <c r="Y79" i="1"/>
  <c r="X79" i="1"/>
  <c r="D79" i="1"/>
  <c r="M79" i="1" s="1"/>
  <c r="Y78" i="1"/>
  <c r="X78" i="1"/>
  <c r="D78" i="1"/>
  <c r="M78" i="1" s="1"/>
  <c r="Y77" i="1"/>
  <c r="X77" i="1"/>
  <c r="D77" i="1"/>
  <c r="M77" i="1" s="1"/>
  <c r="Y76" i="1"/>
  <c r="X76" i="1"/>
  <c r="D76" i="1"/>
  <c r="M76" i="1" s="1"/>
  <c r="Y75" i="1"/>
  <c r="X75" i="1"/>
  <c r="D75" i="1"/>
  <c r="M75" i="1" s="1"/>
  <c r="Y74" i="1"/>
  <c r="D74" i="1"/>
  <c r="M74" i="1" s="1"/>
  <c r="Y73" i="1"/>
  <c r="D73" i="1"/>
  <c r="M73" i="1" s="1"/>
  <c r="Y72" i="1"/>
  <c r="D72" i="1"/>
  <c r="M72" i="1" s="1"/>
  <c r="Y71" i="1"/>
  <c r="D71" i="1"/>
  <c r="M71" i="1" s="1"/>
  <c r="Y70" i="1"/>
  <c r="D70" i="1"/>
  <c r="M70" i="1" s="1"/>
  <c r="Y69" i="1"/>
  <c r="D69" i="1"/>
  <c r="M69" i="1" s="1"/>
  <c r="Y68" i="1"/>
  <c r="X68" i="1"/>
  <c r="D68" i="1"/>
  <c r="M68" i="1" s="1"/>
  <c r="Y67" i="1"/>
  <c r="X67" i="1"/>
  <c r="D67" i="1"/>
  <c r="M67" i="1" s="1"/>
  <c r="Y66" i="1"/>
  <c r="X66" i="1"/>
  <c r="D66" i="1"/>
  <c r="M66" i="1" s="1"/>
  <c r="Y65" i="1"/>
  <c r="X65" i="1"/>
  <c r="D65" i="1"/>
  <c r="M65" i="1" s="1"/>
  <c r="Y64" i="1"/>
  <c r="X64" i="1"/>
  <c r="D64" i="1"/>
  <c r="M64" i="1" s="1"/>
  <c r="Y63" i="1"/>
  <c r="X63" i="1"/>
  <c r="D63" i="1"/>
  <c r="M63" i="1" s="1"/>
  <c r="Y62" i="1"/>
  <c r="X62" i="1"/>
  <c r="D62" i="1"/>
  <c r="M62" i="1" s="1"/>
  <c r="Y61" i="1"/>
  <c r="X61" i="1"/>
  <c r="D61" i="1"/>
  <c r="M61" i="1" s="1"/>
  <c r="Y60" i="1"/>
  <c r="X60" i="1"/>
  <c r="D60" i="1"/>
  <c r="M60" i="1" s="1"/>
  <c r="Y59" i="1"/>
  <c r="X59" i="1"/>
  <c r="D59" i="1"/>
  <c r="M59" i="1" s="1"/>
  <c r="Y58" i="1"/>
  <c r="X58" i="1"/>
  <c r="D58" i="1"/>
  <c r="M58" i="1" s="1"/>
  <c r="Y57" i="1"/>
  <c r="X57" i="1"/>
  <c r="D57" i="1"/>
  <c r="M57" i="1" s="1"/>
  <c r="Y56" i="1"/>
  <c r="X56" i="1"/>
  <c r="D56" i="1"/>
  <c r="M56" i="1" s="1"/>
  <c r="Y55" i="1"/>
  <c r="X55" i="1"/>
  <c r="D55" i="1"/>
  <c r="M55" i="1" s="1"/>
  <c r="Y54" i="1"/>
  <c r="X54" i="1"/>
  <c r="D54" i="1"/>
  <c r="M54" i="1" s="1"/>
  <c r="Y53" i="1"/>
  <c r="D53" i="1"/>
  <c r="M53" i="1" s="1"/>
  <c r="Y52" i="1"/>
  <c r="D52" i="1"/>
  <c r="M52" i="1" s="1"/>
  <c r="Y51" i="1"/>
  <c r="D51" i="1"/>
  <c r="M51" i="1" s="1"/>
  <c r="Y50" i="1"/>
  <c r="D50" i="1"/>
  <c r="M50" i="1" s="1"/>
  <c r="Y49" i="1"/>
  <c r="D49" i="1"/>
  <c r="M49" i="1" s="1"/>
  <c r="Y48" i="1"/>
  <c r="D48" i="1"/>
  <c r="M48" i="1" s="1"/>
  <c r="Y47" i="1"/>
  <c r="D47" i="1"/>
  <c r="M47" i="1" s="1"/>
  <c r="Y46" i="1"/>
  <c r="D46" i="1"/>
  <c r="M46" i="1" s="1"/>
  <c r="Y45" i="1"/>
  <c r="D45" i="1"/>
  <c r="M45" i="1" s="1"/>
  <c r="Y44" i="1"/>
  <c r="X44" i="1"/>
  <c r="D44" i="1"/>
  <c r="M44" i="1" s="1"/>
  <c r="Y43" i="1"/>
  <c r="D43" i="1"/>
  <c r="M43" i="1" s="1"/>
  <c r="Y42" i="1"/>
  <c r="D42" i="1"/>
  <c r="M42" i="1" s="1"/>
  <c r="Y41" i="1"/>
  <c r="D41" i="1"/>
  <c r="M41" i="1" s="1"/>
  <c r="Y40" i="1"/>
  <c r="D40" i="1"/>
  <c r="M40" i="1" s="1"/>
  <c r="Y39" i="1"/>
  <c r="D39" i="1"/>
  <c r="M39" i="1" s="1"/>
  <c r="Y38" i="1"/>
  <c r="D38" i="1"/>
  <c r="M38" i="1" s="1"/>
  <c r="Y37" i="1"/>
  <c r="X37" i="1"/>
  <c r="D37" i="1"/>
  <c r="M37" i="1" s="1"/>
  <c r="Y36" i="1"/>
  <c r="X36" i="1"/>
  <c r="D36" i="1"/>
  <c r="M36" i="1" s="1"/>
  <c r="Y35" i="1"/>
  <c r="X35" i="1"/>
  <c r="D35" i="1"/>
  <c r="M35" i="1" s="1"/>
  <c r="Y34" i="1"/>
  <c r="X34" i="1"/>
  <c r="D34" i="1"/>
  <c r="M34" i="1" s="1"/>
  <c r="Y33" i="1"/>
  <c r="D33" i="1"/>
  <c r="M33" i="1" s="1"/>
  <c r="Y32" i="1"/>
  <c r="D32" i="1"/>
  <c r="M32" i="1" s="1"/>
  <c r="Y31" i="1"/>
  <c r="D31" i="1"/>
  <c r="M31" i="1" s="1"/>
  <c r="Y30" i="1"/>
  <c r="D30" i="1"/>
  <c r="M30" i="1" s="1"/>
  <c r="Y29" i="1"/>
  <c r="D29" i="1"/>
  <c r="M29" i="1" s="1"/>
  <c r="Y28" i="1"/>
  <c r="D28" i="1"/>
  <c r="M28" i="1" s="1"/>
  <c r="Y27" i="1"/>
  <c r="D27" i="1"/>
  <c r="M27" i="1" s="1"/>
  <c r="Y26" i="1"/>
  <c r="D26" i="1"/>
  <c r="M26" i="1" s="1"/>
  <c r="Y25" i="1"/>
  <c r="X25" i="1"/>
  <c r="D25" i="1"/>
  <c r="M25" i="1" s="1"/>
  <c r="Y24" i="1"/>
  <c r="X24" i="1"/>
  <c r="D24" i="1"/>
  <c r="M24" i="1" s="1"/>
  <c r="Y23" i="1"/>
  <c r="X23" i="1"/>
  <c r="D23" i="1"/>
  <c r="M23" i="1" s="1"/>
  <c r="Y22" i="1"/>
  <c r="X22" i="1"/>
  <c r="D22" i="1"/>
  <c r="M22" i="1" s="1"/>
  <c r="Y21" i="1"/>
  <c r="X21" i="1"/>
  <c r="D21" i="1"/>
  <c r="M21" i="1" s="1"/>
  <c r="Y20" i="1"/>
  <c r="X20" i="1"/>
  <c r="D20" i="1"/>
  <c r="M20" i="1" s="1"/>
  <c r="Y19" i="1"/>
  <c r="X19" i="1"/>
  <c r="D19" i="1"/>
  <c r="M19" i="1" s="1"/>
  <c r="Y18" i="1"/>
  <c r="X18" i="1"/>
  <c r="D18" i="1"/>
  <c r="M18" i="1" s="1"/>
  <c r="Y17" i="1"/>
  <c r="X17" i="1"/>
  <c r="D17" i="1"/>
  <c r="M17" i="1" s="1"/>
  <c r="Y16" i="1"/>
  <c r="X16" i="1"/>
  <c r="D16" i="1"/>
  <c r="M16" i="1" s="1"/>
  <c r="Y15" i="1"/>
  <c r="X15" i="1"/>
  <c r="D15" i="1"/>
  <c r="M15" i="1" s="1"/>
  <c r="Y14" i="1"/>
  <c r="X14" i="1"/>
  <c r="D14" i="1"/>
  <c r="M14" i="1" s="1"/>
  <c r="Y13" i="1"/>
  <c r="X13" i="1"/>
  <c r="D13" i="1"/>
  <c r="M13" i="1" s="1"/>
  <c r="Y12" i="1"/>
  <c r="X12" i="1"/>
  <c r="D12" i="1"/>
  <c r="M12" i="1" s="1"/>
  <c r="Y11" i="1"/>
  <c r="D11" i="1"/>
  <c r="M11" i="1" s="1"/>
  <c r="Y10" i="1"/>
  <c r="X10" i="1"/>
  <c r="D10" i="1"/>
  <c r="M10" i="1" s="1"/>
  <c r="Y9" i="1"/>
  <c r="X9" i="1"/>
  <c r="D9" i="1"/>
  <c r="M9" i="1" s="1"/>
  <c r="Y8" i="1"/>
  <c r="X8" i="1"/>
  <c r="D8" i="1"/>
  <c r="M8" i="1" s="1"/>
  <c r="Y7" i="1"/>
  <c r="X7" i="1"/>
  <c r="D7" i="1"/>
  <c r="M7" i="1" s="1"/>
  <c r="Y6" i="1"/>
  <c r="X6" i="1"/>
  <c r="D6" i="1"/>
  <c r="M6" i="1" s="1"/>
  <c r="Y5" i="1"/>
  <c r="X5" i="1"/>
  <c r="D5" i="1"/>
  <c r="M5" i="1" s="1"/>
  <c r="Y4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I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L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M2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N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O3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P3" authorId="1" shapeId="0" xr:uid="{00000000-0006-0000-0000-000007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S3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  <author>Administrator</author>
  </authors>
  <commentList>
    <comment ref="A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I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L2" authorId="1" shapeId="0" xr:uid="{00000000-0006-0000-0100-000003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M2" authorId="1" shapeId="0" xr:uid="{00000000-0006-0000-0100-000004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N2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O3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P3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Q3" authorId="2" shapeId="0" xr:uid="{00000000-0006-0000-0100-000008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3" authorId="1" shapeId="0" xr:uid="{00000000-0006-0000-0100-000009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I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L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M2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N2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O3" authorId="1" shapeId="0" xr:uid="{00000000-0006-0000-0200-000006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P3" authorId="1" shapeId="0" xr:uid="{00000000-0006-0000-0200-000007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S3" authorId="1" shapeId="0" xr:uid="{00000000-0006-0000-0200-000008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ZRJ</author>
    <author>User</author>
  </authors>
  <commentList>
    <comment ref="A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消耗性有形资产：检测物耗共八类、综管物耗共四类通过本表盘点。</t>
        </r>
      </text>
    </comment>
    <comment ref="I2" authorId="1" shapeId="0" xr:uid="{00000000-0006-0000-0300-000002000000}">
      <text>
        <r>
          <rPr>
            <b/>
            <sz val="9"/>
            <rFont val="宋体"/>
            <family val="3"/>
            <charset val="134"/>
          </rPr>
          <t>注：检测物耗标识了物耗送达人、验检入库人（单人、双人）、日期、物耗属性等。</t>
        </r>
      </text>
    </comment>
    <comment ref="L2" authorId="1" shapeId="0" xr:uid="{00000000-0006-0000-0300-000003000000}">
      <text>
        <r>
          <rPr>
            <b/>
            <sz val="9"/>
            <rFont val="宋体"/>
            <family val="3"/>
            <charset val="134"/>
          </rPr>
          <t>注：若下拉菜单中无所要计量单位，可直接填写，后续模板中加入该计量单位。</t>
        </r>
      </text>
    </comment>
    <comment ref="M2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注：该列自动生成，无需填写！</t>
        </r>
      </text>
    </comment>
    <comment ref="N2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注：硫酸、盐酸、乙醚、三氯甲烷、高锰酸钾、甲苯、丙酮，须在易制毒系统上备案。</t>
        </r>
      </text>
    </comment>
    <comment ref="O3" authorId="1" shapeId="0" xr:uid="{00000000-0006-0000-0300-000006000000}">
      <text>
        <r>
          <rPr>
            <b/>
            <sz val="9"/>
            <rFont val="宋体"/>
            <family val="3"/>
            <charset val="134"/>
          </rPr>
          <t>注：按“柜屉箱架编号汇总”确定。</t>
        </r>
      </text>
    </comment>
    <comment ref="P3" authorId="1" shapeId="0" xr:uid="{00000000-0006-0000-0300-000007000000}">
      <text>
        <r>
          <rPr>
            <b/>
            <sz val="9"/>
            <rFont val="宋体"/>
            <family val="3"/>
            <charset val="134"/>
          </rPr>
          <t>注：按已张贴标识编号确定，未标识的自下而上确定。</t>
        </r>
      </text>
    </comment>
    <comment ref="S3" authorId="1" shapeId="0" xr:uid="{00000000-0006-0000-0300-000008000000}">
      <text>
        <r>
          <rPr>
            <b/>
            <sz val="9"/>
            <rFont val="宋体"/>
            <family val="3"/>
            <charset val="134"/>
          </rPr>
          <t>注：标识了出库管理人、物耗领用人（单人、双人）、日期、物耗属性等。</t>
        </r>
      </text>
    </comment>
  </commentList>
</comments>
</file>

<file path=xl/sharedStrings.xml><?xml version="1.0" encoding="utf-8"?>
<sst xmlns="http://schemas.openxmlformats.org/spreadsheetml/2006/main" count="9315" uniqueCount="3122">
  <si>
    <t>J6</t>
  </si>
  <si>
    <t>1kw</t>
  </si>
  <si>
    <t>J4</t>
  </si>
  <si>
    <t>125ml</t>
  </si>
  <si>
    <t>60ml</t>
  </si>
  <si>
    <t xml:space="preserve">100mL </t>
  </si>
  <si>
    <t>2mL</t>
  </si>
  <si>
    <t>5ml</t>
  </si>
  <si>
    <t>25ml</t>
  </si>
  <si>
    <t>1000ml</t>
  </si>
  <si>
    <t>2000ml</t>
  </si>
  <si>
    <t>60mm</t>
  </si>
  <si>
    <t>30mm</t>
  </si>
  <si>
    <t>90mm</t>
  </si>
  <si>
    <t>1ml</t>
  </si>
  <si>
    <t>2ml</t>
  </si>
  <si>
    <t>10ml</t>
  </si>
  <si>
    <t>0.1ml</t>
  </si>
  <si>
    <t>50ml</t>
  </si>
  <si>
    <t>100ml</t>
  </si>
  <si>
    <t>500ml</t>
  </si>
  <si>
    <t>1ul</t>
  </si>
  <si>
    <t>10ul</t>
  </si>
  <si>
    <t>0-300</t>
  </si>
  <si>
    <t>3ml</t>
  </si>
  <si>
    <t>15ml</t>
  </si>
  <si>
    <t>20ml</t>
  </si>
  <si>
    <t>250ml</t>
  </si>
  <si>
    <t>100ml/19#</t>
  </si>
  <si>
    <t>150ml/19#</t>
  </si>
  <si>
    <t>250ml/24#</t>
  </si>
  <si>
    <t>150ml</t>
  </si>
  <si>
    <t>2L</t>
  </si>
  <si>
    <t>300mm</t>
  </si>
  <si>
    <t>500mm</t>
  </si>
  <si>
    <t>120mm</t>
  </si>
  <si>
    <t>600ml</t>
  </si>
  <si>
    <t>3000ml</t>
  </si>
  <si>
    <t>200ul</t>
  </si>
  <si>
    <t>5mL</t>
  </si>
  <si>
    <t>6*120</t>
  </si>
  <si>
    <t>6*100</t>
  </si>
  <si>
    <t>7*15mm/5*10mm</t>
  </si>
  <si>
    <t>0.45um*25mm</t>
  </si>
  <si>
    <t>40*25mm</t>
  </si>
  <si>
    <t>70*35mm</t>
  </si>
  <si>
    <t>30*60mm</t>
  </si>
  <si>
    <t>35*70mm</t>
  </si>
  <si>
    <t>40*70mm</t>
  </si>
  <si>
    <t>30ml</t>
  </si>
  <si>
    <t>130mm</t>
  </si>
  <si>
    <t>7+2</t>
  </si>
  <si>
    <t>MYM-200328-SCL-J6-002</t>
  </si>
  <si>
    <t>12*18</t>
  </si>
  <si>
    <t>10*15</t>
  </si>
  <si>
    <t>9*13</t>
  </si>
  <si>
    <t>250mm</t>
  </si>
  <si>
    <t>MYM-200326-SCL-J4-002</t>
  </si>
  <si>
    <t>40ml</t>
  </si>
  <si>
    <t>MYM-200326-SCL-J4-001</t>
  </si>
  <si>
    <t>80mm</t>
  </si>
  <si>
    <t>2-3mm</t>
  </si>
  <si>
    <t>150mm</t>
  </si>
  <si>
    <t>30ml-1-3#</t>
  </si>
  <si>
    <t>24/29</t>
  </si>
  <si>
    <t>15cm</t>
  </si>
  <si>
    <t>16*100mm/16*180mm</t>
  </si>
  <si>
    <t>20*200mm  / 18*180mm</t>
  </si>
  <si>
    <t>0.2ml</t>
  </si>
  <si>
    <t>0.5ml</t>
  </si>
  <si>
    <t>5L</t>
  </si>
  <si>
    <t>1kg</t>
  </si>
  <si>
    <t>kg</t>
  </si>
  <si>
    <t>90046+90038</t>
  </si>
  <si>
    <t>2.5*500/0.9*300</t>
  </si>
  <si>
    <t>T3.15A250V</t>
  </si>
  <si>
    <t>10cm</t>
  </si>
  <si>
    <t>1.5m</t>
  </si>
  <si>
    <t>0-150mm</t>
  </si>
  <si>
    <t>5ul</t>
  </si>
  <si>
    <t>25ul</t>
  </si>
  <si>
    <t>50ul</t>
  </si>
  <si>
    <t>100ul</t>
  </si>
  <si>
    <t>500ul</t>
  </si>
  <si>
    <t>1000ul</t>
  </si>
  <si>
    <t>0-60</t>
  </si>
  <si>
    <t>0.6-0.7</t>
  </si>
  <si>
    <t>0.9-1.0</t>
  </si>
  <si>
    <t>1.5-1.6</t>
  </si>
  <si>
    <t>1.6-1.7</t>
  </si>
  <si>
    <t>1.7-1.8</t>
  </si>
  <si>
    <t>0.8-0.9</t>
  </si>
  <si>
    <t>1.3-1.4</t>
  </si>
  <si>
    <t>1.4-1.5</t>
  </si>
  <si>
    <t xml:space="preserve">5ml </t>
  </si>
  <si>
    <t>100ml/150ml</t>
  </si>
  <si>
    <t>100ml/250ml/500ml/1000ml</t>
  </si>
  <si>
    <t>4/5/8/4</t>
  </si>
  <si>
    <t>300ml</t>
  </si>
  <si>
    <t>3M 6001</t>
  </si>
  <si>
    <t>5N11</t>
  </si>
  <si>
    <t>20*600cm</t>
  </si>
  <si>
    <t>630ml</t>
  </si>
  <si>
    <t>12*18cm</t>
  </si>
  <si>
    <t xml:space="preserve">125ml </t>
  </si>
  <si>
    <t>/</t>
  </si>
  <si>
    <t>3L</t>
  </si>
  <si>
    <t>29.5*4.3cm</t>
  </si>
  <si>
    <t>MYM-200326-SCL-J6-003</t>
  </si>
  <si>
    <t>0.7*30</t>
  </si>
  <si>
    <t>1mL</t>
  </si>
  <si>
    <t>10L</t>
  </si>
  <si>
    <t>5kg</t>
  </si>
  <si>
    <t>6*8</t>
  </si>
  <si>
    <t>8*12</t>
  </si>
  <si>
    <t>75ml</t>
  </si>
  <si>
    <t>37*24*7</t>
  </si>
  <si>
    <t>ZRJ-190715-MYM-JC06-002</t>
  </si>
  <si>
    <t>ZRJ-190715-MYM-JC06-003</t>
  </si>
  <si>
    <t>28*19*14</t>
  </si>
  <si>
    <t>ZRJ-190715-MYM-JC06-004</t>
  </si>
  <si>
    <t>33*38*33</t>
  </si>
  <si>
    <t>ZRJ-190715-MYM-JC06-005</t>
  </si>
  <si>
    <t>ZRJ-190715-MYM-JC06-006</t>
  </si>
  <si>
    <t>ZRJ-190715-MYM-JC06-007</t>
  </si>
  <si>
    <t>4IN*125FT.ROLL</t>
  </si>
  <si>
    <t>QHJ-190722-MYM-JC06-002</t>
  </si>
  <si>
    <t>ZRJ-190821-MYM-JC06-001</t>
  </si>
  <si>
    <t>TFC-2012-100</t>
  </si>
  <si>
    <t>SY-CTO</t>
  </si>
  <si>
    <t>MYM-191203-SHY-JC06-003</t>
  </si>
  <si>
    <t>ZRJ-200210-MYM-JC06-001</t>
  </si>
  <si>
    <t>TZL30</t>
  </si>
  <si>
    <t>ZRJ-200210-MYM-JC06-002</t>
  </si>
  <si>
    <t>个</t>
  </si>
  <si>
    <t>J7</t>
  </si>
  <si>
    <t>3mm</t>
  </si>
  <si>
    <t>3.175mm</t>
  </si>
  <si>
    <t>2g</t>
  </si>
  <si>
    <t>MYM-190822-SHY-JC07-007</t>
  </si>
  <si>
    <t>J8</t>
  </si>
  <si>
    <t>7/16</t>
  </si>
  <si>
    <t>1R3812-5T10</t>
  </si>
  <si>
    <t>1R3812-5T20</t>
  </si>
  <si>
    <t>1R3812-5T30</t>
  </si>
  <si>
    <t>6000.0051 spanner 1/4*5/16´</t>
  </si>
  <si>
    <t>6146.1231  spanner  3/16´´</t>
  </si>
  <si>
    <t>6000.0053 key(size 9/64´´)</t>
  </si>
  <si>
    <t>6146.2625 spanner2.5mm</t>
  </si>
  <si>
    <t>备品配件</t>
  </si>
  <si>
    <t>专用物耗</t>
  </si>
  <si>
    <t>QDJ-200304-MYM-J6-001</t>
  </si>
  <si>
    <t>MYM-200326-MYM-J6-004</t>
  </si>
  <si>
    <t>MYM-200326-MYM-J6-005</t>
  </si>
  <si>
    <t>玻璃仪器</t>
  </si>
  <si>
    <t>分类号</t>
  </si>
  <si>
    <t>分类名</t>
  </si>
  <si>
    <t>ZY</t>
  </si>
  <si>
    <t>专用设施</t>
  </si>
  <si>
    <t>TY</t>
  </si>
  <si>
    <t>通用设施</t>
  </si>
  <si>
    <t>DZ</t>
  </si>
  <si>
    <t>电子设备</t>
  </si>
  <si>
    <t>DQ</t>
  </si>
  <si>
    <t>电器设备</t>
  </si>
  <si>
    <t>YQ</t>
  </si>
  <si>
    <t>仪器设备</t>
  </si>
  <si>
    <t>QT</t>
  </si>
  <si>
    <t>其它资产</t>
  </si>
  <si>
    <t>J1</t>
  </si>
  <si>
    <t>常规化学品</t>
  </si>
  <si>
    <t>J2</t>
  </si>
  <si>
    <t>危险化学品</t>
  </si>
  <si>
    <t>J3</t>
  </si>
  <si>
    <t>标准物质</t>
  </si>
  <si>
    <t>J5</t>
  </si>
  <si>
    <t>实验气体</t>
  </si>
  <si>
    <t>专用工具</t>
  </si>
  <si>
    <t>Z1</t>
  </si>
  <si>
    <t>劳保物资</t>
  </si>
  <si>
    <t>Z2</t>
  </si>
  <si>
    <t>办公耗材</t>
  </si>
  <si>
    <t>Z3</t>
  </si>
  <si>
    <t>食品饮料</t>
  </si>
  <si>
    <t>Z4</t>
  </si>
  <si>
    <t>特殊物耗</t>
  </si>
  <si>
    <t xml:space="preserve"> </t>
  </si>
  <si>
    <t>Z5</t>
  </si>
  <si>
    <t>通用物耗</t>
  </si>
  <si>
    <t>Z6</t>
  </si>
  <si>
    <t>通用工具</t>
  </si>
  <si>
    <t>DS</t>
  </si>
  <si>
    <t>智产-表单</t>
  </si>
  <si>
    <t>DC</t>
  </si>
  <si>
    <t>智产-文档</t>
  </si>
  <si>
    <t>BK</t>
  </si>
  <si>
    <t>智产-书籍</t>
  </si>
  <si>
    <t>PH</t>
  </si>
  <si>
    <t>智产-图片</t>
  </si>
  <si>
    <t>AV</t>
  </si>
  <si>
    <t>智产-影音</t>
  </si>
  <si>
    <t>SW</t>
  </si>
  <si>
    <t>智产-软件</t>
  </si>
  <si>
    <t>RD</t>
  </si>
  <si>
    <t>智产-研发</t>
  </si>
  <si>
    <t>TN</t>
  </si>
  <si>
    <t>智产-培训</t>
  </si>
  <si>
    <t>CI</t>
  </si>
  <si>
    <t>智产-形宣</t>
  </si>
  <si>
    <t>ES</t>
  </si>
  <si>
    <t>智产-其它</t>
  </si>
  <si>
    <t>SCL-200415-MYM-J4-001</t>
    <phoneticPr fontId="37" type="noConversion"/>
  </si>
  <si>
    <t>SCL-200415-MYM-J4-002</t>
  </si>
  <si>
    <t>SCL-200415-MYM-J4-003</t>
  </si>
  <si>
    <t>SCL-200415-MYM-J4-004</t>
  </si>
  <si>
    <t>SCL-200415-MYM-J4-005</t>
  </si>
  <si>
    <t>SCL-200415-MYM-J4-006</t>
  </si>
  <si>
    <t>SCL-200415-MYM-J4-007</t>
  </si>
  <si>
    <t>SCL-200415-MYM-J4-008</t>
  </si>
  <si>
    <t>SCL-200415-MYM-J4-009</t>
  </si>
  <si>
    <t>SCL-200415-MYM-J4-010</t>
  </si>
  <si>
    <t>SCL-200415-MYM-J4-011</t>
  </si>
  <si>
    <t>SCL-200415-MYM-J4-012</t>
  </si>
  <si>
    <t>1000ml</t>
    <phoneticPr fontId="37" type="noConversion"/>
  </si>
  <si>
    <t>500ml</t>
    <phoneticPr fontId="37" type="noConversion"/>
  </si>
  <si>
    <t>250ml</t>
    <phoneticPr fontId="37" type="noConversion"/>
  </si>
  <si>
    <t>125ml</t>
    <phoneticPr fontId="37" type="noConversion"/>
  </si>
  <si>
    <t>60ml</t>
    <phoneticPr fontId="37" type="noConversion"/>
  </si>
  <si>
    <t>SCL-200423-MYM-J6-001</t>
    <phoneticPr fontId="37" type="noConversion"/>
  </si>
  <si>
    <t>SCL-200423-MYM-J6-002</t>
  </si>
  <si>
    <t>SCL-200423-MYM-J6-003</t>
  </si>
  <si>
    <t>100/56</t>
    <phoneticPr fontId="37" type="noConversion"/>
  </si>
  <si>
    <t>4XL</t>
    <phoneticPr fontId="37" type="noConversion"/>
  </si>
  <si>
    <t>1.52*180</t>
    <phoneticPr fontId="37" type="noConversion"/>
  </si>
  <si>
    <t>1.5ml</t>
    <phoneticPr fontId="37" type="noConversion"/>
  </si>
  <si>
    <t>MYM-200407-MYM-J6-001</t>
  </si>
  <si>
    <t>MYM-200407-MYM-J6-002</t>
  </si>
  <si>
    <t>MYM-200411-SHY-J6-001</t>
  </si>
  <si>
    <t>MYM-200424-CYX-J6-001</t>
  </si>
  <si>
    <t>MYM-200428-CYX-J6-001</t>
    <phoneticPr fontId="38" type="noConversion"/>
  </si>
  <si>
    <t>50L</t>
    <phoneticPr fontId="36" type="noConversion"/>
  </si>
  <si>
    <t>QHJ-200514-MYM-J6-001</t>
    <phoneticPr fontId="36" type="noConversion"/>
  </si>
  <si>
    <t>6L</t>
    <phoneticPr fontId="36" type="noConversion"/>
  </si>
  <si>
    <t>5KG</t>
    <phoneticPr fontId="36" type="noConversion"/>
  </si>
  <si>
    <t>4KG</t>
    <phoneticPr fontId="36" type="noConversion"/>
  </si>
  <si>
    <t>20*15/2*2/23*26/10*10</t>
    <phoneticPr fontId="36" type="noConversion"/>
  </si>
  <si>
    <t>QHJ-200526-MYM-J6-005</t>
    <phoneticPr fontId="36" type="noConversion"/>
  </si>
  <si>
    <t>QHJ-200526-MYM-J6-006</t>
  </si>
  <si>
    <t>QHJ-200526-MYM-J6-007</t>
  </si>
  <si>
    <t>QHJ-200526-MYM-J6-008</t>
  </si>
  <si>
    <t>QHJ-200526-MYM-J6-009</t>
  </si>
  <si>
    <t>QHJ-200526-MYM-J6-010</t>
  </si>
  <si>
    <t>MYM-200513-CYX-J6-002</t>
    <phoneticPr fontId="36" type="noConversion"/>
  </si>
  <si>
    <t>MYM-200522-SHY-J6-002</t>
    <phoneticPr fontId="36" type="noConversion"/>
  </si>
  <si>
    <t>MYM-200526-SHY-J6-001</t>
    <phoneticPr fontId="36" type="noConversion"/>
  </si>
  <si>
    <r>
      <rPr>
        <sz val="11"/>
        <rFont val="宋体"/>
        <family val="3"/>
        <charset val="134"/>
      </rPr>
      <t>调温电热器</t>
    </r>
  </si>
  <si>
    <r>
      <rPr>
        <sz val="11"/>
        <color indexed="8"/>
        <rFont val="宋体"/>
        <family val="3"/>
        <charset val="134"/>
      </rPr>
      <t>南通诚记化工</t>
    </r>
  </si>
  <si>
    <r>
      <rPr>
        <sz val="11"/>
        <rFont val="宋体"/>
        <family val="3"/>
        <charset val="134"/>
      </rPr>
      <t>不锈钢篮子</t>
    </r>
  </si>
  <si>
    <r>
      <rPr>
        <sz val="11"/>
        <rFont val="宋体"/>
        <family val="3"/>
        <charset val="134"/>
      </rPr>
      <t>搪瓷盖</t>
    </r>
  </si>
  <si>
    <r>
      <t>20*30cm/11.5</t>
    </r>
    <r>
      <rPr>
        <sz val="11"/>
        <color indexed="8"/>
        <rFont val="宋体"/>
        <family val="3"/>
        <charset val="134"/>
      </rPr>
      <t>寸</t>
    </r>
  </si>
  <si>
    <r>
      <rPr>
        <sz val="11"/>
        <color indexed="8"/>
        <rFont val="宋体"/>
        <family val="3"/>
        <charset val="134"/>
      </rPr>
      <t>个</t>
    </r>
  </si>
  <si>
    <r>
      <t>2</t>
    </r>
    <r>
      <rPr>
        <sz val="11"/>
        <color indexed="8"/>
        <rFont val="宋体"/>
        <family val="3"/>
        <charset val="134"/>
      </rPr>
      <t>大</t>
    </r>
    <r>
      <rPr>
        <sz val="11"/>
        <color indexed="8"/>
        <rFont val="Arial Narrow"/>
        <family val="2"/>
      </rPr>
      <t>1</t>
    </r>
    <r>
      <rPr>
        <sz val="11"/>
        <color indexed="8"/>
        <rFont val="宋体"/>
        <family val="3"/>
        <charset val="134"/>
      </rPr>
      <t>小</t>
    </r>
  </si>
  <si>
    <r>
      <rPr>
        <sz val="11"/>
        <rFont val="宋体"/>
        <family val="3"/>
        <charset val="134"/>
      </rPr>
      <t>滴瓶</t>
    </r>
  </si>
  <si>
    <r>
      <t>60ml</t>
    </r>
    <r>
      <rPr>
        <sz val="11"/>
        <color indexed="8"/>
        <rFont val="宋体"/>
        <family val="3"/>
        <charset val="134"/>
      </rPr>
      <t>白、棕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</si>
  <si>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6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2</t>
    </r>
  </si>
  <si>
    <r>
      <t>125ml</t>
    </r>
    <r>
      <rPr>
        <sz val="11"/>
        <color indexed="8"/>
        <rFont val="宋体"/>
        <family val="3"/>
        <charset val="134"/>
      </rPr>
      <t>白、棕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</si>
  <si>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10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3</t>
    </r>
  </si>
  <si>
    <r>
      <rPr>
        <sz val="11"/>
        <rFont val="宋体"/>
        <family val="3"/>
        <charset val="134"/>
      </rPr>
      <t>小口试剂瓶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</si>
  <si>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8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8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</si>
  <si>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19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10</t>
    </r>
  </si>
  <si>
    <r>
      <t>250ml</t>
    </r>
    <r>
      <rPr>
        <sz val="11"/>
        <color indexed="8"/>
        <rFont val="宋体"/>
        <family val="3"/>
        <charset val="134"/>
      </rPr>
      <t>白</t>
    </r>
  </si>
  <si>
    <r>
      <t>500ml</t>
    </r>
    <r>
      <rPr>
        <sz val="11"/>
        <color indexed="8"/>
        <rFont val="宋体"/>
        <family val="3"/>
        <charset val="134"/>
      </rPr>
      <t>白</t>
    </r>
  </si>
  <si>
    <r>
      <t>1000ml</t>
    </r>
    <r>
      <rPr>
        <sz val="11"/>
        <color indexed="8"/>
        <rFont val="宋体"/>
        <family val="3"/>
        <charset val="134"/>
      </rPr>
      <t>白</t>
    </r>
  </si>
  <si>
    <r>
      <t>2500ml</t>
    </r>
    <r>
      <rPr>
        <sz val="11"/>
        <color indexed="8"/>
        <rFont val="宋体"/>
        <family val="3"/>
        <charset val="134"/>
      </rPr>
      <t>白</t>
    </r>
  </si>
  <si>
    <r>
      <rPr>
        <sz val="11"/>
        <rFont val="宋体"/>
        <family val="3"/>
        <charset val="134"/>
      </rPr>
      <t>大口试剂瓶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</si>
  <si>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17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16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</si>
  <si>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6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12</t>
    </r>
  </si>
  <si>
    <r>
      <t>250ml</t>
    </r>
    <r>
      <rPr>
        <sz val="11"/>
        <color indexed="8"/>
        <rFont val="宋体"/>
        <family val="3"/>
        <charset val="134"/>
      </rPr>
      <t>棕</t>
    </r>
  </si>
  <si>
    <r>
      <t>500ml</t>
    </r>
    <r>
      <rPr>
        <sz val="11"/>
        <color indexed="8"/>
        <rFont val="宋体"/>
        <family val="3"/>
        <charset val="134"/>
      </rPr>
      <t>棕</t>
    </r>
  </si>
  <si>
    <r>
      <rPr>
        <sz val="11"/>
        <rFont val="宋体"/>
        <family val="3"/>
        <charset val="134"/>
      </rPr>
      <t>刻度细口试剂瓶</t>
    </r>
  </si>
  <si>
    <r>
      <rPr>
        <sz val="11"/>
        <rFont val="宋体"/>
        <family val="3"/>
        <charset val="134"/>
      </rPr>
      <t>棕色螺口试剂瓶</t>
    </r>
  </si>
  <si>
    <r>
      <rPr>
        <sz val="11"/>
        <color indexed="8"/>
        <rFont val="宋体"/>
        <family val="3"/>
        <charset val="134"/>
      </rPr>
      <t>广州诺玖顺</t>
    </r>
  </si>
  <si>
    <r>
      <rPr>
        <sz val="11"/>
        <rFont val="宋体"/>
        <family val="3"/>
        <charset val="134"/>
      </rPr>
      <t>棕容量瓶</t>
    </r>
  </si>
  <si>
    <r>
      <rPr>
        <sz val="11"/>
        <rFont val="宋体"/>
        <family val="3"/>
        <charset val="134"/>
      </rPr>
      <t>南通诚记化工</t>
    </r>
  </si>
  <si>
    <r>
      <rPr>
        <sz val="11"/>
        <rFont val="宋体"/>
        <family val="3"/>
        <charset val="134"/>
      </rPr>
      <t>棕容量瓶</t>
    </r>
    <r>
      <rPr>
        <sz val="11"/>
        <rFont val="Arial Narrow"/>
        <family val="2"/>
      </rPr>
      <t xml:space="preserve">  </t>
    </r>
  </si>
  <si>
    <r>
      <rPr>
        <sz val="11"/>
        <rFont val="宋体"/>
        <family val="3"/>
        <charset val="134"/>
      </rPr>
      <t>玻璃长颈漏斗</t>
    </r>
  </si>
  <si>
    <r>
      <rPr>
        <sz val="11"/>
        <rFont val="宋体"/>
        <family val="3"/>
        <charset val="134"/>
      </rPr>
      <t>玻璃短颈漏斗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</si>
  <si>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WJ018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</si>
  <si>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WJ019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</si>
  <si>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WJ020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</si>
  <si>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WJ021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</si>
  <si>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WJ022</t>
    </r>
  </si>
  <si>
    <r>
      <rPr>
        <sz val="11"/>
        <rFont val="宋体"/>
        <family val="3"/>
        <charset val="134"/>
      </rPr>
      <t>塑料刻度移液管</t>
    </r>
    <r>
      <rPr>
        <sz val="11"/>
        <rFont val="Arial Narrow"/>
        <family val="2"/>
      </rPr>
      <t>WJ066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</si>
  <si>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WJ032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</si>
  <si>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WJ033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</si>
  <si>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WJ038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</si>
  <si>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WJ035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</si>
  <si>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WJ036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</si>
  <si>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WJ037</t>
    </r>
  </si>
  <si>
    <r>
      <rPr>
        <sz val="11"/>
        <rFont val="宋体"/>
        <family val="3"/>
        <charset val="134"/>
      </rPr>
      <t>玻璃刻度移液管</t>
    </r>
    <r>
      <rPr>
        <sz val="11"/>
        <rFont val="Arial Narrow"/>
        <family val="2"/>
      </rPr>
      <t>WJ034</t>
    </r>
  </si>
  <si>
    <r>
      <rPr>
        <sz val="11"/>
        <rFont val="宋体"/>
        <family val="3"/>
        <charset val="134"/>
      </rPr>
      <t>具塞比色管</t>
    </r>
    <r>
      <rPr>
        <sz val="11"/>
        <rFont val="Arial Narrow"/>
        <family val="2"/>
      </rPr>
      <t>WJ039</t>
    </r>
  </si>
  <si>
    <r>
      <rPr>
        <sz val="11"/>
        <rFont val="宋体"/>
        <family val="3"/>
        <charset val="134"/>
      </rPr>
      <t>具塞比色管</t>
    </r>
    <r>
      <rPr>
        <sz val="11"/>
        <rFont val="Arial Narrow"/>
        <family val="2"/>
      </rPr>
      <t>WJ040</t>
    </r>
  </si>
  <si>
    <r>
      <rPr>
        <sz val="11"/>
        <rFont val="宋体"/>
        <family val="3"/>
        <charset val="134"/>
      </rPr>
      <t>具塞比色管</t>
    </r>
    <r>
      <rPr>
        <sz val="11"/>
        <rFont val="Arial Narrow"/>
        <family val="2"/>
      </rPr>
      <t>WJ041</t>
    </r>
  </si>
  <si>
    <r>
      <rPr>
        <sz val="11"/>
        <rFont val="宋体"/>
        <family val="3"/>
        <charset val="134"/>
      </rPr>
      <t>具塞比色管</t>
    </r>
    <r>
      <rPr>
        <sz val="11"/>
        <rFont val="Arial Narrow"/>
        <family val="2"/>
      </rPr>
      <t>WJ042</t>
    </r>
  </si>
  <si>
    <r>
      <rPr>
        <sz val="11"/>
        <rFont val="宋体"/>
        <family val="3"/>
        <charset val="134"/>
      </rPr>
      <t>玻璃注射器</t>
    </r>
    <r>
      <rPr>
        <sz val="11"/>
        <rFont val="Arial Narrow"/>
        <family val="2"/>
      </rPr>
      <t>WJ043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</si>
  <si>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WJ050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</si>
  <si>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WJ051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</si>
  <si>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WJ054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</si>
  <si>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WJ058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</si>
  <si>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WJ060</t>
    </r>
  </si>
  <si>
    <r>
      <rPr>
        <sz val="11"/>
        <rFont val="宋体"/>
        <family val="3"/>
        <charset val="134"/>
      </rPr>
      <t>白色容量瓶</t>
    </r>
    <r>
      <rPr>
        <sz val="11"/>
        <rFont val="Arial Narrow"/>
        <family val="2"/>
      </rPr>
      <t>WJ062</t>
    </r>
  </si>
  <si>
    <r>
      <rPr>
        <sz val="11"/>
        <rFont val="宋体"/>
        <family val="3"/>
        <charset val="134"/>
      </rPr>
      <t>白色聚乙烯容量瓶</t>
    </r>
    <r>
      <rPr>
        <sz val="11"/>
        <rFont val="Arial Narrow"/>
        <family val="2"/>
      </rPr>
      <t>WJ079</t>
    </r>
  </si>
  <si>
    <r>
      <rPr>
        <sz val="11"/>
        <rFont val="宋体"/>
        <family val="3"/>
        <charset val="134"/>
      </rPr>
      <t>微量进样器</t>
    </r>
    <r>
      <rPr>
        <sz val="11"/>
        <rFont val="Arial Narrow"/>
        <family val="2"/>
      </rPr>
      <t>WJ067</t>
    </r>
  </si>
  <si>
    <r>
      <rPr>
        <sz val="11"/>
        <rFont val="宋体"/>
        <family val="3"/>
        <charset val="134"/>
      </rPr>
      <t>微量进样器</t>
    </r>
    <r>
      <rPr>
        <sz val="11"/>
        <rFont val="Arial Narrow"/>
        <family val="2"/>
      </rPr>
      <t>WJ070</t>
    </r>
  </si>
  <si>
    <r>
      <rPr>
        <sz val="11"/>
        <rFont val="宋体"/>
        <family val="3"/>
        <charset val="134"/>
      </rPr>
      <t>水银温度计</t>
    </r>
    <r>
      <rPr>
        <sz val="11"/>
        <rFont val="Arial Narrow"/>
        <family val="2"/>
      </rPr>
      <t>WJ071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</si>
  <si>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WJ004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</si>
  <si>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WJ005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</si>
  <si>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WJ078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</si>
  <si>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WJ006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</si>
  <si>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WJ007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</si>
  <si>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WJ008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</si>
  <si>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WJ009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</si>
  <si>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WJ010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</si>
  <si>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WJ011</t>
    </r>
  </si>
  <si>
    <r>
      <rPr>
        <sz val="11"/>
        <rFont val="宋体"/>
        <family val="3"/>
        <charset val="134"/>
      </rPr>
      <t>单标移液管</t>
    </r>
    <r>
      <rPr>
        <sz val="11"/>
        <rFont val="Arial Narrow"/>
        <family val="2"/>
      </rPr>
      <t>WJ012</t>
    </r>
  </si>
  <si>
    <r>
      <rPr>
        <sz val="11"/>
        <rFont val="宋体"/>
        <family val="3"/>
        <charset val="134"/>
      </rPr>
      <t>棕色碱式滴定管</t>
    </r>
    <r>
      <rPr>
        <sz val="11"/>
        <rFont val="Arial Narrow"/>
        <family val="2"/>
      </rPr>
      <t>WJ024</t>
    </r>
  </si>
  <si>
    <r>
      <rPr>
        <sz val="11"/>
        <rFont val="宋体"/>
        <family val="3"/>
        <charset val="134"/>
      </rPr>
      <t>白色碱式滴定管</t>
    </r>
    <r>
      <rPr>
        <sz val="11"/>
        <rFont val="Arial Narrow"/>
        <family val="2"/>
      </rPr>
      <t>WJ023</t>
    </r>
  </si>
  <si>
    <r>
      <rPr>
        <sz val="11"/>
        <rFont val="宋体"/>
        <family val="3"/>
        <charset val="134"/>
      </rPr>
      <t>白色两用滴定管</t>
    </r>
    <r>
      <rPr>
        <sz val="11"/>
        <rFont val="Arial Narrow"/>
        <family val="2"/>
      </rPr>
      <t>WJ031</t>
    </r>
  </si>
  <si>
    <r>
      <rPr>
        <sz val="11"/>
        <rFont val="宋体"/>
        <family val="3"/>
        <charset val="134"/>
      </rPr>
      <t>白色酸式滴定管</t>
    </r>
    <r>
      <rPr>
        <sz val="11"/>
        <rFont val="Arial Narrow"/>
        <family val="2"/>
      </rPr>
      <t>WJ027</t>
    </r>
  </si>
  <si>
    <r>
      <rPr>
        <sz val="11"/>
        <rFont val="宋体"/>
        <family val="3"/>
        <charset val="134"/>
      </rPr>
      <t>白色酸式滴定管</t>
    </r>
    <r>
      <rPr>
        <sz val="11"/>
        <rFont val="Arial Narrow"/>
        <family val="2"/>
      </rPr>
      <t>WJ029</t>
    </r>
  </si>
  <si>
    <r>
      <rPr>
        <sz val="11"/>
        <rFont val="宋体"/>
        <family val="3"/>
        <charset val="134"/>
      </rPr>
      <t>棕色酸式滴定管</t>
    </r>
    <r>
      <rPr>
        <sz val="11"/>
        <rFont val="Arial Narrow"/>
        <family val="2"/>
      </rPr>
      <t>WJ028</t>
    </r>
  </si>
  <si>
    <r>
      <rPr>
        <sz val="11"/>
        <rFont val="宋体"/>
        <family val="3"/>
        <charset val="134"/>
      </rPr>
      <t>量筒</t>
    </r>
    <r>
      <rPr>
        <sz val="11"/>
        <rFont val="Arial Narrow"/>
        <family val="2"/>
      </rPr>
      <t>WJ017</t>
    </r>
  </si>
  <si>
    <r>
      <rPr>
        <sz val="11"/>
        <rFont val="宋体"/>
        <family val="3"/>
        <charset val="134"/>
      </rPr>
      <t>量筒</t>
    </r>
    <r>
      <rPr>
        <sz val="11"/>
        <rFont val="Arial Narrow"/>
        <family val="2"/>
      </rPr>
      <t>WJ016</t>
    </r>
  </si>
  <si>
    <r>
      <rPr>
        <sz val="11"/>
        <rFont val="宋体"/>
        <family val="3"/>
        <charset val="134"/>
      </rPr>
      <t>座式微量滴定管</t>
    </r>
  </si>
  <si>
    <r>
      <rPr>
        <sz val="11"/>
        <rFont val="宋体"/>
        <family val="3"/>
        <charset val="134"/>
      </rPr>
      <t>具塞锥形瓶</t>
    </r>
    <r>
      <rPr>
        <sz val="11"/>
        <rFont val="Arial Narrow"/>
        <family val="2"/>
      </rPr>
      <t xml:space="preserve">  </t>
    </r>
  </si>
  <si>
    <r>
      <rPr>
        <sz val="11"/>
        <rFont val="宋体"/>
        <family val="3"/>
        <charset val="134"/>
      </rPr>
      <t>碘量瓶</t>
    </r>
    <r>
      <rPr>
        <sz val="11"/>
        <rFont val="Arial Narrow"/>
        <family val="2"/>
      </rPr>
      <t xml:space="preserve">   </t>
    </r>
  </si>
  <si>
    <r>
      <rPr>
        <sz val="11"/>
        <rFont val="宋体"/>
        <family val="3"/>
        <charset val="134"/>
      </rPr>
      <t>溶解氧瓶</t>
    </r>
  </si>
  <si>
    <r>
      <rPr>
        <sz val="11"/>
        <rFont val="宋体"/>
        <family val="3"/>
        <charset val="134"/>
      </rPr>
      <t>蜀牛、</t>
    </r>
    <r>
      <rPr>
        <sz val="11"/>
        <rFont val="Arial Narrow"/>
        <family val="2"/>
      </rPr>
      <t>GG-17</t>
    </r>
  </si>
  <si>
    <r>
      <rPr>
        <sz val="11"/>
        <rFont val="宋体"/>
        <family val="3"/>
        <charset val="134"/>
      </rPr>
      <t>三角烧瓶（广口）</t>
    </r>
  </si>
  <si>
    <r>
      <rPr>
        <sz val="11"/>
        <rFont val="宋体"/>
        <family val="3"/>
        <charset val="134"/>
      </rPr>
      <t>三角烧瓶（广口细口）</t>
    </r>
  </si>
  <si>
    <r>
      <rPr>
        <sz val="11"/>
        <rFont val="宋体"/>
        <family val="3"/>
        <charset val="134"/>
      </rPr>
      <t>白容量瓶</t>
    </r>
  </si>
  <si>
    <r>
      <rPr>
        <sz val="11"/>
        <rFont val="宋体"/>
        <family val="3"/>
        <charset val="134"/>
      </rPr>
      <t>白色容量瓶</t>
    </r>
  </si>
  <si>
    <r>
      <rPr>
        <sz val="11"/>
        <rFont val="宋体"/>
        <family val="3"/>
        <charset val="134"/>
      </rPr>
      <t>直型冷凝管</t>
    </r>
  </si>
  <si>
    <r>
      <rPr>
        <sz val="11"/>
        <rFont val="宋体"/>
        <family val="3"/>
        <charset val="134"/>
      </rPr>
      <t>蛇形冷凝管</t>
    </r>
  </si>
  <si>
    <r>
      <rPr>
        <sz val="11"/>
        <rFont val="宋体"/>
        <family val="3"/>
        <charset val="134"/>
      </rPr>
      <t>球形冷凝管</t>
    </r>
  </si>
  <si>
    <r>
      <rPr>
        <sz val="11"/>
        <rFont val="宋体"/>
        <family val="3"/>
        <charset val="134"/>
      </rPr>
      <t>碱式滴定管</t>
    </r>
  </si>
  <si>
    <r>
      <t>50ml</t>
    </r>
    <r>
      <rPr>
        <sz val="11"/>
        <color indexed="8"/>
        <rFont val="宋体"/>
        <family val="3"/>
        <charset val="134"/>
      </rPr>
      <t>白、棕</t>
    </r>
  </si>
  <si>
    <r>
      <t>25ml</t>
    </r>
    <r>
      <rPr>
        <sz val="11"/>
        <color indexed="8"/>
        <rFont val="宋体"/>
        <family val="3"/>
        <charset val="134"/>
      </rPr>
      <t>白、棕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</si>
  <si>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7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8</t>
    </r>
  </si>
  <si>
    <r>
      <rPr>
        <sz val="11"/>
        <rFont val="宋体"/>
        <family val="3"/>
        <charset val="134"/>
      </rPr>
      <t>酸式滴定管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</si>
  <si>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8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7</t>
    </r>
  </si>
  <si>
    <r>
      <rPr>
        <sz val="11"/>
        <rFont val="宋体"/>
        <family val="3"/>
        <charset val="134"/>
      </rPr>
      <t>白聚四氟乙烯旋塞滴定管</t>
    </r>
  </si>
  <si>
    <r>
      <rPr>
        <sz val="11"/>
        <rFont val="宋体"/>
        <family val="3"/>
        <charset val="134"/>
      </rPr>
      <t>酸碱通用滴定管</t>
    </r>
  </si>
  <si>
    <r>
      <rPr>
        <sz val="11"/>
        <color indexed="8"/>
        <rFont val="宋体"/>
        <family val="3"/>
        <charset val="134"/>
      </rPr>
      <t>泰州市众星教学设备有限公司</t>
    </r>
  </si>
  <si>
    <r>
      <rPr>
        <sz val="11"/>
        <rFont val="宋体"/>
        <family val="3"/>
        <charset val="134"/>
      </rPr>
      <t>具塞圆底刻度试管</t>
    </r>
  </si>
  <si>
    <r>
      <rPr>
        <sz val="11"/>
        <rFont val="宋体"/>
        <family val="3"/>
        <charset val="134"/>
      </rPr>
      <t>具塞比色管</t>
    </r>
  </si>
  <si>
    <r>
      <rPr>
        <sz val="11"/>
        <rFont val="宋体"/>
        <family val="3"/>
        <charset val="134"/>
      </rPr>
      <t>玻璃培养皿</t>
    </r>
  </si>
  <si>
    <r>
      <rPr>
        <sz val="11"/>
        <rFont val="宋体"/>
        <family val="3"/>
        <charset val="134"/>
      </rPr>
      <t>烧杯</t>
    </r>
    <r>
      <rPr>
        <sz val="11"/>
        <rFont val="Arial Narrow"/>
        <family val="2"/>
      </rPr>
      <t xml:space="preserve">          </t>
    </r>
  </si>
  <si>
    <r>
      <rPr>
        <sz val="11"/>
        <color indexed="8"/>
        <rFont val="宋体"/>
        <family val="3"/>
        <charset val="134"/>
      </rPr>
      <t>蜀牛玻璃实验仪器商场</t>
    </r>
  </si>
  <si>
    <r>
      <rPr>
        <sz val="11"/>
        <rFont val="宋体"/>
        <family val="3"/>
        <charset val="134"/>
      </rPr>
      <t>烧杯</t>
    </r>
    <r>
      <rPr>
        <sz val="11"/>
        <rFont val="Arial Narrow"/>
        <family val="2"/>
      </rPr>
      <t xml:space="preserve">            </t>
    </r>
  </si>
  <si>
    <r>
      <rPr>
        <sz val="11"/>
        <rFont val="宋体"/>
        <family val="3"/>
        <charset val="134"/>
      </rPr>
      <t>烧杯</t>
    </r>
  </si>
  <si>
    <r>
      <rPr>
        <sz val="11"/>
        <rFont val="宋体"/>
        <family val="3"/>
        <charset val="134"/>
      </rPr>
      <t>平底烧瓶</t>
    </r>
  </si>
  <si>
    <r>
      <rPr>
        <sz val="11"/>
        <rFont val="宋体"/>
        <family val="3"/>
        <charset val="134"/>
      </rPr>
      <t>抽滤瓶</t>
    </r>
  </si>
  <si>
    <r>
      <rPr>
        <sz val="11"/>
        <rFont val="宋体"/>
        <family val="3"/>
        <charset val="134"/>
      </rPr>
      <t>球形分液漏斗</t>
    </r>
  </si>
  <si>
    <r>
      <rPr>
        <sz val="11"/>
        <rFont val="宋体"/>
        <family val="3"/>
        <charset val="134"/>
      </rPr>
      <t>蒸馏烧瓶</t>
    </r>
  </si>
  <si>
    <r>
      <rPr>
        <sz val="11"/>
        <rFont val="宋体"/>
        <family val="3"/>
        <charset val="134"/>
      </rPr>
      <t>圆底烧瓶</t>
    </r>
  </si>
  <si>
    <r>
      <rPr>
        <sz val="11"/>
        <rFont val="宋体"/>
        <family val="3"/>
        <charset val="134"/>
      </rPr>
      <t>圆底烧瓶</t>
    </r>
    <r>
      <rPr>
        <sz val="11"/>
        <rFont val="Arial Narrow"/>
        <family val="2"/>
      </rPr>
      <t>(</t>
    </r>
    <r>
      <rPr>
        <sz val="11"/>
        <rFont val="宋体"/>
        <family val="3"/>
        <charset val="134"/>
      </rPr>
      <t>长颈）</t>
    </r>
  </si>
  <si>
    <r>
      <t>250ml</t>
    </r>
    <r>
      <rPr>
        <sz val="11"/>
        <rFont val="宋体"/>
        <family val="3"/>
        <charset val="134"/>
      </rPr>
      <t>长颈、短颈</t>
    </r>
  </si>
  <si>
    <r>
      <rPr>
        <sz val="11"/>
        <rFont val="宋体"/>
        <family val="3"/>
        <charset val="134"/>
      </rPr>
      <t>长</t>
    </r>
    <r>
      <rPr>
        <sz val="11"/>
        <rFont val="Arial Narrow"/>
        <family val="2"/>
      </rPr>
      <t>4</t>
    </r>
    <r>
      <rPr>
        <sz val="11"/>
        <rFont val="宋体"/>
        <family val="3"/>
        <charset val="134"/>
      </rPr>
      <t>短</t>
    </r>
    <r>
      <rPr>
        <sz val="11"/>
        <rFont val="Arial Narrow"/>
        <family val="2"/>
      </rPr>
      <t>3</t>
    </r>
  </si>
  <si>
    <r>
      <rPr>
        <sz val="11"/>
        <rFont val="宋体"/>
        <family val="3"/>
        <charset val="134"/>
      </rPr>
      <t>梨形烧瓶</t>
    </r>
  </si>
  <si>
    <r>
      <rPr>
        <sz val="11"/>
        <rFont val="宋体"/>
        <family val="3"/>
        <charset val="134"/>
      </rPr>
      <t>定氮烧瓶</t>
    </r>
    <r>
      <rPr>
        <sz val="11"/>
        <rFont val="Arial Narrow"/>
        <family val="2"/>
      </rPr>
      <t>(</t>
    </r>
    <r>
      <rPr>
        <sz val="11"/>
        <rFont val="宋体"/>
        <family val="3"/>
        <charset val="134"/>
      </rPr>
      <t>梨形</t>
    </r>
    <r>
      <rPr>
        <sz val="11"/>
        <rFont val="Arial Narrow"/>
        <family val="2"/>
      </rPr>
      <t>)</t>
    </r>
  </si>
  <si>
    <r>
      <rPr>
        <sz val="11"/>
        <rFont val="宋体"/>
        <family val="3"/>
        <charset val="134"/>
      </rPr>
      <t>移液枪头</t>
    </r>
  </si>
  <si>
    <r>
      <t>10ml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50</t>
    </r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包</t>
    </r>
  </si>
  <si>
    <r>
      <rPr>
        <sz val="11"/>
        <rFont val="宋体"/>
        <family val="3"/>
        <charset val="134"/>
      </rPr>
      <t>移液枪头架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</si>
  <si>
    <r>
      <t>96</t>
    </r>
    <r>
      <rPr>
        <sz val="11"/>
        <rFont val="宋体"/>
        <family val="3"/>
        <charset val="134"/>
      </rPr>
      <t>孔</t>
    </r>
  </si>
  <si>
    <r>
      <t>VOCS</t>
    </r>
    <r>
      <rPr>
        <sz val="11"/>
        <color rgb="FF000000"/>
        <rFont val="宋体"/>
        <family val="3"/>
        <charset val="134"/>
      </rPr>
      <t>采样管（不锈钢）</t>
    </r>
  </si>
  <si>
    <r>
      <rPr>
        <sz val="11"/>
        <color indexed="8"/>
        <rFont val="宋体"/>
        <family val="3"/>
        <charset val="134"/>
      </rPr>
      <t>盐城超宇</t>
    </r>
  </si>
  <si>
    <r>
      <t>GH-1</t>
    </r>
    <r>
      <rPr>
        <sz val="11"/>
        <rFont val="宋体"/>
        <family val="3"/>
        <charset val="134"/>
      </rPr>
      <t>型硅胶采样管</t>
    </r>
  </si>
  <si>
    <r>
      <t>GH-1</t>
    </r>
    <r>
      <rPr>
        <sz val="11"/>
        <rFont val="宋体"/>
        <family val="3"/>
        <charset val="134"/>
      </rPr>
      <t>型活性炭采样管</t>
    </r>
  </si>
  <si>
    <r>
      <t>CO2</t>
    </r>
    <r>
      <rPr>
        <sz val="11"/>
        <rFont val="宋体"/>
        <family val="3"/>
        <charset val="134"/>
      </rPr>
      <t>硅胶采样管</t>
    </r>
    <r>
      <rPr>
        <sz val="11"/>
        <rFont val="Arial Narrow"/>
        <family val="2"/>
      </rPr>
      <t>BMILP</t>
    </r>
  </si>
  <si>
    <r>
      <rPr>
        <sz val="11"/>
        <rFont val="宋体"/>
        <family val="3"/>
        <charset val="134"/>
      </rPr>
      <t>橡胶小帽（采样管）</t>
    </r>
  </si>
  <si>
    <r>
      <rPr>
        <sz val="11"/>
        <rFont val="宋体"/>
        <family val="3"/>
        <charset val="134"/>
      </rPr>
      <t>搅拌子</t>
    </r>
  </si>
  <si>
    <r>
      <rPr>
        <sz val="11"/>
        <color indexed="8"/>
        <rFont val="宋体"/>
        <family val="3"/>
        <charset val="134"/>
      </rPr>
      <t>大</t>
    </r>
    <r>
      <rPr>
        <sz val="11"/>
        <color indexed="8"/>
        <rFont val="Arial Narrow"/>
        <family val="2"/>
      </rPr>
      <t>2</t>
    </r>
    <r>
      <rPr>
        <sz val="11"/>
        <color indexed="8"/>
        <rFont val="宋体"/>
        <family val="3"/>
        <charset val="134"/>
      </rPr>
      <t>小</t>
    </r>
    <r>
      <rPr>
        <sz val="11"/>
        <color indexed="8"/>
        <rFont val="Arial Narrow"/>
        <family val="2"/>
      </rPr>
      <t>4</t>
    </r>
  </si>
  <si>
    <r>
      <rPr>
        <sz val="11"/>
        <rFont val="宋体"/>
        <family val="3"/>
        <charset val="134"/>
      </rPr>
      <t>试管橡胶塞</t>
    </r>
  </si>
  <si>
    <r>
      <rPr>
        <sz val="11"/>
        <rFont val="宋体"/>
        <family val="3"/>
        <charset val="134"/>
      </rPr>
      <t>密封锥形塞子</t>
    </r>
  </si>
  <si>
    <r>
      <rPr>
        <sz val="11"/>
        <rFont val="宋体"/>
        <family val="3"/>
        <charset val="134"/>
      </rPr>
      <t>水系过滤头</t>
    </r>
  </si>
  <si>
    <r>
      <rPr>
        <sz val="11"/>
        <color indexed="8"/>
        <rFont val="宋体"/>
        <family val="3"/>
        <charset val="134"/>
      </rPr>
      <t>津腾</t>
    </r>
  </si>
  <si>
    <r>
      <rPr>
        <sz val="11"/>
        <color indexed="8"/>
        <rFont val="宋体"/>
        <family val="3"/>
        <charset val="134"/>
      </rPr>
      <t>聚醚砜</t>
    </r>
  </si>
  <si>
    <r>
      <rPr>
        <sz val="11"/>
        <rFont val="宋体"/>
        <family val="3"/>
        <charset val="134"/>
      </rPr>
      <t>硅藻土提取柱</t>
    </r>
  </si>
  <si>
    <r>
      <rPr>
        <sz val="11"/>
        <rFont val="宋体"/>
        <family val="3"/>
        <charset val="134"/>
      </rPr>
      <t>偶氮检测专用柱</t>
    </r>
  </si>
  <si>
    <r>
      <rPr>
        <sz val="11"/>
        <rFont val="宋体"/>
        <family val="3"/>
        <charset val="134"/>
      </rPr>
      <t>称量瓶（低型）</t>
    </r>
  </si>
  <si>
    <r>
      <rPr>
        <sz val="11"/>
        <rFont val="宋体"/>
        <family val="3"/>
        <charset val="134"/>
      </rPr>
      <t>称量瓶（高型）</t>
    </r>
  </si>
  <si>
    <r>
      <rPr>
        <sz val="11"/>
        <rFont val="宋体"/>
        <family val="3"/>
        <charset val="134"/>
      </rPr>
      <t>坩埚</t>
    </r>
  </si>
  <si>
    <r>
      <rPr>
        <sz val="11"/>
        <rFont val="宋体"/>
        <family val="3"/>
        <charset val="134"/>
      </rPr>
      <t>古氏过滤坩埚</t>
    </r>
  </si>
  <si>
    <r>
      <rPr>
        <sz val="11"/>
        <rFont val="宋体"/>
        <family val="3"/>
        <charset val="134"/>
      </rPr>
      <t>四氟烧杯（</t>
    </r>
    <r>
      <rPr>
        <sz val="11"/>
        <rFont val="Arial Narrow"/>
        <family val="2"/>
      </rPr>
      <t>PTFE)</t>
    </r>
  </si>
  <si>
    <r>
      <rPr>
        <sz val="11"/>
        <rFont val="宋体"/>
        <family val="3"/>
        <charset val="134"/>
      </rPr>
      <t>研磨钵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</si>
  <si>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6</t>
    </r>
    <r>
      <rPr>
        <sz val="11"/>
        <rFont val="宋体"/>
        <family val="3"/>
        <charset val="134"/>
      </rPr>
      <t>中</t>
    </r>
    <r>
      <rPr>
        <sz val="11"/>
        <rFont val="Arial Narrow"/>
        <family val="2"/>
      </rPr>
      <t>2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2</t>
    </r>
  </si>
  <si>
    <r>
      <rPr>
        <sz val="11"/>
        <rFont val="宋体"/>
        <family val="3"/>
        <charset val="134"/>
      </rPr>
      <t>玻璃纤维滤膜（测尘滤膜）</t>
    </r>
    <r>
      <rPr>
        <sz val="11"/>
        <rFont val="Arial Narrow"/>
        <family val="2"/>
      </rPr>
      <t>-</t>
    </r>
    <r>
      <rPr>
        <sz val="11"/>
        <rFont val="宋体"/>
        <family val="3"/>
        <charset val="134"/>
      </rPr>
      <t>职业卫生</t>
    </r>
  </si>
  <si>
    <r>
      <rPr>
        <sz val="11"/>
        <rFont val="宋体"/>
        <family val="3"/>
        <charset val="134"/>
      </rPr>
      <t>盐城超宇</t>
    </r>
  </si>
  <si>
    <r>
      <t>φ40mm,100</t>
    </r>
    <r>
      <rPr>
        <sz val="11"/>
        <rFont val="宋体"/>
        <family val="3"/>
        <charset val="134"/>
      </rPr>
      <t>张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</si>
  <si>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职业卫生滤膜</t>
    </r>
  </si>
  <si>
    <r>
      <rPr>
        <sz val="11"/>
        <rFont val="宋体"/>
        <family val="3"/>
        <charset val="134"/>
      </rPr>
      <t>绿色与白色</t>
    </r>
  </si>
  <si>
    <r>
      <rPr>
        <sz val="11"/>
        <rFont val="宋体"/>
        <family val="3"/>
        <charset val="134"/>
      </rPr>
      <t>乙酸硝酸纤维微孔滤膜</t>
    </r>
    <r>
      <rPr>
        <sz val="11"/>
        <rFont val="Arial Narrow"/>
        <family val="2"/>
      </rPr>
      <t>-</t>
    </r>
    <r>
      <rPr>
        <sz val="11"/>
        <rFont val="宋体"/>
        <family val="3"/>
        <charset val="134"/>
      </rPr>
      <t>采环境金属</t>
    </r>
  </si>
  <si>
    <r>
      <t>92*0.8μm 50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</si>
  <si>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混合纤维微孔滤膜</t>
    </r>
  </si>
  <si>
    <r>
      <t>90*0.8μm 50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</si>
  <si>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已用四片</t>
    </r>
  </si>
  <si>
    <r>
      <rPr>
        <sz val="11"/>
        <rFont val="宋体"/>
        <family val="3"/>
        <charset val="134"/>
      </rPr>
      <t>混合膜</t>
    </r>
    <r>
      <rPr>
        <sz val="11"/>
        <rFont val="Arial Narrow"/>
        <family val="2"/>
      </rPr>
      <t>-</t>
    </r>
    <r>
      <rPr>
        <sz val="11"/>
        <rFont val="宋体"/>
        <family val="3"/>
        <charset val="134"/>
      </rPr>
      <t>测</t>
    </r>
    <r>
      <rPr>
        <sz val="11"/>
        <rFont val="Arial Narrow"/>
        <family val="2"/>
      </rPr>
      <t>ss</t>
    </r>
  </si>
  <si>
    <r>
      <t>0.45*50 100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</si>
  <si>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水系微孔滤膜</t>
    </r>
  </si>
  <si>
    <r>
      <rPr>
        <sz val="11"/>
        <color theme="1"/>
        <rFont val="宋体"/>
        <family val="3"/>
        <charset val="134"/>
      </rPr>
      <t>桃园</t>
    </r>
  </si>
  <si>
    <r>
      <t>60*0.45ul/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</si>
  <si>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玻璃纤维测尘滤膜</t>
    </r>
  </si>
  <si>
    <r>
      <t>90um  50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</si>
  <si>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微孔滤膜</t>
    </r>
  </si>
  <si>
    <r>
      <t>40mm*0.8um 50</t>
    </r>
    <r>
      <rPr>
        <sz val="11"/>
        <color indexed="8"/>
        <rFont val="宋体"/>
        <family val="3"/>
        <charset val="134"/>
      </rPr>
      <t>片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</si>
  <si>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醋酸纤维滤膜</t>
    </r>
  </si>
  <si>
    <r>
      <t>0.22um*47mm 100</t>
    </r>
    <r>
      <rPr>
        <sz val="11"/>
        <color indexed="8"/>
        <rFont val="宋体"/>
        <family val="3"/>
        <charset val="134"/>
      </rPr>
      <t>张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</si>
  <si>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t>0.45um*47mm 100</t>
    </r>
    <r>
      <rPr>
        <sz val="11"/>
        <color indexed="8"/>
        <rFont val="宋体"/>
        <family val="3"/>
        <charset val="134"/>
      </rPr>
      <t>张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</si>
  <si>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黄盖无标记滤膜</t>
    </r>
  </si>
  <si>
    <r>
      <rPr>
        <sz val="11"/>
        <rFont val="宋体"/>
        <family val="3"/>
        <charset val="134"/>
      </rPr>
      <t>测尘滤膜</t>
    </r>
    <r>
      <rPr>
        <sz val="11"/>
        <rFont val="Arial Narrow"/>
        <family val="2"/>
      </rPr>
      <t>-</t>
    </r>
    <r>
      <rPr>
        <sz val="11"/>
        <rFont val="宋体"/>
        <family val="3"/>
        <charset val="134"/>
      </rPr>
      <t>丙纶纤维滤膜</t>
    </r>
  </si>
  <si>
    <r>
      <t>φ40mm,100</t>
    </r>
    <r>
      <rPr>
        <sz val="11"/>
        <color indexed="8"/>
        <rFont val="宋体"/>
        <family val="3"/>
        <charset val="134"/>
      </rPr>
      <t>片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</si>
  <si>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t>PH</t>
    </r>
    <r>
      <rPr>
        <sz val="11"/>
        <rFont val="宋体"/>
        <family val="3"/>
        <charset val="134"/>
      </rPr>
      <t>广范试纸</t>
    </r>
  </si>
  <si>
    <r>
      <t>1-14 20</t>
    </r>
    <r>
      <rPr>
        <sz val="11"/>
        <color indexed="8"/>
        <rFont val="宋体"/>
        <family val="3"/>
        <charset val="134"/>
      </rPr>
      <t>本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</si>
  <si>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t>PH</t>
    </r>
    <r>
      <rPr>
        <sz val="11"/>
        <rFont val="宋体"/>
        <family val="3"/>
        <charset val="134"/>
      </rPr>
      <t>精密试纸</t>
    </r>
  </si>
  <si>
    <r>
      <rPr>
        <sz val="11"/>
        <color indexed="8"/>
        <rFont val="宋体"/>
        <family val="3"/>
        <charset val="134"/>
      </rPr>
      <t>试纸</t>
    </r>
    <r>
      <rPr>
        <sz val="11"/>
        <color rgb="FF000000"/>
        <rFont val="Arial Narrow"/>
        <family val="2"/>
      </rPr>
      <t>0.5-5.0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Arial Narrow"/>
        <family val="2"/>
      </rPr>
      <t>3.8-5.4</t>
    </r>
  </si>
  <si>
    <r>
      <rPr>
        <sz val="11"/>
        <rFont val="宋体"/>
        <family val="3"/>
        <charset val="134"/>
      </rPr>
      <t>碘化钾淀粉试纸</t>
    </r>
  </si>
  <si>
    <r>
      <rPr>
        <sz val="11"/>
        <color indexed="8"/>
        <rFont val="宋体"/>
        <family val="3"/>
        <charset val="134"/>
      </rPr>
      <t>上海三爱思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温州华侨</t>
    </r>
  </si>
  <si>
    <r>
      <t>100</t>
    </r>
    <r>
      <rPr>
        <sz val="11"/>
        <color indexed="8"/>
        <rFont val="宋体"/>
        <family val="3"/>
        <charset val="134"/>
      </rPr>
      <t>张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</si>
  <si>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t>5</t>
    </r>
    <r>
      <rPr>
        <sz val="11"/>
        <rFont val="宋体"/>
        <family val="3"/>
        <charset val="134"/>
      </rPr>
      <t>本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</si>
  <si>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蓝石蕊试纸</t>
    </r>
  </si>
  <si>
    <r>
      <rPr>
        <sz val="11"/>
        <color indexed="8"/>
        <rFont val="宋体"/>
        <family val="3"/>
        <charset val="134"/>
      </rPr>
      <t>南通诚记化工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上海睿齐</t>
    </r>
  </si>
  <si>
    <r>
      <rPr>
        <sz val="11"/>
        <rFont val="宋体"/>
        <family val="3"/>
        <charset val="134"/>
      </rPr>
      <t>红石蕊试纸</t>
    </r>
  </si>
  <si>
    <r>
      <rPr>
        <sz val="11"/>
        <rFont val="宋体"/>
        <family val="3"/>
        <charset val="134"/>
      </rPr>
      <t>定量滤纸</t>
    </r>
  </si>
  <si>
    <r>
      <t>12.5  100</t>
    </r>
    <r>
      <rPr>
        <sz val="11"/>
        <color indexed="8"/>
        <rFont val="宋体"/>
        <family val="3"/>
        <charset val="134"/>
      </rPr>
      <t>张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</si>
  <si>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擦镜纸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</si>
  <si>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9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7</t>
    </r>
  </si>
  <si>
    <r>
      <t>POS</t>
    </r>
    <r>
      <rPr>
        <sz val="11"/>
        <rFont val="宋体"/>
        <family val="3"/>
        <charset val="134"/>
      </rPr>
      <t>机打印纸</t>
    </r>
  </si>
  <si>
    <r>
      <t>57mm*30mm</t>
    </r>
    <r>
      <rPr>
        <sz val="11"/>
        <rFont val="宋体"/>
        <family val="3"/>
        <charset val="134"/>
      </rPr>
      <t>，</t>
    </r>
    <r>
      <rPr>
        <sz val="11"/>
        <rFont val="Arial Narrow"/>
        <family val="2"/>
      </rPr>
      <t>2</t>
    </r>
    <r>
      <rPr>
        <sz val="11"/>
        <rFont val="宋体"/>
        <family val="3"/>
        <charset val="134"/>
      </rPr>
      <t>个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卷</t>
    </r>
  </si>
  <si>
    <r>
      <rPr>
        <sz val="11"/>
        <rFont val="宋体"/>
        <family val="3"/>
        <charset val="134"/>
      </rPr>
      <t>热敏纸</t>
    </r>
  </si>
  <si>
    <r>
      <t>PE</t>
    </r>
    <r>
      <rPr>
        <sz val="11"/>
        <rFont val="宋体"/>
        <family val="3"/>
        <charset val="134"/>
      </rPr>
      <t>样品袋</t>
    </r>
  </si>
  <si>
    <r>
      <rPr>
        <sz val="11"/>
        <color indexed="8"/>
        <rFont val="宋体"/>
        <family val="3"/>
        <charset val="134"/>
      </rPr>
      <t>小（</t>
    </r>
    <r>
      <rPr>
        <sz val="11"/>
        <color indexed="8"/>
        <rFont val="Arial Narrow"/>
        <family val="2"/>
      </rPr>
      <t>7*10</t>
    </r>
    <r>
      <rPr>
        <sz val="11"/>
        <color indexed="8"/>
        <rFont val="宋体"/>
        <family val="3"/>
        <charset val="134"/>
      </rPr>
      <t>）</t>
    </r>
  </si>
  <si>
    <r>
      <rPr>
        <sz val="11"/>
        <color indexed="8"/>
        <rFont val="宋体"/>
        <family val="3"/>
        <charset val="134"/>
      </rPr>
      <t>自封袋</t>
    </r>
  </si>
  <si>
    <r>
      <rPr>
        <sz val="11"/>
        <rFont val="宋体"/>
        <family val="3"/>
        <charset val="134"/>
      </rPr>
      <t>密封袋</t>
    </r>
  </si>
  <si>
    <r>
      <rPr>
        <sz val="11"/>
        <rFont val="宋体"/>
        <family val="3"/>
        <charset val="134"/>
      </rPr>
      <t>双面板</t>
    </r>
  </si>
  <si>
    <r>
      <t>60</t>
    </r>
    <r>
      <rPr>
        <sz val="11"/>
        <color indexed="8"/>
        <rFont val="宋体"/>
        <family val="3"/>
        <charset val="134"/>
      </rPr>
      <t>孔</t>
    </r>
  </si>
  <si>
    <r>
      <rPr>
        <sz val="11"/>
        <color indexed="8"/>
        <rFont val="宋体"/>
        <family val="3"/>
        <charset val="134"/>
      </rPr>
      <t>绿色</t>
    </r>
  </si>
  <si>
    <r>
      <rPr>
        <sz val="11"/>
        <rFont val="宋体"/>
        <family val="3"/>
        <charset val="134"/>
      </rPr>
      <t>小黄盒</t>
    </r>
  </si>
  <si>
    <r>
      <rPr>
        <sz val="11"/>
        <color indexed="8"/>
        <rFont val="宋体"/>
        <family val="3"/>
        <charset val="134"/>
      </rPr>
      <t>嫩黄色</t>
    </r>
  </si>
  <si>
    <r>
      <rPr>
        <sz val="11"/>
        <rFont val="宋体"/>
        <family val="3"/>
        <charset val="134"/>
      </rPr>
      <t>双面板含盖子</t>
    </r>
  </si>
  <si>
    <r>
      <t>96</t>
    </r>
    <r>
      <rPr>
        <sz val="11"/>
        <color indexed="8"/>
        <rFont val="宋体"/>
        <family val="3"/>
        <charset val="134"/>
      </rPr>
      <t>孔</t>
    </r>
  </si>
  <si>
    <r>
      <rPr>
        <sz val="11"/>
        <color indexed="8"/>
        <rFont val="宋体"/>
        <family val="3"/>
        <charset val="134"/>
      </rPr>
      <t>橘黄</t>
    </r>
  </si>
  <si>
    <r>
      <rPr>
        <sz val="11"/>
        <rFont val="宋体"/>
        <family val="3"/>
        <charset val="134"/>
      </rPr>
      <t>沥水架</t>
    </r>
  </si>
  <si>
    <r>
      <rPr>
        <sz val="11"/>
        <color indexed="8"/>
        <rFont val="宋体"/>
        <family val="3"/>
        <charset val="134"/>
      </rPr>
      <t>白色</t>
    </r>
  </si>
  <si>
    <r>
      <rPr>
        <sz val="11"/>
        <rFont val="宋体"/>
        <family val="3"/>
        <charset val="134"/>
      </rPr>
      <t>进样板</t>
    </r>
  </si>
  <si>
    <r>
      <rPr>
        <sz val="11"/>
        <color indexed="8"/>
        <rFont val="宋体"/>
        <family val="3"/>
        <charset val="134"/>
      </rPr>
      <t>孔径</t>
    </r>
    <r>
      <rPr>
        <sz val="11"/>
        <color indexed="8"/>
        <rFont val="Arial Narrow"/>
        <family val="2"/>
      </rPr>
      <t>12mm</t>
    </r>
  </si>
  <si>
    <r>
      <rPr>
        <sz val="11"/>
        <color indexed="8"/>
        <rFont val="宋体"/>
        <family val="3"/>
        <charset val="134"/>
      </rPr>
      <t>蓝色</t>
    </r>
  </si>
  <si>
    <r>
      <rPr>
        <sz val="11"/>
        <rFont val="宋体"/>
        <family val="3"/>
        <charset val="134"/>
      </rPr>
      <t>酒精灯</t>
    </r>
  </si>
  <si>
    <r>
      <rPr>
        <sz val="11"/>
        <rFont val="宋体"/>
        <family val="3"/>
        <charset val="134"/>
      </rPr>
      <t>三脚架</t>
    </r>
  </si>
  <si>
    <r>
      <rPr>
        <sz val="11"/>
        <rFont val="宋体"/>
        <family val="3"/>
        <charset val="134"/>
      </rPr>
      <t>结晶碗（玻璃蒸发皿）</t>
    </r>
  </si>
  <si>
    <r>
      <rPr>
        <sz val="11"/>
        <rFont val="宋体"/>
        <family val="3"/>
        <charset val="134"/>
      </rPr>
      <t>结晶杯（石英坩埚）</t>
    </r>
  </si>
  <si>
    <r>
      <rPr>
        <sz val="11"/>
        <rFont val="宋体"/>
        <family val="3"/>
        <charset val="134"/>
      </rPr>
      <t>棕色样品瓶</t>
    </r>
  </si>
  <si>
    <r>
      <rPr>
        <sz val="11"/>
        <rFont val="宋体"/>
        <family val="3"/>
        <charset val="134"/>
      </rPr>
      <t>布氏漏斗</t>
    </r>
  </si>
  <si>
    <r>
      <rPr>
        <sz val="11"/>
        <rFont val="宋体"/>
        <family val="3"/>
        <charset val="134"/>
      </rPr>
      <t>玻璃珠</t>
    </r>
  </si>
  <si>
    <r>
      <rPr>
        <sz val="11"/>
        <rFont val="宋体"/>
        <family val="3"/>
        <charset val="134"/>
      </rPr>
      <t>圆底坩埚</t>
    </r>
  </si>
  <si>
    <r>
      <rPr>
        <sz val="11"/>
        <rFont val="宋体"/>
        <family val="3"/>
        <charset val="134"/>
      </rPr>
      <t>坩埚式过滤器</t>
    </r>
  </si>
  <si>
    <r>
      <rPr>
        <sz val="11"/>
        <rFont val="宋体"/>
        <family val="3"/>
        <charset val="134"/>
      </rPr>
      <t>表面皿</t>
    </r>
  </si>
  <si>
    <r>
      <rPr>
        <sz val="11"/>
        <rFont val="宋体"/>
        <family val="3"/>
        <charset val="134"/>
      </rPr>
      <t>砂芯坩埚</t>
    </r>
  </si>
  <si>
    <r>
      <t>75</t>
    </r>
    <r>
      <rPr>
        <sz val="11"/>
        <rFont val="宋体"/>
        <family val="3"/>
        <charset val="134"/>
      </rPr>
      <t>度蒸馏转接头</t>
    </r>
  </si>
  <si>
    <r>
      <t>75</t>
    </r>
    <r>
      <rPr>
        <sz val="11"/>
        <rFont val="宋体"/>
        <family val="3"/>
        <charset val="134"/>
      </rPr>
      <t>度蒸馏转弯头</t>
    </r>
  </si>
  <si>
    <r>
      <t>24/29</t>
    </r>
    <r>
      <rPr>
        <sz val="11"/>
        <color indexed="8"/>
        <rFont val="宋体"/>
        <family val="3"/>
        <charset val="134"/>
      </rPr>
      <t>；</t>
    </r>
    <r>
      <rPr>
        <sz val="11"/>
        <color indexed="8"/>
        <rFont val="Arial Narrow"/>
        <family val="2"/>
      </rPr>
      <t>19/26</t>
    </r>
  </si>
  <si>
    <r>
      <rPr>
        <sz val="11"/>
        <rFont val="宋体"/>
        <family val="3"/>
        <charset val="134"/>
      </rPr>
      <t>三口连接管</t>
    </r>
  </si>
  <si>
    <r>
      <t>19*4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19/26</t>
    </r>
    <r>
      <rPr>
        <sz val="11"/>
        <color indexed="8"/>
        <rFont val="宋体"/>
        <family val="3"/>
        <charset val="134"/>
      </rPr>
      <t>；</t>
    </r>
    <r>
      <rPr>
        <sz val="11"/>
        <color indexed="8"/>
        <rFont val="Arial Narrow"/>
        <family val="2"/>
      </rPr>
      <t>24*4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24/29</t>
    </r>
  </si>
  <si>
    <r>
      <rPr>
        <sz val="11"/>
        <rFont val="宋体"/>
        <family val="3"/>
        <charset val="134"/>
      </rPr>
      <t>各</t>
    </r>
    <r>
      <rPr>
        <sz val="11"/>
        <rFont val="Arial Narrow"/>
        <family val="2"/>
      </rPr>
      <t>2</t>
    </r>
    <r>
      <rPr>
        <sz val="11"/>
        <rFont val="宋体"/>
        <family val="3"/>
        <charset val="134"/>
      </rPr>
      <t>个</t>
    </r>
  </si>
  <si>
    <r>
      <rPr>
        <sz val="11"/>
        <rFont val="宋体"/>
        <family val="3"/>
        <charset val="134"/>
      </rPr>
      <t>牛角管</t>
    </r>
  </si>
  <si>
    <r>
      <rPr>
        <sz val="11"/>
        <rFont val="宋体"/>
        <family val="3"/>
        <charset val="134"/>
      </rPr>
      <t>玻璃三通</t>
    </r>
  </si>
  <si>
    <r>
      <rPr>
        <sz val="11"/>
        <rFont val="宋体"/>
        <family val="3"/>
        <charset val="134"/>
      </rPr>
      <t>结晶皿</t>
    </r>
  </si>
  <si>
    <r>
      <rPr>
        <sz val="11"/>
        <rFont val="宋体"/>
        <family val="3"/>
        <charset val="134"/>
      </rPr>
      <t>直形滴管</t>
    </r>
  </si>
  <si>
    <r>
      <rPr>
        <sz val="11"/>
        <rFont val="宋体"/>
        <family val="3"/>
        <charset val="134"/>
      </rPr>
      <t>各</t>
    </r>
    <r>
      <rPr>
        <sz val="11"/>
        <rFont val="Arial Narrow"/>
        <family val="2"/>
      </rPr>
      <t>10</t>
    </r>
    <r>
      <rPr>
        <sz val="11"/>
        <rFont val="宋体"/>
        <family val="3"/>
        <charset val="134"/>
      </rPr>
      <t>个</t>
    </r>
  </si>
  <si>
    <r>
      <rPr>
        <sz val="11"/>
        <rFont val="宋体"/>
        <family val="3"/>
        <charset val="134"/>
      </rPr>
      <t>发酵试管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小倒管</t>
    </r>
  </si>
  <si>
    <r>
      <rPr>
        <sz val="11"/>
        <rFont val="宋体"/>
        <family val="3"/>
        <charset val="134"/>
      </rPr>
      <t>小，厚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小，薄</t>
    </r>
  </si>
  <si>
    <r>
      <rPr>
        <sz val="11"/>
        <rFont val="宋体"/>
        <family val="3"/>
        <charset val="134"/>
      </rPr>
      <t>厚</t>
    </r>
    <r>
      <rPr>
        <sz val="11"/>
        <rFont val="Arial Narrow"/>
        <family val="2"/>
      </rPr>
      <t>16</t>
    </r>
    <r>
      <rPr>
        <sz val="11"/>
        <rFont val="宋体"/>
        <family val="3"/>
        <charset val="134"/>
      </rPr>
      <t>薄</t>
    </r>
    <r>
      <rPr>
        <sz val="11"/>
        <rFont val="Arial Narrow"/>
        <family val="2"/>
      </rPr>
      <t>15</t>
    </r>
  </si>
  <si>
    <r>
      <rPr>
        <sz val="11"/>
        <rFont val="宋体"/>
        <family val="3"/>
        <charset val="134"/>
      </rPr>
      <t>中，厚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中，薄</t>
    </r>
  </si>
  <si>
    <r>
      <rPr>
        <sz val="11"/>
        <rFont val="宋体"/>
        <family val="3"/>
        <charset val="134"/>
      </rPr>
      <t>平口试管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</si>
  <si>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15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30</t>
    </r>
  </si>
  <si>
    <r>
      <rPr>
        <sz val="11"/>
        <rFont val="宋体"/>
        <family val="3"/>
        <charset val="134"/>
      </rPr>
      <t>平口刻度试管</t>
    </r>
  </si>
  <si>
    <r>
      <rPr>
        <sz val="11"/>
        <rFont val="宋体"/>
        <family val="3"/>
        <charset val="134"/>
      </rPr>
      <t>玻璃比色皿</t>
    </r>
  </si>
  <si>
    <r>
      <t>10</t>
    </r>
    <r>
      <rPr>
        <sz val="11"/>
        <color theme="1"/>
        <rFont val="宋体"/>
        <family val="3"/>
        <charset val="134"/>
      </rPr>
      <t>㎜</t>
    </r>
  </si>
  <si>
    <r>
      <t>20</t>
    </r>
    <r>
      <rPr>
        <sz val="11"/>
        <rFont val="宋体"/>
        <family val="3"/>
        <charset val="134"/>
      </rPr>
      <t>㎜</t>
    </r>
  </si>
  <si>
    <r>
      <t>30</t>
    </r>
    <r>
      <rPr>
        <sz val="1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</si>
  <si>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石英比色皿</t>
    </r>
  </si>
  <si>
    <r>
      <rPr>
        <sz val="11"/>
        <color indexed="8"/>
        <rFont val="宋体"/>
        <family val="3"/>
        <charset val="134"/>
      </rPr>
      <t>姜堰科达</t>
    </r>
  </si>
  <si>
    <r>
      <t>50</t>
    </r>
    <r>
      <rPr>
        <sz val="11"/>
        <color theme="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</si>
  <si>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洗耳球</t>
    </r>
  </si>
  <si>
    <r>
      <rPr>
        <sz val="11"/>
        <color indexed="8"/>
        <rFont val="宋体"/>
        <family val="3"/>
        <charset val="134"/>
      </rPr>
      <t>大</t>
    </r>
  </si>
  <si>
    <r>
      <rPr>
        <sz val="11"/>
        <color indexed="8"/>
        <rFont val="宋体"/>
        <family val="3"/>
        <charset val="134"/>
      </rPr>
      <t>大</t>
    </r>
    <r>
      <rPr>
        <sz val="11"/>
        <color indexed="8"/>
        <rFont val="Arial Narrow"/>
        <family val="2"/>
      </rPr>
      <t>2</t>
    </r>
    <r>
      <rPr>
        <sz val="11"/>
        <color indexed="8"/>
        <rFont val="宋体"/>
        <family val="3"/>
        <charset val="134"/>
      </rPr>
      <t>中</t>
    </r>
    <r>
      <rPr>
        <sz val="11"/>
        <color indexed="8"/>
        <rFont val="Arial Narrow"/>
        <family val="2"/>
      </rPr>
      <t>5</t>
    </r>
    <r>
      <rPr>
        <sz val="11"/>
        <color indexed="8"/>
        <rFont val="宋体"/>
        <family val="3"/>
        <charset val="134"/>
      </rPr>
      <t>小</t>
    </r>
    <r>
      <rPr>
        <sz val="11"/>
        <color indexed="8"/>
        <rFont val="Arial Narrow"/>
        <family val="2"/>
      </rPr>
      <t>2</t>
    </r>
  </si>
  <si>
    <r>
      <rPr>
        <sz val="11"/>
        <rFont val="宋体"/>
        <family val="3"/>
        <charset val="134"/>
      </rPr>
      <t>大包式采样管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</si>
  <si>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5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3</t>
    </r>
  </si>
  <si>
    <r>
      <rPr>
        <sz val="11"/>
        <rFont val="宋体"/>
        <family val="3"/>
        <charset val="134"/>
      </rPr>
      <t>小包式采样管</t>
    </r>
  </si>
  <si>
    <r>
      <t>5ml</t>
    </r>
    <r>
      <rPr>
        <sz val="11"/>
        <color indexed="8"/>
        <rFont val="宋体"/>
        <family val="3"/>
        <charset val="134"/>
      </rPr>
      <t>白色，棕色</t>
    </r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</si>
  <si>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10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10</t>
    </r>
  </si>
  <si>
    <r>
      <t>U</t>
    </r>
    <r>
      <rPr>
        <sz val="11"/>
        <rFont val="宋体"/>
        <family val="3"/>
        <charset val="134"/>
      </rPr>
      <t>型多孔玻板吸收管</t>
    </r>
  </si>
  <si>
    <r>
      <t>10ml</t>
    </r>
    <r>
      <rPr>
        <sz val="11"/>
        <color indexed="8"/>
        <rFont val="宋体"/>
        <family val="3"/>
        <charset val="134"/>
      </rPr>
      <t>白色</t>
    </r>
  </si>
  <si>
    <r>
      <t>50ml</t>
    </r>
    <r>
      <rPr>
        <sz val="11"/>
        <color indexed="8"/>
        <rFont val="宋体"/>
        <family val="3"/>
        <charset val="134"/>
      </rPr>
      <t>棕</t>
    </r>
  </si>
  <si>
    <r>
      <rPr>
        <sz val="11"/>
        <rFont val="宋体"/>
        <family val="3"/>
        <charset val="134"/>
      </rPr>
      <t>撞击式气体采样器</t>
    </r>
  </si>
  <si>
    <r>
      <t>10ml</t>
    </r>
    <r>
      <rPr>
        <sz val="11"/>
        <color indexed="8"/>
        <rFont val="宋体"/>
        <family val="3"/>
        <charset val="134"/>
      </rPr>
      <t>棕色</t>
    </r>
  </si>
  <si>
    <r>
      <rPr>
        <sz val="11"/>
        <rFont val="宋体"/>
        <family val="3"/>
        <charset val="134"/>
      </rPr>
      <t>白色小型气泡吸收管（小包）</t>
    </r>
  </si>
  <si>
    <r>
      <t>10ml</t>
    </r>
    <r>
      <rPr>
        <sz val="11"/>
        <rFont val="宋体"/>
        <family val="3"/>
        <charset val="134"/>
      </rPr>
      <t>白色、棕色</t>
    </r>
  </si>
  <si>
    <r>
      <rPr>
        <sz val="11"/>
        <color indexed="8"/>
        <rFont val="宋体"/>
        <family val="3"/>
        <charset val="134"/>
      </rPr>
      <t>白</t>
    </r>
    <r>
      <rPr>
        <sz val="11"/>
        <color indexed="8"/>
        <rFont val="Arial Narrow"/>
        <family val="2"/>
      </rPr>
      <t>1</t>
    </r>
    <r>
      <rPr>
        <sz val="11"/>
        <color indexed="8"/>
        <rFont val="宋体"/>
        <family val="3"/>
        <charset val="134"/>
      </rPr>
      <t>棕</t>
    </r>
    <r>
      <rPr>
        <sz val="11"/>
        <color indexed="8"/>
        <rFont val="Arial Narrow"/>
        <family val="2"/>
      </rPr>
      <t>48</t>
    </r>
  </si>
  <si>
    <r>
      <rPr>
        <sz val="11"/>
        <rFont val="宋体"/>
        <family val="3"/>
        <charset val="134"/>
      </rPr>
      <t>白色冲击式吸收管</t>
    </r>
  </si>
  <si>
    <r>
      <rPr>
        <sz val="11"/>
        <rFont val="宋体"/>
        <family val="3"/>
        <charset val="134"/>
      </rPr>
      <t>二氧化硫吸收瓶</t>
    </r>
  </si>
  <si>
    <r>
      <rPr>
        <sz val="11"/>
        <rFont val="宋体"/>
        <family val="3"/>
        <charset val="134"/>
      </rPr>
      <t>硫化氢吸收管</t>
    </r>
  </si>
  <si>
    <r>
      <rPr>
        <sz val="11"/>
        <rFont val="宋体"/>
        <family val="3"/>
        <charset val="134"/>
      </rPr>
      <t>微量定氮蒸馏器</t>
    </r>
  </si>
  <si>
    <r>
      <rPr>
        <sz val="11"/>
        <color indexed="8"/>
        <rFont val="宋体"/>
        <family val="3"/>
        <charset val="134"/>
      </rPr>
      <t>凯氏６件</t>
    </r>
  </si>
  <si>
    <r>
      <rPr>
        <sz val="11"/>
        <rFont val="宋体"/>
        <family val="3"/>
        <charset val="134"/>
      </rPr>
      <t>不确定是否完整</t>
    </r>
  </si>
  <si>
    <r>
      <rPr>
        <sz val="11"/>
        <rFont val="宋体"/>
        <family val="3"/>
        <charset val="134"/>
      </rPr>
      <t>凯氏专用球形冷凝管</t>
    </r>
  </si>
  <si>
    <r>
      <rPr>
        <sz val="11"/>
        <rFont val="宋体"/>
        <family val="3"/>
        <charset val="134"/>
      </rPr>
      <t>凯式氮专用</t>
    </r>
  </si>
  <si>
    <r>
      <rPr>
        <sz val="11"/>
        <rFont val="宋体"/>
        <family val="3"/>
        <charset val="134"/>
      </rPr>
      <t>镉柱还原装置</t>
    </r>
  </si>
  <si>
    <r>
      <t>2</t>
    </r>
    <r>
      <rPr>
        <sz val="11"/>
        <color indexed="8"/>
        <rFont val="宋体"/>
        <family val="3"/>
        <charset val="134"/>
      </rPr>
      <t>个一套</t>
    </r>
  </si>
  <si>
    <r>
      <t>1</t>
    </r>
    <r>
      <rPr>
        <sz val="11"/>
        <color indexed="8"/>
        <rFont val="宋体"/>
        <family val="3"/>
        <charset val="134"/>
      </rPr>
      <t>套有破损</t>
    </r>
  </si>
  <si>
    <r>
      <rPr>
        <sz val="11"/>
        <rFont val="宋体"/>
        <family val="3"/>
        <charset val="134"/>
      </rPr>
      <t>索氏萃取器</t>
    </r>
  </si>
  <si>
    <r>
      <rPr>
        <sz val="11"/>
        <rFont val="宋体"/>
        <family val="3"/>
        <charset val="134"/>
      </rPr>
      <t>刻度移液管</t>
    </r>
  </si>
  <si>
    <r>
      <rPr>
        <sz val="11"/>
        <color rgb="FF000000"/>
        <rFont val="宋体"/>
        <family val="3"/>
        <charset val="134"/>
      </rPr>
      <t>直的</t>
    </r>
  </si>
  <si>
    <r>
      <rPr>
        <sz val="11"/>
        <rFont val="宋体"/>
        <family val="3"/>
        <charset val="134"/>
      </rPr>
      <t>玻璃棒</t>
    </r>
  </si>
  <si>
    <r>
      <rPr>
        <sz val="11"/>
        <color indexed="8"/>
        <rFont val="宋体"/>
        <family val="3"/>
        <charset val="134"/>
      </rPr>
      <t>长、短</t>
    </r>
  </si>
  <si>
    <r>
      <rPr>
        <sz val="11"/>
        <rFont val="宋体"/>
        <family val="3"/>
        <charset val="134"/>
      </rPr>
      <t>塑料试管架</t>
    </r>
  </si>
  <si>
    <r>
      <t>15</t>
    </r>
    <r>
      <rPr>
        <sz val="11"/>
        <color indexed="8"/>
        <rFont val="宋体"/>
        <family val="3"/>
        <charset val="134"/>
      </rPr>
      <t>孔</t>
    </r>
  </si>
  <si>
    <r>
      <rPr>
        <sz val="11"/>
        <rFont val="宋体"/>
        <family val="3"/>
        <charset val="134"/>
      </rPr>
      <t>有机玻璃比色管架</t>
    </r>
  </si>
  <si>
    <r>
      <t>12</t>
    </r>
    <r>
      <rPr>
        <sz val="11"/>
        <rFont val="宋体"/>
        <family val="3"/>
        <charset val="134"/>
      </rPr>
      <t>孔</t>
    </r>
    <r>
      <rPr>
        <sz val="11"/>
        <rFont val="Arial Narrow"/>
        <family val="2"/>
      </rPr>
      <t>/50ml</t>
    </r>
    <r>
      <rPr>
        <sz val="11"/>
        <rFont val="宋体"/>
        <family val="3"/>
        <charset val="134"/>
      </rPr>
      <t>，</t>
    </r>
    <r>
      <rPr>
        <sz val="11"/>
        <rFont val="Arial Narrow"/>
        <family val="2"/>
      </rPr>
      <t>10</t>
    </r>
    <r>
      <rPr>
        <sz val="11"/>
        <rFont val="宋体"/>
        <family val="3"/>
        <charset val="134"/>
      </rPr>
      <t>孔</t>
    </r>
  </si>
  <si>
    <r>
      <rPr>
        <sz val="11"/>
        <rFont val="宋体"/>
        <family val="3"/>
        <charset val="134"/>
      </rPr>
      <t>移液管架</t>
    </r>
  </si>
  <si>
    <r>
      <t>18</t>
    </r>
    <r>
      <rPr>
        <sz val="11"/>
        <color indexed="8"/>
        <rFont val="宋体"/>
        <family val="3"/>
        <charset val="134"/>
      </rPr>
      <t>孔</t>
    </r>
  </si>
  <si>
    <r>
      <rPr>
        <sz val="11"/>
        <rFont val="宋体"/>
        <family val="3"/>
        <charset val="134"/>
      </rPr>
      <t>培养皿消毒桶</t>
    </r>
  </si>
  <si>
    <r>
      <rPr>
        <sz val="11"/>
        <color indexed="8"/>
        <rFont val="宋体"/>
        <family val="3"/>
        <charset val="134"/>
      </rPr>
      <t>兴瑞</t>
    </r>
  </si>
  <si>
    <r>
      <rPr>
        <sz val="11"/>
        <rFont val="宋体"/>
        <family val="3"/>
        <charset val="134"/>
      </rPr>
      <t>不锈钢试管架</t>
    </r>
  </si>
  <si>
    <r>
      <t>19mm*40</t>
    </r>
    <r>
      <rPr>
        <sz val="11"/>
        <color indexed="8"/>
        <rFont val="宋体"/>
        <family val="3"/>
        <charset val="134"/>
      </rPr>
      <t>孔</t>
    </r>
  </si>
  <si>
    <r>
      <rPr>
        <sz val="11"/>
        <rFont val="宋体"/>
        <family val="3"/>
        <charset val="134"/>
      </rPr>
      <t>单标移液管</t>
    </r>
  </si>
  <si>
    <r>
      <rPr>
        <sz val="11"/>
        <color indexed="8"/>
        <rFont val="宋体"/>
        <family val="3"/>
        <charset val="134"/>
      </rPr>
      <t>小胖肚</t>
    </r>
  </si>
  <si>
    <r>
      <rPr>
        <sz val="11"/>
        <rFont val="宋体"/>
        <family val="3"/>
        <charset val="134"/>
      </rPr>
      <t>量筒</t>
    </r>
  </si>
  <si>
    <r>
      <t>84</t>
    </r>
    <r>
      <rPr>
        <sz val="11"/>
        <rFont val="宋体"/>
        <family val="3"/>
        <charset val="134"/>
      </rPr>
      <t>消毒液</t>
    </r>
  </si>
  <si>
    <r>
      <rPr>
        <sz val="11"/>
        <rFont val="宋体"/>
        <family val="3"/>
        <charset val="134"/>
      </rPr>
      <t>硅油</t>
    </r>
  </si>
  <si>
    <r>
      <rPr>
        <sz val="11"/>
        <rFont val="宋体"/>
        <family val="3"/>
        <charset val="134"/>
      </rPr>
      <t>硅砂（石英砂）</t>
    </r>
  </si>
  <si>
    <r>
      <t>40-80</t>
    </r>
    <r>
      <rPr>
        <sz val="11"/>
        <color indexed="8"/>
        <rFont val="宋体"/>
        <family val="3"/>
        <charset val="134"/>
      </rPr>
      <t>目</t>
    </r>
  </si>
  <si>
    <r>
      <t>2ml</t>
    </r>
    <r>
      <rPr>
        <sz val="11"/>
        <rFont val="宋体"/>
        <family val="3"/>
        <charset val="134"/>
      </rPr>
      <t>样品瓶隔垫</t>
    </r>
  </si>
  <si>
    <r>
      <rPr>
        <sz val="11"/>
        <color indexed="8"/>
        <rFont val="宋体"/>
        <family val="3"/>
        <charset val="134"/>
      </rPr>
      <t>红色</t>
    </r>
  </si>
  <si>
    <r>
      <t>2ml</t>
    </r>
    <r>
      <rPr>
        <sz val="11"/>
        <rFont val="宋体"/>
        <family val="3"/>
        <charset val="134"/>
      </rPr>
      <t>棕色玻璃瓶</t>
    </r>
    <r>
      <rPr>
        <sz val="11"/>
        <rFont val="Arial Narrow"/>
        <family val="2"/>
      </rPr>
      <t>+</t>
    </r>
    <r>
      <rPr>
        <sz val="11"/>
        <rFont val="宋体"/>
        <family val="3"/>
        <charset val="134"/>
      </rPr>
      <t>实心盖子</t>
    </r>
  </si>
  <si>
    <r>
      <rPr>
        <sz val="11"/>
        <color indexed="8"/>
        <rFont val="宋体"/>
        <family val="3"/>
        <charset val="134"/>
      </rPr>
      <t>实际是</t>
    </r>
    <r>
      <rPr>
        <sz val="11"/>
        <color indexed="8"/>
        <rFont val="Arial Narrow"/>
        <family val="2"/>
      </rPr>
      <t>1.5ml</t>
    </r>
    <r>
      <rPr>
        <sz val="11"/>
        <color indexed="8"/>
        <rFont val="宋体"/>
        <family val="3"/>
        <charset val="134"/>
      </rPr>
      <t>的，没有盖子</t>
    </r>
  </si>
  <si>
    <r>
      <rPr>
        <sz val="11"/>
        <rFont val="宋体"/>
        <family val="3"/>
        <charset val="134"/>
      </rPr>
      <t>顶空进样瓶垫片</t>
    </r>
  </si>
  <si>
    <r>
      <rPr>
        <sz val="11"/>
        <color indexed="8"/>
        <rFont val="宋体"/>
        <family val="3"/>
        <charset val="134"/>
      </rPr>
      <t>蓝色</t>
    </r>
    <r>
      <rPr>
        <sz val="11"/>
        <color indexed="8"/>
        <rFont val="Arial Narrow"/>
        <family val="2"/>
      </rPr>
      <t>17.5*1.5</t>
    </r>
  </si>
  <si>
    <r>
      <t>2ml</t>
    </r>
    <r>
      <rPr>
        <sz val="11"/>
        <rFont val="宋体"/>
        <family val="3"/>
        <charset val="134"/>
      </rPr>
      <t>进样小瓶瓶盖</t>
    </r>
  </si>
  <si>
    <r>
      <rPr>
        <sz val="11"/>
        <rFont val="宋体"/>
        <family val="3"/>
        <charset val="134"/>
      </rPr>
      <t>水晶贴纸</t>
    </r>
  </si>
  <si>
    <r>
      <rPr>
        <sz val="11"/>
        <rFont val="宋体"/>
        <family val="3"/>
        <charset val="134"/>
      </rPr>
      <t>警示标贴</t>
    </r>
  </si>
  <si>
    <r>
      <rPr>
        <sz val="11"/>
        <rFont val="宋体"/>
        <family val="3"/>
        <charset val="134"/>
      </rPr>
      <t>三角警示标贴</t>
    </r>
  </si>
  <si>
    <r>
      <rPr>
        <sz val="11"/>
        <rFont val="宋体"/>
        <family val="3"/>
        <charset val="134"/>
      </rPr>
      <t>减压器</t>
    </r>
  </si>
  <si>
    <r>
      <rPr>
        <sz val="11"/>
        <rFont val="宋体"/>
        <family val="3"/>
        <charset val="134"/>
      </rPr>
      <t>增氧附件（止流阀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气泡石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皮管</t>
    </r>
    <r>
      <rPr>
        <sz val="11"/>
        <rFont val="Arial Narrow"/>
        <family val="2"/>
      </rPr>
      <t xml:space="preserve">  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</si>
  <si>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双联球</t>
    </r>
  </si>
  <si>
    <r>
      <rPr>
        <sz val="11"/>
        <rFont val="宋体"/>
        <family val="3"/>
        <charset val="134"/>
      </rPr>
      <t>刷子</t>
    </r>
  </si>
  <si>
    <r>
      <t>4</t>
    </r>
    <r>
      <rPr>
        <sz val="11"/>
        <color indexed="8"/>
        <rFont val="宋体"/>
        <family val="3"/>
        <charset val="134"/>
      </rPr>
      <t>寸</t>
    </r>
  </si>
  <si>
    <r>
      <rPr>
        <sz val="11"/>
        <rFont val="宋体"/>
        <family val="3"/>
        <charset val="134"/>
      </rPr>
      <t>天平刷</t>
    </r>
  </si>
  <si>
    <r>
      <rPr>
        <sz val="11"/>
        <rFont val="宋体"/>
        <family val="3"/>
        <charset val="134"/>
      </rPr>
      <t>压敏胶带</t>
    </r>
  </si>
  <si>
    <r>
      <rPr>
        <sz val="11"/>
        <color indexed="8"/>
        <rFont val="宋体"/>
        <family val="3"/>
        <charset val="134"/>
      </rPr>
      <t>分别为</t>
    </r>
    <r>
      <rPr>
        <sz val="11"/>
        <color indexed="8"/>
        <rFont val="Arial Narrow"/>
        <family val="2"/>
      </rPr>
      <t>8</t>
    </r>
    <r>
      <rPr>
        <sz val="11"/>
        <color indexed="8"/>
        <rFont val="宋体"/>
        <family val="3"/>
        <charset val="134"/>
      </rPr>
      <t>和</t>
    </r>
    <r>
      <rPr>
        <sz val="11"/>
        <color indexed="8"/>
        <rFont val="Arial Narrow"/>
        <family val="2"/>
      </rPr>
      <t>11</t>
    </r>
  </si>
  <si>
    <r>
      <rPr>
        <sz val="11"/>
        <rFont val="宋体"/>
        <family val="3"/>
        <charset val="134"/>
      </rPr>
      <t>延时管</t>
    </r>
  </si>
  <si>
    <r>
      <rPr>
        <sz val="11"/>
        <rFont val="宋体"/>
        <family val="3"/>
        <charset val="134"/>
      </rPr>
      <t>鞋套</t>
    </r>
  </si>
  <si>
    <r>
      <rPr>
        <sz val="11"/>
        <rFont val="宋体"/>
        <family val="3"/>
        <charset val="134"/>
      </rPr>
      <t>原子荧光泵管</t>
    </r>
  </si>
  <si>
    <r>
      <rPr>
        <sz val="11"/>
        <color indexed="8"/>
        <rFont val="宋体"/>
        <family val="3"/>
        <charset val="134"/>
      </rPr>
      <t>分别为</t>
    </r>
    <r>
      <rPr>
        <sz val="11"/>
        <color indexed="8"/>
        <rFont val="Arial Narrow"/>
        <family val="2"/>
      </rPr>
      <t>2</t>
    </r>
    <r>
      <rPr>
        <sz val="11"/>
        <color indexed="8"/>
        <rFont val="宋体"/>
        <family val="3"/>
        <charset val="134"/>
      </rPr>
      <t>和</t>
    </r>
    <r>
      <rPr>
        <sz val="11"/>
        <color indexed="8"/>
        <rFont val="Arial Narrow"/>
        <family val="2"/>
      </rPr>
      <t>3</t>
    </r>
  </si>
  <si>
    <r>
      <rPr>
        <sz val="11"/>
        <rFont val="宋体"/>
        <family val="3"/>
        <charset val="134"/>
      </rPr>
      <t>尼龙绳</t>
    </r>
  </si>
  <si>
    <r>
      <t>5</t>
    </r>
    <r>
      <rPr>
        <sz val="11"/>
        <color indexed="8"/>
        <rFont val="宋体"/>
        <family val="3"/>
        <charset val="134"/>
      </rPr>
      <t>米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根</t>
    </r>
  </si>
  <si>
    <r>
      <rPr>
        <sz val="11"/>
        <rFont val="宋体"/>
        <family val="3"/>
        <charset val="134"/>
      </rPr>
      <t>绒里手套</t>
    </r>
  </si>
  <si>
    <r>
      <rPr>
        <sz val="11"/>
        <color indexed="8"/>
        <rFont val="宋体"/>
        <family val="3"/>
        <charset val="134"/>
      </rPr>
      <t>双发</t>
    </r>
  </si>
  <si>
    <r>
      <rPr>
        <sz val="11"/>
        <rFont val="宋体"/>
        <family val="3"/>
        <charset val="134"/>
      </rPr>
      <t>纱布手套</t>
    </r>
  </si>
  <si>
    <r>
      <rPr>
        <sz val="11"/>
        <rFont val="宋体"/>
        <family val="3"/>
        <charset val="134"/>
      </rPr>
      <t>医用棉签</t>
    </r>
  </si>
  <si>
    <r>
      <rPr>
        <sz val="11"/>
        <rFont val="宋体"/>
        <family val="3"/>
        <charset val="134"/>
      </rPr>
      <t>经济型活性炭口罩</t>
    </r>
  </si>
  <si>
    <r>
      <t>50</t>
    </r>
    <r>
      <rPr>
        <sz val="11"/>
        <rFont val="宋体"/>
        <family val="3"/>
        <charset val="134"/>
      </rPr>
      <t>只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袋</t>
    </r>
  </si>
  <si>
    <r>
      <rPr>
        <sz val="11"/>
        <rFont val="宋体"/>
        <family val="3"/>
        <charset val="134"/>
      </rPr>
      <t>一次性无纺布口罩</t>
    </r>
  </si>
  <si>
    <r>
      <t>50</t>
    </r>
    <r>
      <rPr>
        <sz val="11"/>
        <rFont val="宋体"/>
        <family val="3"/>
        <charset val="134"/>
      </rPr>
      <t>只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</si>
  <si>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耐酸碱乳胶手套</t>
    </r>
  </si>
  <si>
    <r>
      <rPr>
        <sz val="11"/>
        <color indexed="8"/>
        <rFont val="宋体"/>
        <family val="3"/>
        <charset val="134"/>
      </rPr>
      <t>大号</t>
    </r>
  </si>
  <si>
    <r>
      <rPr>
        <sz val="11"/>
        <rFont val="宋体"/>
        <family val="3"/>
        <charset val="134"/>
      </rPr>
      <t>有线防静电手环</t>
    </r>
  </si>
  <si>
    <r>
      <rPr>
        <sz val="11"/>
        <rFont val="宋体"/>
        <family val="3"/>
        <charset val="134"/>
      </rPr>
      <t>分样筛</t>
    </r>
  </si>
  <si>
    <r>
      <t>20</t>
    </r>
    <r>
      <rPr>
        <sz val="11"/>
        <rFont val="宋体"/>
        <family val="3"/>
        <charset val="134"/>
      </rPr>
      <t>目</t>
    </r>
    <r>
      <rPr>
        <sz val="11"/>
        <rFont val="Arial Narrow"/>
        <family val="2"/>
      </rPr>
      <t xml:space="preserve"> 20cm,</t>
    </r>
    <r>
      <rPr>
        <sz val="11"/>
        <rFont val="宋体"/>
        <family val="3"/>
        <charset val="134"/>
      </rPr>
      <t>孔径</t>
    </r>
    <r>
      <rPr>
        <sz val="11"/>
        <rFont val="Arial Narrow"/>
        <family val="2"/>
      </rPr>
      <t>0.9mm</t>
    </r>
  </si>
  <si>
    <r>
      <t>40</t>
    </r>
    <r>
      <rPr>
        <sz val="11"/>
        <rFont val="宋体"/>
        <family val="3"/>
        <charset val="134"/>
      </rPr>
      <t>目</t>
    </r>
    <r>
      <rPr>
        <sz val="11"/>
        <rFont val="Arial Narrow"/>
        <family val="2"/>
      </rPr>
      <t xml:space="preserve">  20cm</t>
    </r>
    <r>
      <rPr>
        <sz val="11"/>
        <rFont val="宋体"/>
        <family val="3"/>
        <charset val="134"/>
      </rPr>
      <t>，孔径</t>
    </r>
    <r>
      <rPr>
        <sz val="11"/>
        <rFont val="Arial Narrow"/>
        <family val="2"/>
      </rPr>
      <t>0.45mm</t>
    </r>
  </si>
  <si>
    <r>
      <t>60</t>
    </r>
    <r>
      <rPr>
        <sz val="11"/>
        <rFont val="宋体"/>
        <family val="3"/>
        <charset val="134"/>
      </rPr>
      <t>目</t>
    </r>
    <r>
      <rPr>
        <sz val="11"/>
        <rFont val="Arial Narrow"/>
        <family val="2"/>
      </rPr>
      <t xml:space="preserve">  20cm</t>
    </r>
    <r>
      <rPr>
        <sz val="11"/>
        <rFont val="宋体"/>
        <family val="3"/>
        <charset val="134"/>
      </rPr>
      <t>，孔径</t>
    </r>
    <r>
      <rPr>
        <sz val="11"/>
        <rFont val="Arial Narrow"/>
        <family val="2"/>
      </rPr>
      <t>0.3mm</t>
    </r>
  </si>
  <si>
    <r>
      <t>120</t>
    </r>
    <r>
      <rPr>
        <sz val="11"/>
        <rFont val="宋体"/>
        <family val="3"/>
        <charset val="134"/>
      </rPr>
      <t>目</t>
    </r>
    <r>
      <rPr>
        <sz val="11"/>
        <rFont val="Arial Narrow"/>
        <family val="2"/>
      </rPr>
      <t xml:space="preserve">  21cm</t>
    </r>
    <r>
      <rPr>
        <sz val="11"/>
        <rFont val="宋体"/>
        <family val="3"/>
        <charset val="134"/>
      </rPr>
      <t>，孔径</t>
    </r>
    <r>
      <rPr>
        <sz val="11"/>
        <rFont val="Arial Narrow"/>
        <family val="2"/>
      </rPr>
      <t>0.125mm</t>
    </r>
  </si>
  <si>
    <r>
      <t>100</t>
    </r>
    <r>
      <rPr>
        <sz val="11"/>
        <color indexed="8"/>
        <rFont val="宋体"/>
        <family val="3"/>
        <charset val="134"/>
      </rPr>
      <t>目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0.9mm</t>
    </r>
    <r>
      <rPr>
        <sz val="11"/>
        <color indexed="8"/>
        <rFont val="宋体"/>
        <family val="3"/>
        <charset val="134"/>
      </rPr>
      <t>，孔径</t>
    </r>
    <r>
      <rPr>
        <sz val="11"/>
        <color indexed="8"/>
        <rFont val="Arial Narrow"/>
        <family val="2"/>
      </rPr>
      <t>0.15mm</t>
    </r>
  </si>
  <si>
    <r>
      <t>400</t>
    </r>
    <r>
      <rPr>
        <sz val="11"/>
        <color indexed="8"/>
        <rFont val="宋体"/>
        <family val="3"/>
        <charset val="134"/>
      </rPr>
      <t>目（塑料）</t>
    </r>
  </si>
  <si>
    <r>
      <rPr>
        <sz val="11"/>
        <rFont val="宋体"/>
        <family val="3"/>
        <charset val="134"/>
      </rPr>
      <t>聚乙烯塑料瓶</t>
    </r>
  </si>
  <si>
    <r>
      <rPr>
        <sz val="11"/>
        <rFont val="宋体"/>
        <family val="3"/>
        <charset val="134"/>
      </rPr>
      <t>旧的</t>
    </r>
  </si>
  <si>
    <r>
      <rPr>
        <sz val="11"/>
        <rFont val="宋体"/>
        <family val="3"/>
        <charset val="134"/>
      </rPr>
      <t>画粉笔</t>
    </r>
  </si>
  <si>
    <r>
      <rPr>
        <sz val="11"/>
        <color indexed="8"/>
        <rFont val="宋体"/>
        <family val="3"/>
        <charset val="134"/>
      </rPr>
      <t>裁衣彩画粉</t>
    </r>
  </si>
  <si>
    <r>
      <rPr>
        <sz val="11"/>
        <rFont val="宋体"/>
        <family val="3"/>
        <charset val="134"/>
      </rPr>
      <t>秒表</t>
    </r>
  </si>
  <si>
    <r>
      <rPr>
        <sz val="11"/>
        <color indexed="8"/>
        <rFont val="宋体"/>
        <family val="3"/>
        <charset val="134"/>
      </rPr>
      <t>无福牌</t>
    </r>
  </si>
  <si>
    <r>
      <rPr>
        <sz val="11"/>
        <rFont val="宋体"/>
        <family val="3"/>
        <charset val="134"/>
      </rPr>
      <t>氧化铝纱布</t>
    </r>
    <r>
      <rPr>
        <sz val="11"/>
        <rFont val="Arial Narrow"/>
        <family val="2"/>
      </rPr>
      <t>120</t>
    </r>
    <r>
      <rPr>
        <sz val="11"/>
        <rFont val="宋体"/>
        <family val="3"/>
        <charset val="134"/>
      </rPr>
      <t>目</t>
    </r>
    <r>
      <rPr>
        <sz val="11"/>
        <rFont val="Arial Narrow"/>
        <family val="2"/>
      </rPr>
      <t>/600</t>
    </r>
    <r>
      <rPr>
        <sz val="11"/>
        <rFont val="宋体"/>
        <family val="3"/>
        <charset val="134"/>
      </rPr>
      <t>目</t>
    </r>
  </si>
  <si>
    <r>
      <t>120</t>
    </r>
    <r>
      <rPr>
        <sz val="11"/>
        <color indexed="8"/>
        <rFont val="宋体"/>
        <family val="3"/>
        <charset val="134"/>
      </rPr>
      <t>目</t>
    </r>
    <r>
      <rPr>
        <sz val="11"/>
        <color indexed="8"/>
        <rFont val="Arial Narrow"/>
        <family val="2"/>
      </rPr>
      <t>/600</t>
    </r>
    <r>
      <rPr>
        <sz val="11"/>
        <color indexed="8"/>
        <rFont val="宋体"/>
        <family val="3"/>
        <charset val="134"/>
      </rPr>
      <t>目</t>
    </r>
  </si>
  <si>
    <r>
      <rPr>
        <sz val="11"/>
        <color indexed="8"/>
        <rFont val="宋体"/>
        <family val="3"/>
        <charset val="134"/>
      </rPr>
      <t>分别为</t>
    </r>
    <r>
      <rPr>
        <sz val="11"/>
        <color indexed="8"/>
        <rFont val="Arial Narrow"/>
        <family val="2"/>
      </rPr>
      <t>45</t>
    </r>
    <r>
      <rPr>
        <sz val="11"/>
        <color indexed="8"/>
        <rFont val="宋体"/>
        <family val="3"/>
        <charset val="134"/>
      </rPr>
      <t>和</t>
    </r>
    <r>
      <rPr>
        <sz val="11"/>
        <color indexed="8"/>
        <rFont val="Arial Narrow"/>
        <family val="2"/>
      </rPr>
      <t>95</t>
    </r>
  </si>
  <si>
    <r>
      <rPr>
        <sz val="11"/>
        <rFont val="宋体"/>
        <family val="3"/>
        <charset val="134"/>
      </rPr>
      <t>线剪</t>
    </r>
  </si>
  <si>
    <r>
      <rPr>
        <sz val="11"/>
        <color indexed="8"/>
        <rFont val="宋体"/>
        <family val="3"/>
        <charset val="134"/>
      </rPr>
      <t>小</t>
    </r>
  </si>
  <si>
    <r>
      <t>10</t>
    </r>
    <r>
      <rPr>
        <sz val="11"/>
        <color indexed="8"/>
        <rFont val="宋体"/>
        <family val="3"/>
        <charset val="134"/>
      </rPr>
      <t>寸</t>
    </r>
  </si>
  <si>
    <r>
      <rPr>
        <sz val="11"/>
        <rFont val="宋体"/>
        <family val="3"/>
        <charset val="134"/>
      </rPr>
      <t>软卷尺</t>
    </r>
  </si>
  <si>
    <r>
      <rPr>
        <sz val="11"/>
        <rFont val="宋体"/>
        <family val="3"/>
        <charset val="134"/>
      </rPr>
      <t>喷壶</t>
    </r>
  </si>
  <si>
    <r>
      <rPr>
        <sz val="11"/>
        <color indexed="8"/>
        <rFont val="宋体"/>
        <family val="3"/>
        <charset val="134"/>
      </rPr>
      <t>薄款</t>
    </r>
  </si>
  <si>
    <r>
      <rPr>
        <sz val="11"/>
        <rFont val="宋体"/>
        <family val="3"/>
        <charset val="134"/>
      </rPr>
      <t>数显游标卡尺</t>
    </r>
  </si>
  <si>
    <r>
      <t>G1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</si>
  <si>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微量进样器</t>
    </r>
  </si>
  <si>
    <r>
      <rPr>
        <sz val="11"/>
        <rFont val="宋体"/>
        <family val="3"/>
        <charset val="134"/>
      </rPr>
      <t>土壤比重计</t>
    </r>
  </si>
  <si>
    <r>
      <rPr>
        <sz val="11"/>
        <color indexed="8"/>
        <rFont val="宋体"/>
        <family val="3"/>
        <charset val="134"/>
      </rPr>
      <t>衡水斯菲尔</t>
    </r>
  </si>
  <si>
    <r>
      <rPr>
        <sz val="11"/>
        <rFont val="宋体"/>
        <family val="3"/>
        <charset val="134"/>
      </rPr>
      <t>比重计</t>
    </r>
  </si>
  <si>
    <r>
      <rPr>
        <sz val="11"/>
        <rFont val="宋体"/>
        <family val="3"/>
        <charset val="134"/>
      </rPr>
      <t>水银温度计</t>
    </r>
  </si>
  <si>
    <r>
      <t>0~100</t>
    </r>
    <r>
      <rPr>
        <sz val="11"/>
        <rFont val="宋体"/>
        <family val="3"/>
        <charset val="134"/>
      </rPr>
      <t>℃</t>
    </r>
  </si>
  <si>
    <r>
      <t>­50~50</t>
    </r>
    <r>
      <rPr>
        <sz val="11"/>
        <rFont val="宋体"/>
        <family val="3"/>
        <charset val="134"/>
      </rPr>
      <t>℃</t>
    </r>
  </si>
  <si>
    <r>
      <t>0-300</t>
    </r>
    <r>
      <rPr>
        <sz val="11"/>
        <color indexed="8"/>
        <rFont val="宋体"/>
        <family val="3"/>
        <charset val="134"/>
      </rPr>
      <t>℃</t>
    </r>
  </si>
  <si>
    <r>
      <rPr>
        <sz val="11"/>
        <rFont val="宋体"/>
        <family val="3"/>
        <charset val="134"/>
      </rPr>
      <t>塑料刻度移液管</t>
    </r>
  </si>
  <si>
    <r>
      <rPr>
        <sz val="11"/>
        <rFont val="宋体"/>
        <family val="3"/>
        <charset val="134"/>
      </rPr>
      <t>盖玻片</t>
    </r>
  </si>
  <si>
    <r>
      <t>24*24mm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100</t>
    </r>
    <r>
      <rPr>
        <sz val="11"/>
        <color indexed="8"/>
        <rFont val="宋体"/>
        <family val="3"/>
        <charset val="134"/>
      </rPr>
      <t>片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</si>
  <si>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载玻片</t>
    </r>
  </si>
  <si>
    <r>
      <rPr>
        <sz val="11"/>
        <color indexed="8"/>
        <rFont val="宋体"/>
        <family val="3"/>
        <charset val="134"/>
      </rPr>
      <t>磨砂边，</t>
    </r>
    <r>
      <rPr>
        <sz val="11"/>
        <color indexed="8"/>
        <rFont val="Arial Narrow"/>
        <family val="2"/>
      </rPr>
      <t>25.4*76.2mm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50</t>
    </r>
    <r>
      <rPr>
        <sz val="11"/>
        <color indexed="8"/>
        <rFont val="宋体"/>
        <family val="3"/>
        <charset val="134"/>
      </rPr>
      <t>片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</si>
  <si>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塑料容量瓶</t>
    </r>
  </si>
  <si>
    <r>
      <t>G5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</si>
  <si>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试管刷</t>
    </r>
    <r>
      <rPr>
        <sz val="11"/>
        <rFont val="Arial Narrow"/>
        <family val="2"/>
      </rPr>
      <t>(</t>
    </r>
    <r>
      <rPr>
        <sz val="11"/>
        <rFont val="宋体"/>
        <family val="3"/>
        <charset val="134"/>
      </rPr>
      <t>长柄）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</si>
  <si>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5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4</t>
    </r>
  </si>
  <si>
    <r>
      <rPr>
        <sz val="11"/>
        <rFont val="宋体"/>
        <family val="3"/>
        <charset val="134"/>
      </rPr>
      <t>试管刷（短柄）</t>
    </r>
  </si>
  <si>
    <r>
      <rPr>
        <sz val="11"/>
        <color indexed="8"/>
        <rFont val="宋体"/>
        <family val="3"/>
        <charset val="134"/>
      </rPr>
      <t>中</t>
    </r>
  </si>
  <si>
    <r>
      <rPr>
        <sz val="11"/>
        <rFont val="宋体"/>
        <family val="3"/>
        <charset val="134"/>
      </rPr>
      <t>烧杯刷</t>
    </r>
  </si>
  <si>
    <r>
      <rPr>
        <sz val="11"/>
        <rFont val="宋体"/>
        <family val="3"/>
        <charset val="134"/>
      </rPr>
      <t>各</t>
    </r>
    <r>
      <rPr>
        <sz val="11"/>
        <rFont val="Arial Narrow"/>
        <family val="2"/>
      </rPr>
      <t>1</t>
    </r>
    <r>
      <rPr>
        <sz val="11"/>
        <rFont val="宋体"/>
        <family val="3"/>
        <charset val="134"/>
      </rPr>
      <t>个</t>
    </r>
  </si>
  <si>
    <r>
      <rPr>
        <sz val="11"/>
        <rFont val="宋体"/>
        <family val="3"/>
        <charset val="134"/>
      </rPr>
      <t>烧瓶刷</t>
    </r>
  </si>
  <si>
    <r>
      <rPr>
        <sz val="11"/>
        <rFont val="宋体"/>
        <family val="3"/>
        <charset val="134"/>
      </rPr>
      <t>大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</si>
  <si>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4</t>
    </r>
    <r>
      <rPr>
        <sz val="11"/>
        <rFont val="宋体"/>
        <family val="3"/>
        <charset val="134"/>
      </rPr>
      <t>中</t>
    </r>
    <r>
      <rPr>
        <sz val="11"/>
        <rFont val="Arial Narrow"/>
        <family val="2"/>
      </rPr>
      <t>2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4</t>
    </r>
  </si>
  <si>
    <r>
      <rPr>
        <sz val="11"/>
        <rFont val="宋体"/>
        <family val="3"/>
        <charset val="134"/>
      </rPr>
      <t>容量瓶刷</t>
    </r>
  </si>
  <si>
    <r>
      <rPr>
        <sz val="11"/>
        <rFont val="宋体"/>
        <family val="3"/>
        <charset val="134"/>
      </rPr>
      <t>塑料烧杯</t>
    </r>
  </si>
  <si>
    <r>
      <rPr>
        <sz val="11"/>
        <rFont val="宋体"/>
        <family val="3"/>
        <charset val="134"/>
      </rPr>
      <t>塑料烧杯</t>
    </r>
    <r>
      <rPr>
        <sz val="11"/>
        <rFont val="Arial Narrow"/>
        <family val="2"/>
      </rPr>
      <t>PP</t>
    </r>
  </si>
  <si>
    <r>
      <rPr>
        <sz val="11"/>
        <rFont val="宋体"/>
        <family val="3"/>
        <charset val="134"/>
      </rPr>
      <t>防护眼镜</t>
    </r>
  </si>
  <si>
    <r>
      <t>G6</t>
    </r>
    <r>
      <rPr>
        <sz val="11"/>
        <color theme="1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</si>
  <si>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十字夹</t>
    </r>
  </si>
  <si>
    <r>
      <rPr>
        <sz val="11"/>
        <color indexed="8"/>
        <rFont val="宋体"/>
        <family val="3"/>
        <charset val="134"/>
      </rPr>
      <t>铁架台夹子</t>
    </r>
  </si>
  <si>
    <r>
      <rPr>
        <sz val="11"/>
        <rFont val="宋体"/>
        <family val="3"/>
        <charset val="134"/>
      </rPr>
      <t>耳塞</t>
    </r>
  </si>
  <si>
    <r>
      <t>3M 1100</t>
    </r>
    <r>
      <rPr>
        <sz val="11"/>
        <color indexed="8"/>
        <rFont val="宋体"/>
        <family val="3"/>
        <charset val="134"/>
      </rPr>
      <t>防噪声弹性耳塞</t>
    </r>
  </si>
  <si>
    <r>
      <rPr>
        <sz val="11"/>
        <rFont val="宋体"/>
        <family val="3"/>
        <charset val="134"/>
      </rPr>
      <t>废水吊桶</t>
    </r>
    <r>
      <rPr>
        <sz val="11"/>
        <rFont val="Arial Narrow"/>
        <family val="2"/>
      </rPr>
      <t>(</t>
    </r>
    <r>
      <rPr>
        <sz val="11"/>
        <rFont val="宋体"/>
        <family val="3"/>
        <charset val="134"/>
      </rPr>
      <t>塑料小桶）</t>
    </r>
  </si>
  <si>
    <r>
      <rPr>
        <sz val="11"/>
        <rFont val="宋体"/>
        <family val="3"/>
        <charset val="134"/>
      </rPr>
      <t>医用脱脂纱布</t>
    </r>
  </si>
  <si>
    <r>
      <t>21S*21S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115*105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84cm</t>
    </r>
  </si>
  <si>
    <r>
      <rPr>
        <sz val="11"/>
        <rFont val="宋体"/>
        <family val="3"/>
        <charset val="134"/>
      </rPr>
      <t>挂钩</t>
    </r>
  </si>
  <si>
    <r>
      <t>2</t>
    </r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</si>
  <si>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漏斗</t>
    </r>
  </si>
  <si>
    <r>
      <rPr>
        <sz val="11"/>
        <rFont val="宋体"/>
        <family val="3"/>
        <charset val="134"/>
      </rPr>
      <t>手术剪刀</t>
    </r>
  </si>
  <si>
    <r>
      <rPr>
        <sz val="11"/>
        <rFont val="宋体"/>
        <family val="3"/>
        <charset val="134"/>
      </rPr>
      <t>呼吸面罩</t>
    </r>
  </si>
  <si>
    <r>
      <t>620P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3M</t>
    </r>
  </si>
  <si>
    <r>
      <rPr>
        <sz val="11"/>
        <rFont val="宋体"/>
        <family val="3"/>
        <charset val="134"/>
      </rPr>
      <t>滤毒盒</t>
    </r>
  </si>
  <si>
    <r>
      <rPr>
        <sz val="11"/>
        <rFont val="宋体"/>
        <family val="3"/>
        <charset val="134"/>
      </rPr>
      <t>滤棉</t>
    </r>
  </si>
  <si>
    <r>
      <rPr>
        <sz val="11"/>
        <rFont val="宋体"/>
        <family val="3"/>
        <charset val="134"/>
      </rPr>
      <t>纱布绷带</t>
    </r>
  </si>
  <si>
    <r>
      <rPr>
        <sz val="11"/>
        <rFont val="宋体"/>
        <family val="3"/>
        <charset val="134"/>
      </rPr>
      <t>无菌采样袋</t>
    </r>
  </si>
  <si>
    <r>
      <rPr>
        <sz val="11"/>
        <rFont val="宋体"/>
        <family val="3"/>
        <charset val="134"/>
      </rPr>
      <t>比克曼生物</t>
    </r>
  </si>
  <si>
    <r>
      <t>G9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</si>
  <si>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color indexed="8"/>
        <rFont val="宋体"/>
        <family val="3"/>
        <charset val="134"/>
      </rPr>
      <t>已拆，</t>
    </r>
    <r>
      <rPr>
        <sz val="11"/>
        <color indexed="8"/>
        <rFont val="Arial Narrow"/>
        <family val="2"/>
      </rPr>
      <t>100</t>
    </r>
    <r>
      <rPr>
        <sz val="11"/>
        <color indexed="8"/>
        <rFont val="宋体"/>
        <family val="3"/>
        <charset val="134"/>
      </rPr>
      <t>个一袋</t>
    </r>
  </si>
  <si>
    <r>
      <rPr>
        <sz val="11"/>
        <rFont val="宋体"/>
        <family val="3"/>
        <charset val="134"/>
      </rPr>
      <t>白毛巾</t>
    </r>
  </si>
  <si>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 xml:space="preserve"> </t>
    </r>
  </si>
  <si>
    <r>
      <rPr>
        <sz val="11"/>
        <rFont val="宋体"/>
        <family val="3"/>
        <charset val="134"/>
      </rPr>
      <t>棉球</t>
    </r>
  </si>
  <si>
    <r>
      <t>500g</t>
    </r>
    <r>
      <rPr>
        <sz val="11"/>
        <color indexed="8"/>
        <rFont val="宋体"/>
        <family val="3"/>
        <charset val="134"/>
      </rPr>
      <t>，中号</t>
    </r>
  </si>
  <si>
    <r>
      <rPr>
        <sz val="11"/>
        <color indexed="8"/>
        <rFont val="宋体"/>
        <family val="3"/>
        <charset val="134"/>
      </rPr>
      <t>出库</t>
    </r>
    <r>
      <rPr>
        <sz val="11"/>
        <color indexed="8"/>
        <rFont val="Arial Narrow"/>
        <family val="2"/>
      </rPr>
      <t>100</t>
    </r>
    <r>
      <rPr>
        <sz val="11"/>
        <color indexed="8"/>
        <rFont val="宋体"/>
        <family val="3"/>
        <charset val="134"/>
      </rPr>
      <t>个</t>
    </r>
  </si>
  <si>
    <r>
      <rPr>
        <sz val="11"/>
        <rFont val="宋体"/>
        <family val="3"/>
        <charset val="134"/>
      </rPr>
      <t>一次性灭菌帽</t>
    </r>
  </si>
  <si>
    <r>
      <t>10</t>
    </r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包</t>
    </r>
  </si>
  <si>
    <r>
      <rPr>
        <sz val="11"/>
        <rFont val="宋体"/>
        <family val="3"/>
        <charset val="134"/>
      </rPr>
      <t>无纺布</t>
    </r>
    <r>
      <rPr>
        <sz val="11"/>
        <rFont val="Arial Narrow"/>
        <family val="2"/>
      </rPr>
      <t>(</t>
    </r>
    <r>
      <rPr>
        <sz val="11"/>
        <rFont val="宋体"/>
        <family val="3"/>
        <charset val="134"/>
      </rPr>
      <t>柔巾）</t>
    </r>
  </si>
  <si>
    <r>
      <t>22cm*16m</t>
    </r>
    <r>
      <rPr>
        <sz val="11"/>
        <color indexed="8"/>
        <rFont val="宋体"/>
        <family val="3"/>
        <charset val="134"/>
      </rPr>
      <t>，美容专用棉柔巾</t>
    </r>
  </si>
  <si>
    <r>
      <rPr>
        <sz val="11"/>
        <rFont val="宋体"/>
        <family val="3"/>
        <charset val="134"/>
      </rPr>
      <t>不锈钢碗</t>
    </r>
  </si>
  <si>
    <r>
      <rPr>
        <sz val="11"/>
        <color indexed="8"/>
        <rFont val="宋体"/>
        <family val="3"/>
        <charset val="134"/>
      </rPr>
      <t>客户送来检验</t>
    </r>
  </si>
  <si>
    <r>
      <rPr>
        <sz val="11"/>
        <rFont val="宋体"/>
        <family val="3"/>
        <charset val="134"/>
      </rPr>
      <t>红嘴塑料洗瓶</t>
    </r>
    <r>
      <rPr>
        <sz val="11"/>
        <rFont val="Arial Narrow"/>
        <family val="2"/>
      </rPr>
      <t>PP</t>
    </r>
  </si>
  <si>
    <r>
      <rPr>
        <sz val="11"/>
        <rFont val="宋体"/>
        <family val="3"/>
        <charset val="134"/>
      </rPr>
      <t>白色塑料洗瓶</t>
    </r>
    <r>
      <rPr>
        <sz val="11"/>
        <rFont val="Arial Narrow"/>
        <family val="2"/>
      </rPr>
      <t>PP</t>
    </r>
  </si>
  <si>
    <r>
      <rPr>
        <sz val="11"/>
        <rFont val="宋体"/>
        <family val="3"/>
        <charset val="134"/>
      </rPr>
      <t>聚乙烯塑料瓶（大口，小口）</t>
    </r>
  </si>
  <si>
    <r>
      <rPr>
        <sz val="11"/>
        <color indexed="8"/>
        <rFont val="宋体"/>
        <family val="3"/>
        <charset val="134"/>
      </rPr>
      <t>其中两个没盖，小口</t>
    </r>
    <r>
      <rPr>
        <sz val="11"/>
        <color indexed="8"/>
        <rFont val="Arial Narrow"/>
        <family val="2"/>
      </rPr>
      <t>2</t>
    </r>
    <r>
      <rPr>
        <sz val="11"/>
        <color indexed="8"/>
        <rFont val="宋体"/>
        <family val="3"/>
        <charset val="134"/>
      </rPr>
      <t>个）</t>
    </r>
  </si>
  <si>
    <r>
      <rPr>
        <sz val="11"/>
        <rFont val="宋体"/>
        <family val="3"/>
        <charset val="134"/>
      </rPr>
      <t>塑料试剂瓶</t>
    </r>
    <r>
      <rPr>
        <sz val="11"/>
        <rFont val="Arial Narrow"/>
        <family val="2"/>
      </rPr>
      <t xml:space="preserve"> </t>
    </r>
  </si>
  <si>
    <r>
      <rPr>
        <sz val="11"/>
        <rFont val="宋体"/>
        <family val="3"/>
        <charset val="134"/>
      </rPr>
      <t>塑料试剂瓶</t>
    </r>
  </si>
  <si>
    <r>
      <rPr>
        <sz val="11"/>
        <rFont val="宋体"/>
        <family val="3"/>
        <charset val="134"/>
      </rPr>
      <t>聚丙烯瓶</t>
    </r>
  </si>
  <si>
    <r>
      <rPr>
        <sz val="11"/>
        <rFont val="宋体"/>
        <family val="3"/>
        <charset val="134"/>
      </rPr>
      <t>石棉垫</t>
    </r>
  </si>
  <si>
    <r>
      <t>G3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</si>
  <si>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大</t>
    </r>
    <r>
      <rPr>
        <sz val="11"/>
        <rFont val="Arial Narrow"/>
        <family val="2"/>
      </rPr>
      <t>2</t>
    </r>
    <r>
      <rPr>
        <sz val="11"/>
        <rFont val="宋体"/>
        <family val="3"/>
        <charset val="134"/>
      </rPr>
      <t>中</t>
    </r>
    <r>
      <rPr>
        <sz val="11"/>
        <rFont val="Arial Narrow"/>
        <family val="2"/>
      </rPr>
      <t>5</t>
    </r>
    <r>
      <rPr>
        <sz val="11"/>
        <rFont val="宋体"/>
        <family val="3"/>
        <charset val="134"/>
      </rPr>
      <t>小</t>
    </r>
    <r>
      <rPr>
        <sz val="11"/>
        <rFont val="Arial Narrow"/>
        <family val="2"/>
      </rPr>
      <t>5</t>
    </r>
  </si>
  <si>
    <r>
      <rPr>
        <sz val="11"/>
        <rFont val="宋体"/>
        <family val="3"/>
        <charset val="134"/>
      </rPr>
      <t>砂轮片</t>
    </r>
  </si>
  <si>
    <r>
      <rPr>
        <sz val="11"/>
        <rFont val="宋体"/>
        <family val="3"/>
        <charset val="134"/>
      </rPr>
      <t>铝针盒</t>
    </r>
  </si>
  <si>
    <r>
      <rPr>
        <sz val="11"/>
        <rFont val="宋体"/>
        <family val="3"/>
        <charset val="134"/>
      </rPr>
      <t>钢尺</t>
    </r>
  </si>
  <si>
    <r>
      <t>30CM</t>
    </r>
    <r>
      <rPr>
        <sz val="11"/>
        <color indexed="8"/>
        <rFont val="宋体"/>
        <family val="3"/>
        <charset val="134"/>
      </rPr>
      <t>带英寸</t>
    </r>
  </si>
  <si>
    <r>
      <rPr>
        <sz val="11"/>
        <rFont val="宋体"/>
        <family val="3"/>
        <charset val="134"/>
      </rPr>
      <t>嗅辨袋</t>
    </r>
  </si>
  <si>
    <r>
      <rPr>
        <sz val="11"/>
        <rFont val="宋体"/>
        <family val="3"/>
        <charset val="134"/>
      </rPr>
      <t>嗅辨塞</t>
    </r>
  </si>
  <si>
    <r>
      <rPr>
        <sz val="11"/>
        <rFont val="宋体"/>
        <family val="3"/>
        <charset val="134"/>
      </rPr>
      <t>充气点火器</t>
    </r>
  </si>
  <si>
    <r>
      <rPr>
        <sz val="11"/>
        <rFont val="宋体"/>
        <family val="3"/>
        <charset val="134"/>
      </rPr>
      <t>不锈钢药匙</t>
    </r>
  </si>
  <si>
    <r>
      <t>3</t>
    </r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套</t>
    </r>
  </si>
  <si>
    <r>
      <rPr>
        <sz val="11"/>
        <rFont val="宋体"/>
        <family val="3"/>
        <charset val="134"/>
      </rPr>
      <t>挑针</t>
    </r>
  </si>
  <si>
    <r>
      <rPr>
        <sz val="11"/>
        <rFont val="宋体"/>
        <family val="3"/>
        <charset val="134"/>
      </rPr>
      <t>聚四氟乙烯过滤器采样夹</t>
    </r>
  </si>
  <si>
    <r>
      <rPr>
        <sz val="11"/>
        <color indexed="8"/>
        <rFont val="宋体"/>
        <family val="3"/>
        <charset val="134"/>
      </rPr>
      <t>直径</t>
    </r>
    <r>
      <rPr>
        <sz val="11"/>
        <color indexed="8"/>
        <rFont val="Arial Narrow"/>
        <family val="2"/>
      </rPr>
      <t>25cm</t>
    </r>
  </si>
  <si>
    <r>
      <rPr>
        <sz val="11"/>
        <rFont val="宋体"/>
        <family val="3"/>
        <charset val="134"/>
      </rPr>
      <t>镊子</t>
    </r>
  </si>
  <si>
    <r>
      <rPr>
        <sz val="11"/>
        <color indexed="8"/>
        <rFont val="宋体"/>
        <family val="3"/>
        <charset val="134"/>
      </rPr>
      <t>不锈钢，直角尖头</t>
    </r>
  </si>
  <si>
    <r>
      <rPr>
        <sz val="11"/>
        <rFont val="宋体"/>
        <family val="3"/>
        <charset val="134"/>
      </rPr>
      <t>塑料离心管</t>
    </r>
  </si>
  <si>
    <r>
      <t>G4</t>
    </r>
    <r>
      <rPr>
        <sz val="11"/>
        <color indexed="8"/>
        <rFont val="宋体"/>
        <family val="3"/>
        <charset val="134"/>
      </rPr>
      <t>储物箱</t>
    </r>
  </si>
  <si>
    <r>
      <t>6</t>
    </r>
    <r>
      <rPr>
        <sz val="11"/>
        <color indexed="8"/>
        <rFont val="宋体"/>
        <family val="3"/>
        <charset val="134"/>
      </rPr>
      <t>个无盖</t>
    </r>
  </si>
  <si>
    <r>
      <rPr>
        <sz val="11"/>
        <rFont val="宋体"/>
        <family val="3"/>
        <charset val="134"/>
      </rPr>
      <t>塑料带盖平口试管</t>
    </r>
  </si>
  <si>
    <r>
      <rPr>
        <sz val="11"/>
        <rFont val="宋体"/>
        <family val="3"/>
        <charset val="134"/>
      </rPr>
      <t>衣架</t>
    </r>
  </si>
  <si>
    <r>
      <t>G7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</si>
  <si>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裤架</t>
    </r>
  </si>
  <si>
    <r>
      <rPr>
        <sz val="11"/>
        <rFont val="宋体"/>
        <family val="3"/>
        <charset val="134"/>
      </rPr>
      <t>洁净服</t>
    </r>
  </si>
  <si>
    <r>
      <t>G8</t>
    </r>
    <r>
      <rPr>
        <sz val="11"/>
        <color indexed="8"/>
        <rFont val="宋体"/>
        <family val="3"/>
        <charset val="134"/>
      </rPr>
      <t>储物箱</t>
    </r>
  </si>
  <si>
    <r>
      <rPr>
        <sz val="11"/>
        <rFont val="宋体"/>
        <family val="3"/>
        <charset val="134"/>
      </rPr>
      <t>洁净鞋</t>
    </r>
  </si>
  <si>
    <r>
      <rPr>
        <sz val="11"/>
        <rFont val="宋体"/>
        <family val="3"/>
        <charset val="134"/>
      </rPr>
      <t>分离钳</t>
    </r>
  </si>
  <si>
    <r>
      <rPr>
        <sz val="11"/>
        <rFont val="宋体"/>
        <family val="3"/>
        <charset val="134"/>
      </rPr>
      <t>注射器针头</t>
    </r>
  </si>
  <si>
    <r>
      <t>10</t>
    </r>
    <r>
      <rPr>
        <sz val="11"/>
        <rFont val="宋体"/>
        <family val="3"/>
        <charset val="134"/>
      </rPr>
      <t>个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  <r>
      <rPr>
        <sz val="11"/>
        <rFont val="Arial Narrow"/>
        <family val="2"/>
      </rPr>
      <t xml:space="preserve"> 4</t>
    </r>
    <r>
      <rPr>
        <sz val="11"/>
        <rFont val="宋体"/>
        <family val="3"/>
        <charset val="134"/>
      </rPr>
      <t>号</t>
    </r>
  </si>
  <si>
    <r>
      <t>10</t>
    </r>
    <r>
      <rPr>
        <sz val="11"/>
        <rFont val="宋体"/>
        <family val="3"/>
        <charset val="134"/>
      </rPr>
      <t>个</t>
    </r>
    <r>
      <rPr>
        <sz val="11"/>
        <rFont val="Arial Narrow"/>
        <family val="2"/>
      </rPr>
      <t>/</t>
    </r>
    <r>
      <rPr>
        <sz val="11"/>
        <rFont val="宋体"/>
        <family val="3"/>
        <charset val="134"/>
      </rPr>
      <t>盒</t>
    </r>
    <r>
      <rPr>
        <sz val="11"/>
        <rFont val="Arial Narrow"/>
        <family val="2"/>
      </rPr>
      <t xml:space="preserve"> 10</t>
    </r>
    <r>
      <rPr>
        <sz val="11"/>
        <rFont val="宋体"/>
        <family val="3"/>
        <charset val="134"/>
      </rPr>
      <t>号</t>
    </r>
  </si>
  <si>
    <r>
      <rPr>
        <sz val="11"/>
        <color indexed="8"/>
        <rFont val="宋体"/>
        <family val="3"/>
        <charset val="134"/>
      </rPr>
      <t>重庆加加林</t>
    </r>
  </si>
  <si>
    <r>
      <rPr>
        <sz val="11"/>
        <rFont val="宋体"/>
        <family val="3"/>
        <charset val="134"/>
      </rPr>
      <t>大理石滴定台</t>
    </r>
  </si>
  <si>
    <r>
      <rPr>
        <sz val="11"/>
        <color indexed="8"/>
        <rFont val="宋体"/>
        <family val="3"/>
        <charset val="134"/>
      </rPr>
      <t>附夹</t>
    </r>
  </si>
  <si>
    <r>
      <rPr>
        <sz val="11"/>
        <color indexed="8"/>
        <rFont val="宋体"/>
        <family val="3"/>
        <charset val="134"/>
      </rPr>
      <t>北墙角</t>
    </r>
  </si>
  <si>
    <r>
      <rPr>
        <sz val="11"/>
        <color indexed="8"/>
        <rFont val="宋体"/>
        <family val="3"/>
        <charset val="134"/>
      </rPr>
      <t>附杆</t>
    </r>
  </si>
  <si>
    <r>
      <rPr>
        <sz val="11"/>
        <rFont val="宋体"/>
        <family val="3"/>
        <charset val="134"/>
      </rPr>
      <t>废液桶</t>
    </r>
  </si>
  <si>
    <r>
      <rPr>
        <sz val="11"/>
        <color indexed="8"/>
        <rFont val="宋体"/>
        <family val="3"/>
        <charset val="134"/>
      </rPr>
      <t>南墙角</t>
    </r>
  </si>
  <si>
    <r>
      <rPr>
        <sz val="11"/>
        <rFont val="宋体"/>
        <family val="3"/>
        <charset val="134"/>
      </rPr>
      <t>撑衣杆</t>
    </r>
  </si>
  <si>
    <r>
      <rPr>
        <sz val="11"/>
        <rFont val="宋体"/>
        <family val="3"/>
        <charset val="134"/>
      </rPr>
      <t>洗手液</t>
    </r>
  </si>
  <si>
    <r>
      <rPr>
        <sz val="11"/>
        <rFont val="宋体"/>
        <family val="3"/>
        <charset val="134"/>
      </rPr>
      <t>硅胶管</t>
    </r>
  </si>
  <si>
    <r>
      <t>30</t>
    </r>
    <r>
      <rPr>
        <sz val="11"/>
        <color theme="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</si>
  <si>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玻璃漏斗</t>
    </r>
  </si>
  <si>
    <r>
      <t>90</t>
    </r>
    <r>
      <rPr>
        <sz val="11"/>
        <color theme="1"/>
        <rFont val="宋体"/>
        <family val="3"/>
        <charset val="134"/>
      </rPr>
      <t>㎜</t>
    </r>
  </si>
  <si>
    <r>
      <t>10</t>
    </r>
    <r>
      <rPr>
        <sz val="11"/>
        <color theme="1"/>
        <rFont val="宋体"/>
        <family val="3"/>
        <charset val="134"/>
      </rPr>
      <t>微升</t>
    </r>
  </si>
  <si>
    <r>
      <t>G2</t>
    </r>
    <r>
      <rPr>
        <sz val="11"/>
        <color indexed="8"/>
        <rFont val="宋体"/>
        <family val="3"/>
        <charset val="134"/>
      </rPr>
      <t>储物箱</t>
    </r>
  </si>
  <si>
    <r>
      <t>50</t>
    </r>
    <r>
      <rPr>
        <sz val="11"/>
        <color theme="1"/>
        <rFont val="宋体"/>
        <family val="3"/>
        <charset val="134"/>
      </rPr>
      <t>微升</t>
    </r>
  </si>
  <si>
    <r>
      <rPr>
        <sz val="11"/>
        <rFont val="宋体"/>
        <family val="3"/>
        <charset val="134"/>
      </rPr>
      <t>乙炔减压器</t>
    </r>
  </si>
  <si>
    <r>
      <rPr>
        <sz val="11"/>
        <color theme="1"/>
        <rFont val="宋体"/>
        <family val="3"/>
        <charset val="134"/>
      </rPr>
      <t>精品全铜</t>
    </r>
  </si>
  <si>
    <r>
      <rPr>
        <sz val="11"/>
        <rFont val="宋体"/>
        <family val="3"/>
        <charset val="134"/>
      </rPr>
      <t>塑料透明盒盖</t>
    </r>
  </si>
  <si>
    <r>
      <rPr>
        <sz val="11"/>
        <rFont val="宋体"/>
        <family val="3"/>
        <charset val="134"/>
      </rPr>
      <t>塑料透明盒子</t>
    </r>
  </si>
  <si>
    <r>
      <rPr>
        <sz val="11"/>
        <rFont val="宋体"/>
        <family val="3"/>
        <charset val="134"/>
      </rPr>
      <t>橙色家具</t>
    </r>
    <r>
      <rPr>
        <sz val="11"/>
        <rFont val="Arial Narrow"/>
        <family val="2"/>
      </rPr>
      <t>N</t>
    </r>
    <r>
      <rPr>
        <sz val="1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</si>
  <si>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不锈钢烧烤烟熏盒</t>
    </r>
  </si>
  <si>
    <r>
      <rPr>
        <sz val="11"/>
        <rFont val="宋体"/>
        <family val="3"/>
        <charset val="134"/>
      </rPr>
      <t>封口膜</t>
    </r>
  </si>
  <si>
    <r>
      <rPr>
        <sz val="11"/>
        <rFont val="宋体"/>
        <family val="3"/>
        <charset val="134"/>
      </rPr>
      <t>得力塑料直尺</t>
    </r>
  </si>
  <si>
    <r>
      <t>50</t>
    </r>
    <r>
      <rPr>
        <sz val="11"/>
        <rFont val="宋体"/>
        <family val="3"/>
        <charset val="134"/>
      </rPr>
      <t>公分</t>
    </r>
  </si>
  <si>
    <r>
      <rPr>
        <sz val="11"/>
        <rFont val="宋体"/>
        <family val="3"/>
        <charset val="134"/>
      </rPr>
      <t>硅胶垫</t>
    </r>
  </si>
  <si>
    <r>
      <t>50*50</t>
    </r>
    <r>
      <rPr>
        <sz val="11"/>
        <color theme="1"/>
        <rFont val="宋体"/>
        <family val="3"/>
        <charset val="134"/>
      </rPr>
      <t>公分</t>
    </r>
  </si>
  <si>
    <r>
      <rPr>
        <sz val="11"/>
        <rFont val="宋体"/>
        <family val="3"/>
        <charset val="134"/>
      </rPr>
      <t>水浴锅温度探头</t>
    </r>
  </si>
  <si>
    <r>
      <rPr>
        <sz val="11"/>
        <rFont val="宋体"/>
        <family val="3"/>
        <charset val="134"/>
      </rPr>
      <t>顶空瓶垫</t>
    </r>
  </si>
  <si>
    <r>
      <t>17.5*1.5</t>
    </r>
    <r>
      <rPr>
        <sz val="11"/>
        <color theme="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</si>
  <si>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耐高温灭菌袋</t>
    </r>
  </si>
  <si>
    <r>
      <t>200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盒，</t>
    </r>
    <r>
      <rPr>
        <sz val="11"/>
        <color theme="1"/>
        <rFont val="Arial Narrow"/>
        <family val="2"/>
      </rPr>
      <t>57*130</t>
    </r>
    <r>
      <rPr>
        <sz val="11"/>
        <color theme="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</si>
  <si>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测尘滤膜</t>
    </r>
    <r>
      <rPr>
        <sz val="11"/>
        <rFont val="Arial Narrow"/>
        <family val="2"/>
      </rPr>
      <t>-</t>
    </r>
    <r>
      <rPr>
        <sz val="11"/>
        <rFont val="宋体"/>
        <family val="3"/>
        <charset val="134"/>
      </rPr>
      <t>玻璃纤维</t>
    </r>
  </si>
  <si>
    <r>
      <t>φ90</t>
    </r>
    <r>
      <rPr>
        <sz val="11"/>
        <color theme="1"/>
        <rFont val="宋体"/>
        <family val="3"/>
        <charset val="134"/>
      </rPr>
      <t>㎜，</t>
    </r>
    <r>
      <rPr>
        <sz val="11"/>
        <color theme="1"/>
        <rFont val="Arial Narrow"/>
        <family val="2"/>
      </rPr>
      <t>50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</si>
  <si>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丁腈手套</t>
    </r>
  </si>
  <si>
    <r>
      <t>M</t>
    </r>
    <r>
      <rPr>
        <sz val="11"/>
        <color theme="1"/>
        <rFont val="宋体"/>
        <family val="3"/>
        <charset val="134"/>
      </rPr>
      <t>号</t>
    </r>
  </si>
  <si>
    <r>
      <rPr>
        <sz val="11"/>
        <rFont val="宋体"/>
        <family val="3"/>
        <charset val="134"/>
      </rPr>
      <t>聚乙烯管</t>
    </r>
  </si>
  <si>
    <r>
      <rPr>
        <sz val="11"/>
        <color theme="1"/>
        <rFont val="宋体"/>
        <family val="3"/>
        <charset val="134"/>
      </rPr>
      <t>南墙角</t>
    </r>
  </si>
  <si>
    <r>
      <t>PP</t>
    </r>
    <r>
      <rPr>
        <sz val="11"/>
        <rFont val="宋体"/>
        <family val="3"/>
        <charset val="134"/>
      </rPr>
      <t>棉</t>
    </r>
  </si>
  <si>
    <r>
      <t>RO</t>
    </r>
    <r>
      <rPr>
        <sz val="11"/>
        <rFont val="宋体"/>
        <family val="3"/>
        <charset val="134"/>
      </rPr>
      <t>膜</t>
    </r>
  </si>
  <si>
    <r>
      <rPr>
        <sz val="11"/>
        <rFont val="宋体"/>
        <family val="3"/>
        <charset val="134"/>
      </rPr>
      <t>活性炭</t>
    </r>
  </si>
  <si>
    <r>
      <rPr>
        <sz val="11"/>
        <color theme="1"/>
        <rFont val="宋体"/>
        <family val="3"/>
        <charset val="134"/>
      </rPr>
      <t>北墙角</t>
    </r>
  </si>
  <si>
    <r>
      <rPr>
        <sz val="11"/>
        <rFont val="宋体"/>
        <family val="3"/>
        <charset val="134"/>
      </rPr>
      <t>硅胶采样管</t>
    </r>
  </si>
  <si>
    <r>
      <t>50/100</t>
    </r>
    <r>
      <rPr>
        <sz val="11"/>
        <color theme="1"/>
        <rFont val="宋体"/>
        <family val="3"/>
        <charset val="134"/>
      </rPr>
      <t>㎎，</t>
    </r>
    <r>
      <rPr>
        <sz val="11"/>
        <color theme="1"/>
        <rFont val="Arial Narrow"/>
        <family val="2"/>
      </rPr>
      <t>6*80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</si>
  <si>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无胶滤筒</t>
    </r>
  </si>
  <si>
    <r>
      <t>28*70,20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</si>
  <si>
    <r>
      <rPr>
        <sz val="11"/>
        <rFont val="宋体"/>
        <family val="3"/>
        <charset val="134"/>
      </rPr>
      <t>乳胶管</t>
    </r>
  </si>
  <si>
    <r>
      <rPr>
        <sz val="11"/>
        <color theme="1"/>
        <rFont val="宋体"/>
        <family val="3"/>
        <charset val="134"/>
      </rPr>
      <t>外径</t>
    </r>
    <r>
      <rPr>
        <sz val="11"/>
        <color theme="1"/>
        <rFont val="Arial Narrow"/>
        <family val="2"/>
      </rPr>
      <t>9</t>
    </r>
    <r>
      <rPr>
        <sz val="11"/>
        <color theme="1"/>
        <rFont val="宋体"/>
        <family val="3"/>
        <charset val="134"/>
      </rPr>
      <t>㎜内径</t>
    </r>
    <r>
      <rPr>
        <sz val="11"/>
        <color theme="1"/>
        <rFont val="Arial Narrow"/>
        <family val="2"/>
      </rPr>
      <t>6</t>
    </r>
    <r>
      <rPr>
        <sz val="11"/>
        <color theme="1"/>
        <rFont val="宋体"/>
        <family val="3"/>
        <charset val="134"/>
      </rPr>
      <t>㎜</t>
    </r>
  </si>
  <si>
    <r>
      <rPr>
        <sz val="11"/>
        <rFont val="宋体"/>
        <family val="3"/>
        <charset val="134"/>
      </rPr>
      <t>橡胶小帽</t>
    </r>
  </si>
  <si>
    <r>
      <t>500ml/</t>
    </r>
    <r>
      <rPr>
        <sz val="11"/>
        <color theme="1"/>
        <rFont val="宋体"/>
        <family val="3"/>
        <charset val="134"/>
      </rPr>
      <t>瓶</t>
    </r>
  </si>
  <si>
    <r>
      <t>75%</t>
    </r>
    <r>
      <rPr>
        <sz val="11"/>
        <rFont val="宋体"/>
        <family val="3"/>
        <charset val="134"/>
      </rPr>
      <t>酒精消毒液</t>
    </r>
  </si>
  <si>
    <r>
      <t>2.5L/</t>
    </r>
    <r>
      <rPr>
        <sz val="11"/>
        <color theme="1"/>
        <rFont val="宋体"/>
        <family val="3"/>
        <charset val="134"/>
      </rPr>
      <t>桶</t>
    </r>
  </si>
  <si>
    <r>
      <rPr>
        <sz val="11"/>
        <rFont val="宋体"/>
        <family val="3"/>
        <charset val="134"/>
      </rPr>
      <t>热敏收银纸</t>
    </r>
  </si>
  <si>
    <r>
      <rPr>
        <sz val="11"/>
        <rFont val="宋体"/>
        <family val="3"/>
        <charset val="134"/>
      </rPr>
      <t>无尘洁净鞋靴</t>
    </r>
  </si>
  <si>
    <r>
      <t>L</t>
    </r>
    <r>
      <rPr>
        <sz val="11"/>
        <color theme="1"/>
        <rFont val="宋体"/>
        <family val="3"/>
        <charset val="134"/>
      </rPr>
      <t>码</t>
    </r>
  </si>
  <si>
    <r>
      <rPr>
        <sz val="11"/>
        <rFont val="宋体"/>
        <family val="3"/>
        <charset val="134"/>
      </rPr>
      <t>双盒防毒口罩</t>
    </r>
  </si>
  <si>
    <r>
      <t>P-A-1-</t>
    </r>
    <r>
      <rPr>
        <sz val="11"/>
        <color theme="1"/>
        <rFont val="宋体"/>
        <family val="3"/>
        <charset val="134"/>
      </rPr>
      <t>双盒</t>
    </r>
    <r>
      <rPr>
        <sz val="11"/>
        <color theme="1"/>
        <rFont val="Arial Narrow"/>
        <family val="2"/>
      </rPr>
      <t>3#</t>
    </r>
  </si>
  <si>
    <r>
      <t>MYM-200210-QHJ-JC06-006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MYM-200210-ZRJ-JC06-001</t>
    </r>
  </si>
  <si>
    <r>
      <rPr>
        <sz val="11"/>
        <rFont val="宋体"/>
        <family val="3"/>
        <charset val="134"/>
      </rPr>
      <t>消毒自救呼吸器</t>
    </r>
  </si>
  <si>
    <r>
      <rPr>
        <sz val="11"/>
        <rFont val="宋体"/>
        <family val="3"/>
        <charset val="134"/>
      </rPr>
      <t>塑料采水瓶</t>
    </r>
  </si>
  <si>
    <r>
      <t>3mL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</si>
  <si>
    <r>
      <rPr>
        <sz val="11"/>
        <color indexed="8"/>
        <rFont val="宋体"/>
        <family val="3"/>
        <charset val="134"/>
      </rPr>
      <t>烟尘过滤器（大号）</t>
    </r>
  </si>
  <si>
    <r>
      <rPr>
        <sz val="11"/>
        <color theme="1"/>
        <rFont val="宋体"/>
        <family val="3"/>
        <charset val="134"/>
      </rPr>
      <t>大号</t>
    </r>
    <r>
      <rPr>
        <sz val="11"/>
        <color theme="1"/>
        <rFont val="Arial Narrow"/>
        <family val="2"/>
      </rPr>
      <t>,3012</t>
    </r>
    <r>
      <rPr>
        <sz val="11"/>
        <color theme="1"/>
        <rFont val="宋体"/>
        <family val="3"/>
        <charset val="134"/>
      </rPr>
      <t>采样器专用</t>
    </r>
  </si>
  <si>
    <r>
      <rPr>
        <sz val="11"/>
        <color indexed="8"/>
        <rFont val="宋体"/>
        <family val="3"/>
        <charset val="134"/>
      </rPr>
      <t>烟尘过滤器（小号）</t>
    </r>
  </si>
  <si>
    <r>
      <rPr>
        <sz val="11"/>
        <color theme="1"/>
        <rFont val="宋体"/>
        <family val="3"/>
        <charset val="134"/>
      </rPr>
      <t>小号</t>
    </r>
    <r>
      <rPr>
        <sz val="11"/>
        <color theme="1"/>
        <rFont val="Arial Narrow"/>
        <family val="2"/>
      </rPr>
      <t>,3012</t>
    </r>
    <r>
      <rPr>
        <sz val="11"/>
        <color theme="1"/>
        <rFont val="宋体"/>
        <family val="3"/>
        <charset val="134"/>
      </rPr>
      <t>采样器专用</t>
    </r>
  </si>
  <si>
    <r>
      <rPr>
        <sz val="11"/>
        <color indexed="8"/>
        <rFont val="宋体"/>
        <family val="3"/>
        <charset val="134"/>
      </rPr>
      <t>黄铜垫圈</t>
    </r>
  </si>
  <si>
    <r>
      <t>GC</t>
    </r>
    <r>
      <rPr>
        <sz val="11"/>
        <color theme="1"/>
        <rFont val="宋体"/>
        <family val="3"/>
        <charset val="134"/>
      </rPr>
      <t>衬管石英棉</t>
    </r>
  </si>
  <si>
    <r>
      <rPr>
        <sz val="11"/>
        <color theme="1"/>
        <rFont val="宋体"/>
        <family val="3"/>
        <charset val="134"/>
      </rPr>
      <t>锑空心阴极灯</t>
    </r>
  </si>
  <si>
    <r>
      <rPr>
        <sz val="11"/>
        <color theme="1"/>
        <rFont val="宋体"/>
        <family val="3"/>
        <charset val="134"/>
      </rPr>
      <t>双头开口呆扳手</t>
    </r>
  </si>
  <si>
    <r>
      <t>24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22</t>
    </r>
  </si>
  <si>
    <r>
      <t>14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17</t>
    </r>
  </si>
  <si>
    <r>
      <t>8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10</t>
    </r>
  </si>
  <si>
    <r>
      <rPr>
        <sz val="11"/>
        <color theme="1"/>
        <rFont val="宋体"/>
        <family val="3"/>
        <charset val="134"/>
      </rPr>
      <t>十字螺丝刀</t>
    </r>
  </si>
  <si>
    <r>
      <rPr>
        <sz val="11"/>
        <color theme="1"/>
        <rFont val="宋体"/>
        <family val="3"/>
        <charset val="134"/>
      </rPr>
      <t>红柄</t>
    </r>
  </si>
  <si>
    <r>
      <rPr>
        <sz val="11"/>
        <color theme="1"/>
        <rFont val="宋体"/>
        <family val="3"/>
        <charset val="134"/>
      </rPr>
      <t>平口螺丝刀</t>
    </r>
  </si>
  <si>
    <r>
      <rPr>
        <sz val="11"/>
        <color theme="1"/>
        <rFont val="宋体"/>
        <family val="3"/>
        <charset val="134"/>
      </rPr>
      <t>黄柄</t>
    </r>
  </si>
  <si>
    <r>
      <rPr>
        <sz val="11"/>
        <color theme="1"/>
        <rFont val="宋体"/>
        <family val="3"/>
        <charset val="134"/>
      </rPr>
      <t>一字螺丝刀</t>
    </r>
  </si>
  <si>
    <r>
      <t>Y</t>
    </r>
    <r>
      <rPr>
        <sz val="11"/>
        <color theme="1"/>
        <rFont val="宋体"/>
        <family val="3"/>
        <charset val="134"/>
      </rPr>
      <t>型螺丝刀</t>
    </r>
  </si>
  <si>
    <r>
      <rPr>
        <sz val="11"/>
        <color theme="1"/>
        <rFont val="宋体"/>
        <family val="3"/>
        <charset val="134"/>
      </rPr>
      <t>尖口小钳子</t>
    </r>
  </si>
  <si>
    <r>
      <rPr>
        <sz val="11"/>
        <color theme="1"/>
        <rFont val="宋体"/>
        <family val="3"/>
        <charset val="134"/>
      </rPr>
      <t>黄黑柄</t>
    </r>
  </si>
  <si>
    <r>
      <rPr>
        <sz val="11"/>
        <color theme="1"/>
        <rFont val="宋体"/>
        <family val="3"/>
        <charset val="134"/>
      </rPr>
      <t>内六角螺丝刀</t>
    </r>
  </si>
  <si>
    <r>
      <rPr>
        <sz val="11"/>
        <color theme="1"/>
        <rFont val="宋体"/>
        <family val="3"/>
        <charset val="134"/>
      </rPr>
      <t>小的短的</t>
    </r>
  </si>
  <si>
    <r>
      <t>1</t>
    </r>
    <r>
      <rPr>
        <sz val="11"/>
        <color theme="1"/>
        <rFont val="宋体"/>
        <family val="3"/>
        <charset val="134"/>
      </rPr>
      <t>套</t>
    </r>
    <r>
      <rPr>
        <sz val="11"/>
        <color theme="1"/>
        <rFont val="Arial Narrow"/>
        <family val="2"/>
      </rPr>
      <t>6</t>
    </r>
    <r>
      <rPr>
        <sz val="11"/>
        <color theme="1"/>
        <rFont val="宋体"/>
        <family val="3"/>
        <charset val="134"/>
      </rPr>
      <t>把</t>
    </r>
  </si>
  <si>
    <r>
      <rPr>
        <sz val="11"/>
        <color theme="1"/>
        <rFont val="宋体"/>
        <family val="3"/>
        <charset val="134"/>
      </rPr>
      <t>活动扳手</t>
    </r>
  </si>
  <si>
    <r>
      <t>12”300</t>
    </r>
    <r>
      <rPr>
        <sz val="11"/>
        <color theme="1"/>
        <rFont val="宋体"/>
        <family val="3"/>
        <charset val="134"/>
      </rPr>
      <t>㎜</t>
    </r>
  </si>
  <si>
    <r>
      <rPr>
        <sz val="11"/>
        <color theme="1"/>
        <rFont val="宋体"/>
        <family val="3"/>
        <charset val="134"/>
      </rPr>
      <t>塑料镊子</t>
    </r>
  </si>
  <si>
    <r>
      <rPr>
        <sz val="11"/>
        <color theme="1"/>
        <rFont val="宋体"/>
        <family val="3"/>
        <charset val="134"/>
      </rPr>
      <t>反光镜</t>
    </r>
  </si>
  <si>
    <r>
      <rPr>
        <sz val="11"/>
        <color theme="1"/>
        <rFont val="宋体"/>
        <family val="3"/>
        <charset val="134"/>
      </rPr>
      <t>白色小长柄</t>
    </r>
  </si>
  <si>
    <r>
      <rPr>
        <sz val="11"/>
        <color theme="1"/>
        <rFont val="宋体"/>
        <family val="3"/>
        <charset val="134"/>
      </rPr>
      <t>黑色</t>
    </r>
  </si>
  <si>
    <r>
      <rPr>
        <sz val="11"/>
        <color theme="1"/>
        <rFont val="宋体"/>
        <family val="3"/>
        <charset val="134"/>
      </rPr>
      <t>采样锥拆卸工具</t>
    </r>
  </si>
  <si>
    <r>
      <rPr>
        <sz val="11"/>
        <color theme="1"/>
        <rFont val="宋体"/>
        <family val="3"/>
        <charset val="134"/>
      </rPr>
      <t>色谱柱割刀</t>
    </r>
  </si>
  <si>
    <r>
      <rPr>
        <sz val="11"/>
        <color theme="1"/>
        <rFont val="宋体"/>
        <family val="3"/>
        <charset val="134"/>
      </rPr>
      <t>梅花开口呆扳手</t>
    </r>
  </si>
  <si>
    <r>
      <t>1/4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5/16</t>
    </r>
  </si>
  <si>
    <r>
      <t>3/8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7/16</t>
    </r>
  </si>
  <si>
    <r>
      <rPr>
        <sz val="11"/>
        <color theme="1"/>
        <rFont val="宋体"/>
        <family val="3"/>
        <charset val="134"/>
      </rPr>
      <t>气路管道切割工具</t>
    </r>
  </si>
  <si>
    <r>
      <rPr>
        <sz val="11"/>
        <color theme="1"/>
        <rFont val="宋体"/>
        <family val="3"/>
        <charset val="134"/>
      </rPr>
      <t>镊子</t>
    </r>
  </si>
  <si>
    <r>
      <t>2</t>
    </r>
    <r>
      <rPr>
        <sz val="11"/>
        <color theme="1"/>
        <rFont val="宋体"/>
        <family val="3"/>
        <charset val="134"/>
      </rPr>
      <t>大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3"/>
        <charset val="134"/>
      </rPr>
      <t>小</t>
    </r>
  </si>
  <si>
    <r>
      <t>8</t>
    </r>
    <r>
      <rPr>
        <sz val="11"/>
        <color theme="1"/>
        <rFont val="宋体"/>
        <family val="3"/>
        <charset val="134"/>
      </rPr>
      <t>㎜</t>
    </r>
  </si>
  <si>
    <r>
      <rPr>
        <sz val="11"/>
        <color theme="1"/>
        <rFont val="宋体"/>
        <family val="3"/>
        <charset val="134"/>
      </rPr>
      <t>离子源拆换工具</t>
    </r>
  </si>
  <si>
    <r>
      <rPr>
        <sz val="11"/>
        <color theme="1"/>
        <rFont val="宋体"/>
        <family val="3"/>
        <charset val="134"/>
      </rPr>
      <t>色谱柱量具</t>
    </r>
  </si>
  <si>
    <r>
      <t>3</t>
    </r>
    <r>
      <rPr>
        <sz val="11"/>
        <color theme="1"/>
        <rFont val="宋体"/>
        <family val="3"/>
        <charset val="134"/>
      </rPr>
      <t>个</t>
    </r>
  </si>
  <si>
    <r>
      <t>10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</si>
  <si>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色谱柱捡漏工具</t>
    </r>
  </si>
  <si>
    <r>
      <rPr>
        <sz val="11"/>
        <color theme="1"/>
        <rFont val="宋体"/>
        <family val="3"/>
        <charset val="134"/>
      </rPr>
      <t>六双头开口扳手</t>
    </r>
  </si>
  <si>
    <r>
      <t>11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13</t>
    </r>
  </si>
  <si>
    <r>
      <t>7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8</t>
    </r>
  </si>
  <si>
    <r>
      <t>10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12</t>
    </r>
  </si>
  <si>
    <r>
      <t>20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22</t>
    </r>
  </si>
  <si>
    <r>
      <rPr>
        <sz val="11"/>
        <color theme="1"/>
        <rFont val="宋体"/>
        <family val="3"/>
        <charset val="134"/>
      </rPr>
      <t>分流平板扳手</t>
    </r>
  </si>
  <si>
    <r>
      <rPr>
        <sz val="11"/>
        <color theme="1"/>
        <rFont val="宋体"/>
        <family val="3"/>
        <charset val="134"/>
      </rPr>
      <t>福立专用</t>
    </r>
  </si>
  <si>
    <r>
      <t>S4</t>
    </r>
    <r>
      <rPr>
        <sz val="11"/>
        <color theme="1"/>
        <rFont val="宋体"/>
        <family val="3"/>
        <charset val="134"/>
      </rPr>
      <t>呆板手</t>
    </r>
  </si>
  <si>
    <t>MYM-200526-SHY-J6-002</t>
    <phoneticPr fontId="36" type="noConversion"/>
  </si>
  <si>
    <t>MYM-200526-LY-J6-004</t>
    <phoneticPr fontId="36" type="noConversion"/>
  </si>
  <si>
    <r>
      <t>MYM-200526-LY-J6-005</t>
    </r>
    <r>
      <rPr>
        <sz val="11"/>
        <color theme="1"/>
        <rFont val="宋体"/>
        <family val="2"/>
        <charset val="134"/>
        <scheme val="minor"/>
      </rPr>
      <t/>
    </r>
  </si>
  <si>
    <r>
      <t>MYM-200526-LY-J6-006</t>
    </r>
    <r>
      <rPr>
        <sz val="11"/>
        <color theme="1"/>
        <rFont val="宋体"/>
        <family val="2"/>
        <charset val="134"/>
        <scheme val="minor"/>
      </rPr>
      <t/>
    </r>
  </si>
  <si>
    <r>
      <t>MYM-200526-LY-J6-007</t>
    </r>
    <r>
      <rPr>
        <sz val="11"/>
        <color theme="1"/>
        <rFont val="宋体"/>
        <family val="2"/>
        <charset val="134"/>
        <scheme val="minor"/>
      </rPr>
      <t/>
    </r>
  </si>
  <si>
    <t>MYM-200526-SHY-J6-003</t>
    <phoneticPr fontId="36" type="noConversion"/>
  </si>
  <si>
    <t>MYM-200526-LY-J6-008</t>
    <phoneticPr fontId="36" type="noConversion"/>
  </si>
  <si>
    <r>
      <t>MYM-200526-LY-J6-009</t>
    </r>
    <r>
      <rPr>
        <sz val="11"/>
        <color theme="1"/>
        <rFont val="宋体"/>
        <family val="2"/>
        <charset val="134"/>
        <scheme val="minor"/>
      </rPr>
      <t/>
    </r>
  </si>
  <si>
    <r>
      <t>MYM-200526-LY-J6-010</t>
    </r>
    <r>
      <rPr>
        <sz val="11"/>
        <color theme="1"/>
        <rFont val="宋体"/>
        <family val="2"/>
        <charset val="134"/>
        <scheme val="minor"/>
      </rPr>
      <t/>
    </r>
  </si>
  <si>
    <r>
      <t>MYM-200526-LY-J6-011</t>
    </r>
    <r>
      <rPr>
        <sz val="11"/>
        <color theme="1"/>
        <rFont val="宋体"/>
        <family val="2"/>
        <charset val="134"/>
        <scheme val="minor"/>
      </rPr>
      <t/>
    </r>
  </si>
  <si>
    <r>
      <t>MYM-200526-LY-J6-012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</si>
  <si>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color rgb="FF9900FF"/>
        <rFont val="宋体"/>
        <family val="3"/>
        <charset val="134"/>
      </rPr>
      <t>购置</t>
    </r>
  </si>
  <si>
    <r>
      <rPr>
        <sz val="11"/>
        <color rgb="FF9900FF"/>
        <rFont val="宋体"/>
        <family val="3"/>
        <charset val="134"/>
      </rPr>
      <t>只</t>
    </r>
  </si>
  <si>
    <r>
      <rPr>
        <sz val="11"/>
        <color rgb="FF9900FF"/>
        <rFont val="宋体"/>
        <family val="3"/>
        <charset val="134"/>
      </rPr>
      <t>个</t>
    </r>
  </si>
  <si>
    <r>
      <rPr>
        <sz val="11"/>
        <color rgb="FF9900FF"/>
        <rFont val="宋体"/>
        <family val="3"/>
        <charset val="134"/>
      </rPr>
      <t>支</t>
    </r>
  </si>
  <si>
    <r>
      <rPr>
        <sz val="11"/>
        <color rgb="FF9900FF"/>
        <rFont val="宋体"/>
        <family val="3"/>
        <charset val="134"/>
      </rPr>
      <t>袋</t>
    </r>
  </si>
  <si>
    <r>
      <rPr>
        <sz val="11"/>
        <color rgb="FF9900FF"/>
        <rFont val="宋体"/>
        <family val="3"/>
        <charset val="134"/>
      </rPr>
      <t>盒</t>
    </r>
  </si>
  <si>
    <r>
      <rPr>
        <sz val="11"/>
        <color rgb="FF9900FF"/>
        <rFont val="宋体"/>
        <family val="3"/>
        <charset val="134"/>
      </rPr>
      <t>套</t>
    </r>
  </si>
  <si>
    <r>
      <rPr>
        <sz val="11"/>
        <color rgb="FF9900FF"/>
        <rFont val="宋体"/>
        <family val="3"/>
        <charset val="134"/>
      </rPr>
      <t>包</t>
    </r>
  </si>
  <si>
    <r>
      <rPr>
        <sz val="11"/>
        <color rgb="FF9900FF"/>
        <rFont val="宋体"/>
        <family val="3"/>
        <charset val="134"/>
      </rPr>
      <t>本</t>
    </r>
  </si>
  <si>
    <r>
      <rPr>
        <sz val="11"/>
        <color rgb="FF9900FF"/>
        <rFont val="宋体"/>
        <family val="3"/>
        <charset val="134"/>
      </rPr>
      <t>卷</t>
    </r>
  </si>
  <si>
    <r>
      <rPr>
        <sz val="11"/>
        <color rgb="FF9900FF"/>
        <rFont val="宋体"/>
        <family val="3"/>
        <charset val="134"/>
      </rPr>
      <t>根</t>
    </r>
  </si>
  <si>
    <r>
      <rPr>
        <sz val="11"/>
        <color rgb="FF9900FF"/>
        <rFont val="宋体"/>
        <family val="3"/>
        <charset val="134"/>
      </rPr>
      <t>瓶</t>
    </r>
  </si>
  <si>
    <r>
      <rPr>
        <sz val="11"/>
        <color rgb="FF9900FF"/>
        <rFont val="宋体"/>
        <family val="3"/>
        <charset val="134"/>
      </rPr>
      <t>张</t>
    </r>
  </si>
  <si>
    <r>
      <rPr>
        <sz val="11"/>
        <color rgb="FF9900FF"/>
        <rFont val="宋体"/>
        <family val="3"/>
        <charset val="134"/>
      </rPr>
      <t>副</t>
    </r>
  </si>
  <si>
    <r>
      <rPr>
        <sz val="11"/>
        <color rgb="FF9900FF"/>
        <rFont val="宋体"/>
        <family val="3"/>
        <charset val="134"/>
      </rPr>
      <t>付</t>
    </r>
  </si>
  <si>
    <r>
      <rPr>
        <sz val="11"/>
        <color rgb="FF9900FF"/>
        <rFont val="宋体"/>
        <family val="3"/>
        <charset val="134"/>
      </rPr>
      <t>把</t>
    </r>
  </si>
  <si>
    <r>
      <t>2</t>
    </r>
    <r>
      <rPr>
        <sz val="11"/>
        <color rgb="FF9900FF"/>
        <rFont val="宋体"/>
        <family val="3"/>
        <charset val="134"/>
      </rPr>
      <t>对</t>
    </r>
    <r>
      <rPr>
        <sz val="11"/>
        <color rgb="FF9900FF"/>
        <rFont val="Arial Narrow"/>
        <family val="2"/>
      </rPr>
      <t>/</t>
    </r>
    <r>
      <rPr>
        <sz val="11"/>
        <color rgb="FF9900FF"/>
        <rFont val="宋体"/>
        <family val="3"/>
        <charset val="134"/>
      </rPr>
      <t>盒</t>
    </r>
  </si>
  <si>
    <r>
      <t>4</t>
    </r>
    <r>
      <rPr>
        <sz val="11"/>
        <color rgb="FF9900FF"/>
        <rFont val="宋体"/>
        <family val="3"/>
        <charset val="134"/>
      </rPr>
      <t>片</t>
    </r>
    <r>
      <rPr>
        <sz val="11"/>
        <color rgb="FF9900FF"/>
        <rFont val="Arial Narrow"/>
        <family val="2"/>
      </rPr>
      <t>/</t>
    </r>
    <r>
      <rPr>
        <sz val="11"/>
        <color rgb="FF9900FF"/>
        <rFont val="宋体"/>
        <family val="3"/>
        <charset val="134"/>
      </rPr>
      <t>包</t>
    </r>
  </si>
  <si>
    <r>
      <rPr>
        <sz val="11"/>
        <color rgb="FF9900FF"/>
        <rFont val="宋体"/>
        <family val="3"/>
        <charset val="134"/>
      </rPr>
      <t>个</t>
    </r>
    <r>
      <rPr>
        <sz val="11"/>
        <color rgb="FF9900FF"/>
        <rFont val="Arial Narrow"/>
        <family val="2"/>
      </rPr>
      <t xml:space="preserve"> </t>
    </r>
  </si>
  <si>
    <r>
      <rPr>
        <sz val="11"/>
        <color rgb="FF9900FF"/>
        <rFont val="宋体"/>
        <family val="3"/>
        <charset val="134"/>
      </rPr>
      <t>件</t>
    </r>
  </si>
  <si>
    <r>
      <rPr>
        <sz val="11"/>
        <color rgb="FF9900FF"/>
        <rFont val="宋体"/>
        <family val="3"/>
        <charset val="134"/>
      </rPr>
      <t>箱</t>
    </r>
  </si>
  <si>
    <r>
      <rPr>
        <sz val="11"/>
        <color rgb="FF9900FF"/>
        <rFont val="宋体"/>
        <family val="3"/>
        <charset val="134"/>
      </rPr>
      <t>米</t>
    </r>
  </si>
  <si>
    <r>
      <rPr>
        <sz val="11"/>
        <color rgb="FF9900FF"/>
        <rFont val="宋体"/>
        <family val="3"/>
        <charset val="134"/>
      </rPr>
      <t>块</t>
    </r>
  </si>
  <si>
    <r>
      <rPr>
        <sz val="11"/>
        <color rgb="FF9900FF"/>
        <rFont val="宋体"/>
        <family val="3"/>
        <charset val="134"/>
      </rPr>
      <t>桶</t>
    </r>
  </si>
  <si>
    <r>
      <rPr>
        <sz val="11"/>
        <color rgb="FF9900FF"/>
        <rFont val="宋体"/>
        <family val="3"/>
        <charset val="134"/>
      </rPr>
      <t>双</t>
    </r>
  </si>
  <si>
    <r>
      <rPr>
        <sz val="11"/>
        <color indexed="8"/>
        <rFont val="宋体"/>
        <family val="3"/>
        <charset val="134"/>
      </rPr>
      <t>浏阳市华研</t>
    </r>
  </si>
  <si>
    <r>
      <rPr>
        <sz val="11"/>
        <color indexed="8"/>
        <rFont val="宋体"/>
        <family val="3"/>
        <charset val="134"/>
      </rPr>
      <t>上海睿齐</t>
    </r>
  </si>
  <si>
    <r>
      <rPr>
        <sz val="11"/>
        <color theme="1"/>
        <rFont val="宋体"/>
        <family val="3"/>
        <charset val="134"/>
      </rPr>
      <t>上海兴亚</t>
    </r>
  </si>
  <si>
    <r>
      <rPr>
        <sz val="11"/>
        <color indexed="8"/>
        <rFont val="宋体"/>
        <family val="3"/>
        <charset val="134"/>
      </rPr>
      <t>上海钰标</t>
    </r>
  </si>
  <si>
    <r>
      <rPr>
        <sz val="11"/>
        <color rgb="FF000000"/>
        <rFont val="宋体"/>
        <family val="3"/>
        <charset val="134"/>
      </rPr>
      <t>棕色大型气泡吸收管</t>
    </r>
  </si>
  <si>
    <r>
      <rPr>
        <sz val="11"/>
        <color rgb="FF000000"/>
        <rFont val="宋体"/>
        <family val="3"/>
        <charset val="134"/>
      </rPr>
      <t>衣架</t>
    </r>
  </si>
  <si>
    <r>
      <rPr>
        <sz val="11"/>
        <color rgb="FF000000"/>
        <rFont val="宋体"/>
        <family val="3"/>
        <charset val="134"/>
      </rPr>
      <t>塑料吸管</t>
    </r>
  </si>
  <si>
    <r>
      <rPr>
        <sz val="11"/>
        <color rgb="FF000000"/>
        <rFont val="宋体"/>
        <family val="3"/>
        <charset val="134"/>
      </rPr>
      <t>中速定性滤纸</t>
    </r>
  </si>
  <si>
    <r>
      <rPr>
        <sz val="11"/>
        <color rgb="FF000000"/>
        <rFont val="宋体"/>
        <family val="3"/>
        <charset val="134"/>
      </rPr>
      <t>通用电气生物科技杭州公司</t>
    </r>
  </si>
  <si>
    <r>
      <rPr>
        <sz val="11"/>
        <color rgb="FF000000"/>
        <rFont val="宋体"/>
        <family val="3"/>
        <charset val="134"/>
      </rPr>
      <t>女装</t>
    </r>
  </si>
  <si>
    <r>
      <rPr>
        <sz val="11"/>
        <color rgb="FF000000"/>
        <rFont val="宋体"/>
        <family val="3"/>
        <charset val="134"/>
      </rPr>
      <t>床单</t>
    </r>
  </si>
  <si>
    <r>
      <rPr>
        <sz val="11"/>
        <color rgb="FF9900FF"/>
        <rFont val="宋体"/>
        <family val="3"/>
        <charset val="134"/>
      </rPr>
      <t>条</t>
    </r>
  </si>
  <si>
    <r>
      <rPr>
        <sz val="11"/>
        <color rgb="FF000000"/>
        <rFont val="宋体"/>
        <family val="3"/>
        <charset val="134"/>
      </rPr>
      <t>氮氧化物采样管</t>
    </r>
  </si>
  <si>
    <r>
      <rPr>
        <sz val="11"/>
        <color rgb="FF000000"/>
        <rFont val="宋体"/>
        <family val="3"/>
        <charset val="134"/>
      </rPr>
      <t>刘静安提供</t>
    </r>
  </si>
  <si>
    <r>
      <rPr>
        <sz val="11"/>
        <color rgb="FF000000"/>
        <rFont val="宋体"/>
        <family val="3"/>
        <charset val="134"/>
      </rPr>
      <t>不锈钢采样管</t>
    </r>
    <r>
      <rPr>
        <sz val="11"/>
        <color rgb="FF000000"/>
        <rFont val="Arial Narrow"/>
        <family val="2"/>
      </rPr>
      <t>(TENEX)</t>
    </r>
  </si>
  <si>
    <r>
      <t>φ12.5</t>
    </r>
    <r>
      <rPr>
        <sz val="11"/>
        <color rgb="FF000000"/>
        <rFont val="宋体"/>
        <family val="3"/>
        <charset val="134"/>
      </rPr>
      <t>㎜，</t>
    </r>
    <r>
      <rPr>
        <sz val="11"/>
        <color rgb="FF000000"/>
        <rFont val="Arial Narrow"/>
        <family val="2"/>
      </rPr>
      <t>100</t>
    </r>
    <r>
      <rPr>
        <sz val="11"/>
        <color rgb="FF000000"/>
        <rFont val="宋体"/>
        <family val="3"/>
        <charset val="134"/>
      </rPr>
      <t>张</t>
    </r>
    <r>
      <rPr>
        <sz val="11"/>
        <color rgb="FF000000"/>
        <rFont val="Arial Narrow"/>
        <family val="2"/>
      </rPr>
      <t>/</t>
    </r>
    <r>
      <rPr>
        <sz val="11"/>
        <color rgb="FF000000"/>
        <rFont val="宋体"/>
        <family val="3"/>
        <charset val="134"/>
      </rPr>
      <t>盒</t>
    </r>
  </si>
  <si>
    <t>YQE-03</t>
    <phoneticPr fontId="36" type="noConversion"/>
  </si>
  <si>
    <t>5L</t>
    <phoneticPr fontId="36" type="noConversion"/>
  </si>
  <si>
    <t>MB-400</t>
    <phoneticPr fontId="36" type="noConversion"/>
  </si>
  <si>
    <t>75mL</t>
    <phoneticPr fontId="36" type="noConversion"/>
  </si>
  <si>
    <t>MYM-200601-SHY-J6-004</t>
  </si>
  <si>
    <t>MYM-200608-SCL-J6-004</t>
  </si>
  <si>
    <t>MYM-200616-SCL-J6-001</t>
  </si>
  <si>
    <t>MYM-200616-SCL-J6-004</t>
  </si>
  <si>
    <t>MYM-200622-SHY-J6-001</t>
  </si>
  <si>
    <t>MYM-200623-WYP-J6-001</t>
  </si>
  <si>
    <t>MYMN-200628-SCL-J4-001</t>
  </si>
  <si>
    <t>MYMN-200628-SCL-J4-002</t>
  </si>
  <si>
    <t>MYM-200628-PDJ-J6-003</t>
  </si>
  <si>
    <t>MYM-200628-PDJ-J6-004</t>
  </si>
  <si>
    <t>MYM-200629-SCL-J6-001</t>
  </si>
  <si>
    <t>200μL</t>
    <phoneticPr fontId="37" type="noConversion"/>
  </si>
  <si>
    <t>1ml</t>
    <phoneticPr fontId="37" type="noConversion"/>
  </si>
  <si>
    <t>M</t>
    <phoneticPr fontId="37" type="noConversion"/>
  </si>
  <si>
    <t>1650/84A</t>
    <phoneticPr fontId="37" type="noConversion"/>
  </si>
  <si>
    <t>XMY-200702-MYM-J4-004</t>
    <phoneticPr fontId="37" type="noConversion"/>
  </si>
  <si>
    <t>XMY-2000729-MYM-J4-001</t>
    <phoneticPr fontId="37" type="noConversion"/>
  </si>
  <si>
    <t>XMY-2000729-MYM-J4-003</t>
  </si>
  <si>
    <t>m</t>
  </si>
  <si>
    <t>MYM-200702-PDJ-J4-001</t>
    <phoneticPr fontId="36" type="noConversion"/>
  </si>
  <si>
    <t>MYM-200702-SHY-J4-002</t>
    <phoneticPr fontId="36" type="noConversion"/>
  </si>
  <si>
    <t>MYM-200724-SCL-J4-001</t>
  </si>
  <si>
    <t>MYM-200727-PDJ-J6-003</t>
  </si>
  <si>
    <t>MYM-200727-PDJ-J6-004</t>
  </si>
  <si>
    <t>MYM-200729-CYX-J4-001</t>
  </si>
  <si>
    <t>MYM-200730-SCL-J4-001</t>
  </si>
  <si>
    <t>MYM-200730-SCL-J4-002</t>
  </si>
  <si>
    <t>MYM-200730-SCL-J4-003</t>
  </si>
  <si>
    <t>MYM-200727-PDJ-J6-005</t>
  </si>
  <si>
    <t>MYM-200629-NYN-J6-003</t>
    <phoneticPr fontId="36" type="noConversion"/>
  </si>
  <si>
    <t>MYM-200629-MYM-J6-004</t>
    <phoneticPr fontId="36" type="noConversion"/>
  </si>
  <si>
    <t>25ml</t>
    <phoneticPr fontId="36" type="noConversion"/>
  </si>
  <si>
    <t>XMY-200801-MYM-J4-002</t>
    <phoneticPr fontId="37" type="noConversion"/>
  </si>
  <si>
    <t>XMY-2000729-MYM-J4-002</t>
    <phoneticPr fontId="36" type="noConversion"/>
  </si>
  <si>
    <t>MYM-200801-CYX-J4-002</t>
    <phoneticPr fontId="36" type="noConversion"/>
  </si>
  <si>
    <t>XMY-200801-MYM-J6-001</t>
    <phoneticPr fontId="36" type="noConversion"/>
  </si>
  <si>
    <t>M</t>
    <phoneticPr fontId="36" type="noConversion"/>
  </si>
  <si>
    <t>QDJ-200811-MYM-J6-001</t>
    <phoneticPr fontId="36" type="noConversion"/>
  </si>
  <si>
    <t>XMY-200811-MYM-J6-002</t>
    <phoneticPr fontId="36" type="noConversion"/>
  </si>
  <si>
    <t>XMY-200820-MYM-J6-001</t>
    <phoneticPr fontId="36" type="noConversion"/>
  </si>
  <si>
    <t>XMY-200820-MYM-J6-002</t>
    <phoneticPr fontId="36" type="noConversion"/>
  </si>
  <si>
    <t>MYM-200820-MYM-J6-002</t>
    <phoneticPr fontId="36" type="noConversion"/>
  </si>
  <si>
    <t>MYM-200820-MYM-J6-003</t>
    <phoneticPr fontId="36" type="noConversion"/>
  </si>
  <si>
    <t>XMY-200901-MYM-J6-001</t>
    <phoneticPr fontId="36" type="noConversion"/>
  </si>
  <si>
    <t>XMY-200901-MYM-J6-002</t>
  </si>
  <si>
    <t>XMY-200702-MYM-J6-001</t>
    <phoneticPr fontId="36" type="noConversion"/>
  </si>
  <si>
    <t>XMY-200710-MYM-J6-001</t>
    <phoneticPr fontId="36" type="noConversion"/>
  </si>
  <si>
    <t>MYM-200911-SCL--J4-001</t>
    <phoneticPr fontId="36" type="noConversion"/>
  </si>
  <si>
    <t>MYM-200911-SCL-J6-002</t>
    <phoneticPr fontId="36" type="noConversion"/>
  </si>
  <si>
    <t>MYM-200911-SCL-J6-004</t>
    <phoneticPr fontId="36" type="noConversion"/>
  </si>
  <si>
    <t>MYM-200914-KAP-J6-001</t>
    <phoneticPr fontId="36" type="noConversion"/>
  </si>
  <si>
    <t>MYM-2009023-SCL-J6-004</t>
    <phoneticPr fontId="36" type="noConversion"/>
  </si>
  <si>
    <t>MYM-2009028-SCL-J6-001</t>
    <phoneticPr fontId="36" type="noConversion"/>
  </si>
  <si>
    <t>MYM-2009027-KAP-J6-002</t>
    <phoneticPr fontId="36" type="noConversion"/>
  </si>
  <si>
    <t>MYM-200927-SCL-J4-004</t>
    <phoneticPr fontId="36" type="noConversion"/>
  </si>
  <si>
    <t>MYM-200927-KAO-J6-005</t>
    <phoneticPr fontId="36" type="noConversion"/>
  </si>
  <si>
    <t>XMY-200901-MYM-J4-003</t>
    <phoneticPr fontId="36" type="noConversion"/>
  </si>
  <si>
    <t>MYM-200901-CYX-J4-003</t>
    <phoneticPr fontId="36" type="noConversion"/>
  </si>
  <si>
    <t>50L</t>
    <phoneticPr fontId="36" type="noConversion"/>
  </si>
  <si>
    <t>05*5*50</t>
    <phoneticPr fontId="36" type="noConversion"/>
  </si>
  <si>
    <t>MYM-201012-KAP-J6-002</t>
    <phoneticPr fontId="36" type="noConversion"/>
  </si>
  <si>
    <t>MYM-201012-SCL-J6-003</t>
    <phoneticPr fontId="36" type="noConversion"/>
  </si>
  <si>
    <t>MYM-201019-SCL-J6-001</t>
    <phoneticPr fontId="36" type="noConversion"/>
  </si>
  <si>
    <t>MYM-201020-SCL-J6-002</t>
    <phoneticPr fontId="36" type="noConversion"/>
  </si>
  <si>
    <t>MYM-201027-KAP-J6-002</t>
    <phoneticPr fontId="36" type="noConversion"/>
  </si>
  <si>
    <t>MYM-201020-SCL-J6-001</t>
    <phoneticPr fontId="36" type="noConversion"/>
  </si>
  <si>
    <t>MYM-201027-KAP-J4-003</t>
    <phoneticPr fontId="36" type="noConversion"/>
  </si>
  <si>
    <t>MYM-201027-KAP-J6-004</t>
    <phoneticPr fontId="36" type="noConversion"/>
  </si>
  <si>
    <t>500ml</t>
    <phoneticPr fontId="48" type="noConversion"/>
  </si>
  <si>
    <t>MYM-201010-YQL-J6-001;MYM-201013-YQL-J6-001;MYM-201014-YQL-J6-001;MYM-201021-YQL-J6-001;MYM-201022-YQL-J6-001;MYM-201027-YQL-J6-001;MYM-201102-YQL-J6-002;MYM-201103-XMY-J6-001</t>
    <phoneticPr fontId="36" type="noConversion"/>
  </si>
  <si>
    <t>MYM-201106-KAP-J6-001</t>
    <phoneticPr fontId="36" type="noConversion"/>
  </si>
  <si>
    <t>MYM-201109-XMY-J6-001</t>
    <phoneticPr fontId="36" type="noConversion"/>
  </si>
  <si>
    <t>MYM-201112-YF-J6-001</t>
    <phoneticPr fontId="36" type="noConversion"/>
  </si>
  <si>
    <t>MYM-201112-KAP-J4-002</t>
    <phoneticPr fontId="36" type="noConversion"/>
  </si>
  <si>
    <t>MYM-201116-SCL-J6-001</t>
    <phoneticPr fontId="36" type="noConversion"/>
  </si>
  <si>
    <t>10L</t>
    <phoneticPr fontId="36" type="noConversion"/>
  </si>
  <si>
    <t>MYM-201201-SCL-J4-001</t>
    <phoneticPr fontId="36" type="noConversion"/>
  </si>
  <si>
    <t>MYM-201201-YF-J6-002</t>
    <phoneticPr fontId="36" type="noConversion"/>
  </si>
  <si>
    <t>MYM-201202-SCL-J4-002</t>
    <phoneticPr fontId="36" type="noConversion"/>
  </si>
  <si>
    <t>MYM-201202-SCL-J4-003</t>
    <phoneticPr fontId="36" type="noConversion"/>
  </si>
  <si>
    <t>MYM-201203-SCL-J6-006</t>
    <phoneticPr fontId="36" type="noConversion"/>
  </si>
  <si>
    <t>MYM-201203-SCL-YF-J6-001</t>
    <phoneticPr fontId="36" type="noConversion"/>
  </si>
  <si>
    <t>MYM-201203-YF-J6-003</t>
    <phoneticPr fontId="36" type="noConversion"/>
  </si>
  <si>
    <t>MYM-201203-YF-J6-004</t>
  </si>
  <si>
    <t>MYM-201203-SCL-J6-005</t>
    <phoneticPr fontId="36" type="noConversion"/>
  </si>
  <si>
    <t>MYM-201207-YF-J6-001</t>
    <phoneticPr fontId="36" type="noConversion"/>
  </si>
  <si>
    <t>MYM-201208-KAP-J6-002</t>
    <phoneticPr fontId="36" type="noConversion"/>
  </si>
  <si>
    <t>MYM-201211-SCL-J6-003</t>
    <phoneticPr fontId="36" type="noConversion"/>
  </si>
  <si>
    <t>50L</t>
    <phoneticPr fontId="36" type="noConversion"/>
  </si>
  <si>
    <t>MYM-210104-SCL-J6-001</t>
    <phoneticPr fontId="36" type="noConversion"/>
  </si>
  <si>
    <t>MYM-210104-SCL-J4-002</t>
    <phoneticPr fontId="36" type="noConversion"/>
  </si>
  <si>
    <t>MYM-210104-SCL-J4-003</t>
    <phoneticPr fontId="36" type="noConversion"/>
  </si>
  <si>
    <t>35*70</t>
    <phoneticPr fontId="36" type="noConversion"/>
  </si>
  <si>
    <t>100/56</t>
    <phoneticPr fontId="36" type="noConversion"/>
  </si>
  <si>
    <t>MYM-210118-KAP-J6-001</t>
    <phoneticPr fontId="36" type="noConversion"/>
  </si>
  <si>
    <t>MYM-210118-KAP-J6-002</t>
  </si>
  <si>
    <t>MYM-210118-KAP-J6-003</t>
  </si>
  <si>
    <t>MYM-210127-SCL-J4-001</t>
    <phoneticPr fontId="36" type="noConversion"/>
  </si>
  <si>
    <t>MYM-210128-SCL-J6-001</t>
    <phoneticPr fontId="36" type="noConversion"/>
  </si>
  <si>
    <t>MYM-210125-SCL-J6-002</t>
    <phoneticPr fontId="36" type="noConversion"/>
  </si>
  <si>
    <t>3.17*0.9</t>
    <phoneticPr fontId="36" type="noConversion"/>
  </si>
  <si>
    <t>SNS/515</t>
    <phoneticPr fontId="36" type="noConversion"/>
  </si>
  <si>
    <t>MYM-210329-SCL-J6-004</t>
    <phoneticPr fontId="36" type="noConversion"/>
  </si>
  <si>
    <t>MYM-210325-YF-J6-001</t>
    <phoneticPr fontId="36" type="noConversion"/>
  </si>
  <si>
    <t>MYM-210330-SCL-J7-002</t>
    <phoneticPr fontId="36" type="noConversion"/>
  </si>
  <si>
    <t>MYM-210407-YF-J6-006</t>
    <phoneticPr fontId="36" type="noConversion"/>
  </si>
  <si>
    <t>MYM-210401-LJY-J6-001</t>
    <phoneticPr fontId="36" type="noConversion"/>
  </si>
  <si>
    <t>MYM-210401-QJW-J4-004</t>
    <phoneticPr fontId="36" type="noConversion"/>
  </si>
  <si>
    <t>MYM-210412-QJW-J4-001</t>
    <phoneticPr fontId="36" type="noConversion"/>
  </si>
  <si>
    <t>MYM-210416-QJW-J4-004</t>
    <phoneticPr fontId="36" type="noConversion"/>
  </si>
  <si>
    <t>MYM-210416-QJW-J4-003</t>
    <phoneticPr fontId="36" type="noConversion"/>
  </si>
  <si>
    <t>MYM-210422-YF-J6-003</t>
    <phoneticPr fontId="36" type="noConversion"/>
  </si>
  <si>
    <t>MYM-210422-QJW-J4-005</t>
    <phoneticPr fontId="36" type="noConversion"/>
  </si>
  <si>
    <t>MYM-210428-QJW-J6-002</t>
    <phoneticPr fontId="36" type="noConversion"/>
  </si>
  <si>
    <t>MYM-210428-YF-J6-001</t>
    <phoneticPr fontId="36" type="noConversion"/>
  </si>
  <si>
    <t>MYM-210426-QJW-J6-003</t>
    <phoneticPr fontId="36" type="noConversion"/>
  </si>
  <si>
    <t>MYM-210426-QJW-J6-004</t>
    <phoneticPr fontId="36" type="noConversion"/>
  </si>
  <si>
    <t>20L</t>
    <phoneticPr fontId="52" type="noConversion"/>
  </si>
  <si>
    <t>40ml</t>
    <phoneticPr fontId="52" type="noConversion"/>
  </si>
  <si>
    <t>38*50*4</t>
    <phoneticPr fontId="52" type="noConversion"/>
  </si>
  <si>
    <t>25*35*3</t>
    <phoneticPr fontId="52" type="noConversion"/>
  </si>
  <si>
    <t>10ml</t>
    <phoneticPr fontId="52" type="noConversion"/>
  </si>
  <si>
    <t>0.45μm</t>
    <phoneticPr fontId="52" type="noConversion"/>
  </si>
  <si>
    <t>MYM-210506-QJW-J6-005</t>
    <phoneticPr fontId="36" type="noConversion"/>
  </si>
  <si>
    <t>MYM-210506-QJW-J6-006</t>
  </si>
  <si>
    <t>MYM-210506-QJW-J6-007</t>
  </si>
  <si>
    <t>MYM-210506-QJW-J4-008;MYM-210520-QJW-J4-020</t>
    <phoneticPr fontId="36" type="noConversion"/>
  </si>
  <si>
    <t>MYM-210506-QJW-J6-009</t>
    <phoneticPr fontId="36" type="noConversion"/>
  </si>
  <si>
    <t>MYM-210512-QJW-J6-002</t>
    <phoneticPr fontId="36" type="noConversion"/>
  </si>
  <si>
    <t>MYM-210512-QJW-J6-003</t>
  </si>
  <si>
    <t>MYM-201229SCL-J4-004;MYM-210420-QJW-J4-002;MYM-210525-QJW-J4-003</t>
    <phoneticPr fontId="36" type="noConversion"/>
  </si>
  <si>
    <t>MYM-210517-QJW-J4-002</t>
    <phoneticPr fontId="36" type="noConversion"/>
  </si>
  <si>
    <t>MYM-210520-QJW-J4-001</t>
    <phoneticPr fontId="36" type="noConversion"/>
  </si>
  <si>
    <t>MYM-210520-QJW-J4-002</t>
    <phoneticPr fontId="36" type="noConversion"/>
  </si>
  <si>
    <t>MYM-210520-QJW-J4-004</t>
    <phoneticPr fontId="36" type="noConversion"/>
  </si>
  <si>
    <t>MYM-210520-QJW-J4-005</t>
  </si>
  <si>
    <t>MYM-210520-QJW-J4-006</t>
    <phoneticPr fontId="36" type="noConversion"/>
  </si>
  <si>
    <t>MYM-210520-QJW-J4-007</t>
  </si>
  <si>
    <t>MYM-210520-QJW-J4-008</t>
  </si>
  <si>
    <t>MYM-210520-QJW-J4-009</t>
  </si>
  <si>
    <t>MYM-210520-QJW-J4-010</t>
    <phoneticPr fontId="36" type="noConversion"/>
  </si>
  <si>
    <t>MYM-210520-QJW-J4-011</t>
  </si>
  <si>
    <t>MYM-210520-QJW-J4-012</t>
  </si>
  <si>
    <t>MYM-210520-QJW-J4-013</t>
  </si>
  <si>
    <t>MYM-210520-QJW-J4-014</t>
  </si>
  <si>
    <t>MYM-210520-QJW-J4-015</t>
  </si>
  <si>
    <t>MYM-210520-QJW-J4-016</t>
    <phoneticPr fontId="36" type="noConversion"/>
  </si>
  <si>
    <t>MYM-210520-QJW-J4-017</t>
  </si>
  <si>
    <t>MYM-210520-QJW-J4-018</t>
    <phoneticPr fontId="36" type="noConversion"/>
  </si>
  <si>
    <t>MYM-210527-QJW-J6-001</t>
    <phoneticPr fontId="36" type="noConversion"/>
  </si>
  <si>
    <t>6L</t>
    <phoneticPr fontId="52" type="noConversion"/>
  </si>
  <si>
    <t>MYM-210621-QJW-J6-003</t>
    <phoneticPr fontId="36" type="noConversion"/>
  </si>
  <si>
    <t>MYM-210622-QJW-J6-001</t>
    <phoneticPr fontId="36" type="noConversion"/>
  </si>
  <si>
    <t>MYM-210622-QJW-J6-002</t>
  </si>
  <si>
    <t>MYM-210622-QJW-J6-003</t>
  </si>
  <si>
    <t>MYM-210622-QJW-J6-004</t>
  </si>
  <si>
    <t>MYM-210622-QJW-J6-005</t>
  </si>
  <si>
    <t>MYM-210622-QJW-J6-004</t>
    <phoneticPr fontId="36" type="noConversion"/>
  </si>
  <si>
    <t>MYM-210622-QJW-J4-006</t>
    <phoneticPr fontId="36" type="noConversion"/>
  </si>
  <si>
    <t>MYM-210622-QJW-J4-007</t>
  </si>
  <si>
    <t>MYM-210622-QJW-J4-008</t>
  </si>
  <si>
    <t>MYM-210622-QJW-J4-009</t>
  </si>
  <si>
    <t>1ml</t>
    <phoneticPr fontId="36" type="noConversion"/>
  </si>
  <si>
    <t>MYM-210610-QJW-J6-001</t>
    <phoneticPr fontId="36" type="noConversion"/>
  </si>
  <si>
    <t>MYM-210615-YF-J6-001</t>
    <phoneticPr fontId="36" type="noConversion"/>
  </si>
  <si>
    <t>MYM-210615-YF-J6-002</t>
  </si>
  <si>
    <t>MYM-210615-YF-J6-003</t>
  </si>
  <si>
    <t>MYM-210615-YF-J6-004</t>
  </si>
  <si>
    <t>MYM-210615-YF-J6-005</t>
  </si>
  <si>
    <t>MYM-210615-YF-J6-006</t>
  </si>
  <si>
    <t>250ml</t>
    <phoneticPr fontId="36" type="noConversion"/>
  </si>
  <si>
    <t>100G</t>
    <phoneticPr fontId="36" type="noConversion"/>
  </si>
  <si>
    <t>MYM-210715-QJW-J6-005</t>
    <phoneticPr fontId="36" type="noConversion"/>
  </si>
  <si>
    <t>MYM-210702-QJW-J6-001</t>
    <phoneticPr fontId="36" type="noConversion"/>
  </si>
  <si>
    <t>MYM-210702-QJW-J4-002</t>
    <phoneticPr fontId="36" type="noConversion"/>
  </si>
  <si>
    <t>MYM-210715-QJW-J6-002</t>
    <phoneticPr fontId="36" type="noConversion"/>
  </si>
  <si>
    <t>MYM-210715-QJW-J6-003</t>
  </si>
  <si>
    <t>500ml</t>
    <phoneticPr fontId="36" type="noConversion"/>
  </si>
  <si>
    <t>MYM-210727-ZX-J6-001</t>
    <phoneticPr fontId="36" type="noConversion"/>
  </si>
  <si>
    <t>301 2H</t>
    <phoneticPr fontId="36" type="noConversion"/>
  </si>
  <si>
    <t>MYM-210801-QJW-J6-002</t>
  </si>
  <si>
    <t>MYM-210801-QJW-J6-001</t>
    <phoneticPr fontId="36" type="noConversion"/>
  </si>
  <si>
    <t>MYM-210801-QJW-J6-003</t>
  </si>
  <si>
    <t>MYM-210801-QJW-J6-004</t>
  </si>
  <si>
    <t>MYM-210801-QJW-J6-005</t>
  </si>
  <si>
    <t>MYM-210809-QJW-J6-001</t>
    <phoneticPr fontId="36" type="noConversion"/>
  </si>
  <si>
    <t>0.45μm</t>
    <phoneticPr fontId="37" type="noConversion"/>
  </si>
  <si>
    <t>MYM-210823-ZHL-J6-003</t>
  </si>
  <si>
    <t>MYM-210823-ZHL-J6-004</t>
  </si>
  <si>
    <t>MYM-210823-ZHL-J6-005</t>
  </si>
  <si>
    <t>MYM-210915-ZX-J4-001</t>
    <phoneticPr fontId="36" type="noConversion"/>
  </si>
  <si>
    <t>MYM-210913-RL-J4-001</t>
    <phoneticPr fontId="36" type="noConversion"/>
  </si>
  <si>
    <t>pH1-14</t>
    <phoneticPr fontId="37" type="noConversion"/>
  </si>
  <si>
    <t>pH5.5-9.0</t>
    <phoneticPr fontId="37" type="noConversion"/>
  </si>
  <si>
    <t>MYM-211008-LJ-J6-002</t>
    <phoneticPr fontId="36" type="noConversion"/>
  </si>
  <si>
    <t>MYM-211025-LJ-J6-001</t>
    <phoneticPr fontId="36" type="noConversion"/>
  </si>
  <si>
    <t>MYM-211018-LJ-J6-004</t>
    <phoneticPr fontId="36" type="noConversion"/>
  </si>
  <si>
    <t>MYM-211014-QHJ-J6-001</t>
    <phoneticPr fontId="36" type="noConversion"/>
  </si>
  <si>
    <t>MYM-211020-LJ-J4-001</t>
    <phoneticPr fontId="36" type="noConversion"/>
  </si>
  <si>
    <t>MYM-211104-LJ-J7-004</t>
    <phoneticPr fontId="36" type="noConversion"/>
  </si>
  <si>
    <t>MYM-211109-LJ-J6-001</t>
    <phoneticPr fontId="36" type="noConversion"/>
  </si>
  <si>
    <t>MYM-211110-LJ-J4-001</t>
    <phoneticPr fontId="36" type="noConversion"/>
  </si>
  <si>
    <t>MYM-211110-LJ-J4-003</t>
    <phoneticPr fontId="36" type="noConversion"/>
  </si>
  <si>
    <t>MYM-211110-LJ-J4-004</t>
    <phoneticPr fontId="36" type="noConversion"/>
  </si>
  <si>
    <t>MYM-211110-LJ-J4-006</t>
    <phoneticPr fontId="36" type="noConversion"/>
  </si>
  <si>
    <t>MYM-211110-LJ-J4-008</t>
    <phoneticPr fontId="36" type="noConversion"/>
  </si>
  <si>
    <t>YM-211110-LJ-J4-009</t>
    <phoneticPr fontId="36" type="noConversion"/>
  </si>
  <si>
    <t>MYM-211110-LJ-J4-010</t>
    <phoneticPr fontId="36" type="noConversion"/>
  </si>
  <si>
    <t>MYM-211110-LJ-J4-013</t>
    <phoneticPr fontId="36" type="noConversion"/>
  </si>
  <si>
    <t>MYM-211110-LJ-J4-016</t>
    <phoneticPr fontId="36" type="noConversion"/>
  </si>
  <si>
    <t>MYM-211111-ZX-J6-002</t>
    <phoneticPr fontId="36" type="noConversion"/>
  </si>
  <si>
    <t>MYM-211118-LJ-J4-001</t>
    <phoneticPr fontId="36" type="noConversion"/>
  </si>
  <si>
    <t>MYM-211118-LJ-J6-001</t>
    <phoneticPr fontId="36" type="noConversion"/>
  </si>
  <si>
    <t>MYM-211122-YF-J6-001</t>
    <phoneticPr fontId="36" type="noConversion"/>
  </si>
  <si>
    <t>MYM-211123-LJ-J6-002</t>
    <phoneticPr fontId="36" type="noConversion"/>
  </si>
  <si>
    <t>MYM-211123-LJ-J6-003</t>
  </si>
  <si>
    <t>MYM-211123-LJ-J4-001</t>
    <phoneticPr fontId="36" type="noConversion"/>
  </si>
  <si>
    <t>E-201F</t>
    <phoneticPr fontId="36" type="noConversion"/>
  </si>
  <si>
    <t>E-201</t>
    <phoneticPr fontId="36" type="noConversion"/>
  </si>
  <si>
    <t>MYM-211106-ZX-J6-001</t>
    <phoneticPr fontId="36" type="noConversion"/>
  </si>
  <si>
    <t>MYM-211107-ZX-J6-001</t>
    <phoneticPr fontId="36" type="noConversion"/>
  </si>
  <si>
    <t>LYG-200601-MYM-J6-001</t>
    <phoneticPr fontId="36" type="noConversion"/>
  </si>
  <si>
    <t>LYG-200603-MYM-J6-001</t>
    <phoneticPr fontId="36" type="noConversion"/>
  </si>
  <si>
    <t>LYG-200603-MYM-J6-002</t>
    <phoneticPr fontId="36" type="noConversion"/>
  </si>
  <si>
    <t>LYG-200616-MYM-J6-001</t>
    <phoneticPr fontId="36" type="noConversion"/>
  </si>
  <si>
    <t>LYG-200619-MYM-J6-001</t>
    <phoneticPr fontId="36" type="noConversion"/>
  </si>
  <si>
    <t>LYG-200622-MYM-J6-001</t>
    <phoneticPr fontId="36" type="noConversion"/>
  </si>
  <si>
    <t>LYG-200628-MYM-J6-003</t>
    <phoneticPr fontId="36" type="noConversion"/>
  </si>
  <si>
    <t>LYG-200628-MYM-J6-004</t>
    <phoneticPr fontId="36" type="noConversion"/>
  </si>
  <si>
    <t>LYG-200629-MYM-J6-001</t>
    <phoneticPr fontId="37" type="noConversion"/>
  </si>
  <si>
    <t>LYG-200629-MYM-J6-002</t>
    <phoneticPr fontId="37" type="noConversion"/>
  </si>
  <si>
    <t>LYG-200628-MYM-J4-001</t>
    <phoneticPr fontId="36" type="noConversion"/>
  </si>
  <si>
    <t>LYG-200628-MYM-J4-002</t>
    <phoneticPr fontId="36" type="noConversion"/>
  </si>
  <si>
    <t>LYG-200629-MYM-J6-003</t>
    <phoneticPr fontId="36" type="noConversion"/>
  </si>
  <si>
    <t>LYG-200629-MYM-J6-004</t>
    <phoneticPr fontId="36" type="noConversion"/>
  </si>
  <si>
    <t>LYG-200714-MYM-J6-001</t>
    <phoneticPr fontId="37" type="noConversion"/>
  </si>
  <si>
    <t>LYG-200727-MYM-J6-001</t>
    <phoneticPr fontId="36" type="noConversion"/>
  </si>
  <si>
    <t>LYG-200727-MYM-J6-002</t>
    <phoneticPr fontId="36" type="noConversion"/>
  </si>
  <si>
    <t>LYG-200727-MYM-J6-003</t>
    <phoneticPr fontId="36" type="noConversion"/>
  </si>
  <si>
    <t>YFG-200916-MYM-J6-001</t>
    <phoneticPr fontId="36" type="noConversion"/>
  </si>
  <si>
    <t>YFG-200916-MYM-J6-002</t>
    <phoneticPr fontId="36" type="noConversion"/>
  </si>
  <si>
    <t>YFG-200916-MYM-J6-003</t>
    <phoneticPr fontId="36" type="noConversion"/>
  </si>
  <si>
    <t>YFG-201012-MYM--J6-001</t>
    <phoneticPr fontId="36" type="noConversion"/>
  </si>
  <si>
    <t>YFG-201012-MYM--J6-002</t>
    <phoneticPr fontId="36" type="noConversion"/>
  </si>
  <si>
    <t>YFG-201019-MYM-J6-001</t>
    <phoneticPr fontId="36" type="noConversion"/>
  </si>
  <si>
    <t>YFG-201020-MYM-J6-001</t>
    <phoneticPr fontId="36" type="noConversion"/>
  </si>
  <si>
    <t>YFG-201026-MYM-J6-001</t>
    <phoneticPr fontId="36" type="noConversion"/>
  </si>
  <si>
    <t>YFG-201026-MYM-J6-002</t>
    <phoneticPr fontId="36" type="noConversion"/>
  </si>
  <si>
    <t>YFG-201105-MYM-J6-001</t>
    <phoneticPr fontId="36" type="noConversion"/>
  </si>
  <si>
    <t>YFG-201110-MYM-J6-001</t>
    <phoneticPr fontId="36" type="noConversion"/>
  </si>
  <si>
    <t>YFG-201111-MYM-J6-001</t>
    <phoneticPr fontId="36" type="noConversion"/>
  </si>
  <si>
    <t>YFG-201112-MYM-J6-001</t>
    <phoneticPr fontId="36" type="noConversion"/>
  </si>
  <si>
    <t>YFG-201126-MYM-J6-001</t>
    <phoneticPr fontId="36" type="noConversion"/>
  </si>
  <si>
    <t>YFG-201126-MYM-J6-002</t>
    <phoneticPr fontId="36" type="noConversion"/>
  </si>
  <si>
    <t>YFG-201126-MYM-J6-003</t>
    <phoneticPr fontId="36" type="noConversion"/>
  </si>
  <si>
    <t>YFG-201130-MYM-J6-001</t>
    <phoneticPr fontId="36" type="noConversion"/>
  </si>
  <si>
    <t>YFG-201130-MYM-J6-002</t>
    <phoneticPr fontId="36" type="noConversion"/>
  </si>
  <si>
    <t>YFG-201130-MYM-J6-003</t>
    <phoneticPr fontId="36" type="noConversion"/>
  </si>
  <si>
    <t>YFG-201130-MYM-J4-001</t>
    <phoneticPr fontId="36" type="noConversion"/>
  </si>
  <si>
    <t>YFG-201202-MYM-J6-001</t>
    <phoneticPr fontId="36" type="noConversion"/>
  </si>
  <si>
    <t>YFG-201202-MYM-J6-002</t>
  </si>
  <si>
    <t>YFG-201202-MYM-J6-003</t>
  </si>
  <si>
    <t>YFG-201210-MYM-J6-001</t>
  </si>
  <si>
    <t>YFG-201210-MYM-J6-002</t>
  </si>
  <si>
    <t>YFG-201216-MYM-J6-001</t>
  </si>
  <si>
    <t>YFG-201218-MYM-J6-001</t>
  </si>
  <si>
    <t>YFG-201221-MYM-J4-001</t>
  </si>
  <si>
    <t>YFG-210104-MYM-J6-001</t>
  </si>
  <si>
    <t>YFG-210105-MYM-J6-001</t>
  </si>
  <si>
    <t>YFG-210115-MYM-J6-001</t>
  </si>
  <si>
    <t>YFG-210115-MYM-J6-002</t>
  </si>
  <si>
    <t>YFG-210115-MYM-J6-003</t>
  </si>
  <si>
    <t>YFG-210127-MYM-J4-001</t>
  </si>
  <si>
    <t>YFG-210128-MYM-J6-001</t>
  </si>
  <si>
    <t>YFG-210204-MYM-J4-001</t>
  </si>
  <si>
    <t>YFG-210207-MYM-J7-001</t>
  </si>
  <si>
    <t>YFG-210207-MYM-J7-002</t>
  </si>
  <si>
    <t>YFG-210322-MYM-J6-001</t>
  </si>
  <si>
    <t>YFG-210322-MYM-J6-002</t>
  </si>
  <si>
    <t>YFG-210323-MYM-J6-001</t>
  </si>
  <si>
    <t>YFG-210329-MYM-J6-001</t>
  </si>
  <si>
    <t>YFG-210329-MYM-J6-002</t>
  </si>
  <si>
    <t>YFG-210402-MYM-J6-001</t>
  </si>
  <si>
    <t>YFG-210428-MYM-J6-001</t>
  </si>
  <si>
    <t>YFG-210428-MYM-J6-002</t>
  </si>
  <si>
    <t>YFG-210428-MYM-J6-003</t>
  </si>
  <si>
    <t>YFG-210506-MYM-J6-001</t>
  </si>
  <si>
    <t>YFG-210506-MYM-J6-002</t>
  </si>
  <si>
    <t>YFG-210506-MYM-J6-003</t>
  </si>
  <si>
    <t>YFG-210512-MYM-J6-001</t>
  </si>
  <si>
    <t>YFG-210512-MYM-J6-002</t>
  </si>
  <si>
    <t>YFG-210527-MYM-J6-001</t>
  </si>
  <si>
    <t>YFG-210610-MYM-J6-001</t>
  </si>
  <si>
    <t>YFG-210615-MYM-J6-001</t>
  </si>
  <si>
    <t>YFG-210615-MYM-J6-002</t>
  </si>
  <si>
    <t>YFG-210615-MYM-J6-003</t>
  </si>
  <si>
    <t>YFG-210615-MYM-J6-004</t>
  </si>
  <si>
    <t>YFG-210615-MYM-J6-005</t>
  </si>
  <si>
    <t>YFG-210615-MYM-J6-006</t>
  </si>
  <si>
    <t>YFG-210625-MYM-J6-001</t>
  </si>
  <si>
    <t>YFG-210625-MYM-J4-001</t>
  </si>
  <si>
    <t>YFG-210707-MYM-J6-001</t>
  </si>
  <si>
    <t>YFG-210707-MYM-J6-002</t>
  </si>
  <si>
    <t>YFG-210713-MYM-J6-001</t>
  </si>
  <si>
    <t>YFG-210713-MYM-J6-002</t>
  </si>
  <si>
    <t>YFG-210719-MYM-J6-001</t>
  </si>
  <si>
    <t>YFG-210719-MYM-J6-002</t>
  </si>
  <si>
    <t>YFG-210722-MYM-J6-001</t>
  </si>
  <si>
    <t>YFG-210721-MYM-J7-001</t>
  </si>
  <si>
    <t>YFG-210731-MYM-J6-001</t>
  </si>
  <si>
    <t>YFG-210731-MYM-J6-002</t>
  </si>
  <si>
    <t>YFG-210731-MYM-J6-003</t>
  </si>
  <si>
    <t>YFG-210731-MYM-J6-004</t>
  </si>
  <si>
    <t>YFG-210731-MYM-J6-005</t>
  </si>
  <si>
    <t>YFG-210818-MYM-J6-001</t>
  </si>
  <si>
    <t>YFG-210821-MYM-J6-001</t>
  </si>
  <si>
    <t>YFG-210821-MYM-J6-002</t>
  </si>
  <si>
    <t>YFG-210821-MYM-J6-003</t>
  </si>
  <si>
    <t>YFG-210823-MYM-J6-001</t>
  </si>
  <si>
    <t>YFG-210915-MYM-J4-001</t>
  </si>
  <si>
    <t>YFG-211008-MYM-J6-001</t>
  </si>
  <si>
    <t>YFG-211014-MYM-J6-001</t>
  </si>
  <si>
    <t>YFG-211014-MYM-J6-002</t>
  </si>
  <si>
    <t>YFG-211018-MYM-J6-001</t>
  </si>
  <si>
    <t>YFG-211025-MYM-J6-001</t>
  </si>
  <si>
    <t>YFG-211029-MYM-J6-001</t>
  </si>
  <si>
    <t>YFG-211111-MYM-J6-001</t>
  </si>
  <si>
    <t>YFG0-211106-MYM-J6-001</t>
  </si>
  <si>
    <t>YFG0-211107-MYM-J6-001</t>
  </si>
  <si>
    <t>LYG-200309-MYM-J6-001</t>
  </si>
  <si>
    <t>LYG-200309-MYM-J6-002</t>
  </si>
  <si>
    <t>LYG-200312-MYM-J6-001</t>
  </si>
  <si>
    <t>LYG-200312-MYM-J6-002</t>
  </si>
  <si>
    <t>LYG-200407-MYM--J6-001</t>
  </si>
  <si>
    <t>LYG-200407-MYM--J6-002</t>
  </si>
  <si>
    <t>LYG-200411-MYM-J6-001</t>
  </si>
  <si>
    <t>LYG-200414-MYM-J6-001</t>
  </si>
  <si>
    <t>LYG-200418-MYM-J6-001</t>
  </si>
  <si>
    <t>LYG-200420-MYM-J6-001</t>
  </si>
  <si>
    <t>LYG-200425-MYM-J6-001</t>
  </si>
  <si>
    <t>LYG-200426-MYM-J6-001</t>
  </si>
  <si>
    <t>LYG-200428-MYM-J6-001</t>
  </si>
  <si>
    <t>LYG-200513-MYM-J6-001</t>
  </si>
  <si>
    <t>LYG-200513-MYM-J6-002</t>
  </si>
  <si>
    <t>LYG-200520-MYM-J6-001</t>
  </si>
  <si>
    <t>LYG-200526-MYM-J6-001</t>
  </si>
  <si>
    <t>LYG-200526-MYM-J6-002</t>
  </si>
  <si>
    <t>LYG-200526-MYM-J6-003</t>
  </si>
  <si>
    <t>LYG-200526-MYM-J6-004</t>
  </si>
  <si>
    <t>LYG-190710-MYM-JC04-003</t>
  </si>
  <si>
    <t>LYG-191028-MYM-JC04-001</t>
  </si>
  <si>
    <t>LYG-191107-MYM-JC04-001</t>
  </si>
  <si>
    <t>LYG-191216-MYM-JC04-001</t>
  </si>
  <si>
    <t>LYG-191216-MYM-JC04-002</t>
  </si>
  <si>
    <t>LYG-190712-MYM-JC06-001</t>
  </si>
  <si>
    <t>LYG-190722-MYM-JC06-001</t>
  </si>
  <si>
    <t>LYG-190723-MYM-JC06-001</t>
  </si>
  <si>
    <t>LYG-190724-MYM-JC06-001</t>
  </si>
  <si>
    <t>LYG-190731-MYM-JC06-001</t>
  </si>
  <si>
    <t>LYG-190731-MYM-JC06-002</t>
  </si>
  <si>
    <t>LYG-190806-MYM-JC06-001</t>
  </si>
  <si>
    <t>LYG-190812-MYM-JC06-001</t>
  </si>
  <si>
    <t>LYG-190826-MYM-JC06-002</t>
  </si>
  <si>
    <t>LYG-190826-MYM-JC06-003</t>
  </si>
  <si>
    <t>LYG-190826-MYM-JC06-004</t>
  </si>
  <si>
    <t>LYG-190909-MYM-JC06-002</t>
  </si>
  <si>
    <t>LYG-191008-MYM-JC06-001</t>
  </si>
  <si>
    <t>LYG-191008-MYM-JC06-003</t>
  </si>
  <si>
    <t>LYG-191107-MYM-JC06-001</t>
  </si>
  <si>
    <t>LYG-191203-MYM-JC06-001</t>
  </si>
  <si>
    <t>LYG-191203-MYM-JC06-002</t>
  </si>
  <si>
    <t>LYG-191203-MYM-JC06-003</t>
  </si>
  <si>
    <t>LYG-191203-MYM-JC06-006</t>
  </si>
  <si>
    <r>
      <rPr>
        <b/>
        <sz val="11"/>
        <color rgb="FFFF0000"/>
        <rFont val="宋体"/>
        <family val="3"/>
        <charset val="134"/>
      </rPr>
      <t>验检入库编号</t>
    </r>
  </si>
  <si>
    <t>MYM-200722-PDJ-J4-002</t>
    <phoneticPr fontId="36" type="noConversion"/>
  </si>
  <si>
    <r>
      <t>MYM-200414-WYP-J6-002;MYM-200515-WYP-J6-001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MYM-200825-WYP-J6-001</t>
    </r>
    <phoneticPr fontId="38" type="noConversion"/>
  </si>
  <si>
    <r>
      <t>MYM-200418-SHY-J6-002;MYM-200513-CYX-J6-001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MYM-200612-SHY-J6-001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MYM-200706-SCL-J6-002</t>
    </r>
    <phoneticPr fontId="36" type="noConversion"/>
  </si>
  <si>
    <r>
      <t>MYM-200611-WYP-J6-001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MYM-200616-SCL-J6-002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MYM-200706-SCL-J6-001;MYM-200928-SCL-J6-001</t>
    </r>
    <phoneticPr fontId="36" type="noConversion"/>
  </si>
  <si>
    <r>
      <rPr>
        <b/>
        <sz val="11"/>
        <color rgb="FFFF0000"/>
        <rFont val="宋体"/>
        <family val="3"/>
        <charset val="134"/>
      </rPr>
      <t>领用出库编号</t>
    </r>
  </si>
  <si>
    <r>
      <t>MYM-211009-LJ-J4-001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MYM-211020-LJ-J4-002</t>
    </r>
    <phoneticPr fontId="36" type="noConversion"/>
  </si>
  <si>
    <r>
      <t>MYM-200508-MYM-J4-004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MYM-201208-SCL-J4-003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MYM-210525-QJW-J4-002</t>
    </r>
    <phoneticPr fontId="36" type="noConversion"/>
  </si>
  <si>
    <r>
      <t>MYM-200512-CYX-J4-002;MYM-201229-SCL-J4-002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MYM-210406-QJW-J4-001;MYM-210517-QJW-J4-001;MYM-210525-QJW-J4-001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MYM-210816-QJW-J4-003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MYM-211018-LJ-J4-001</t>
    </r>
    <phoneticPr fontId="36" type="noConversion"/>
  </si>
  <si>
    <r>
      <t>MYM-200122-SHY-JC06-001;MYM-200428-SHY-J6-003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MYM-200708-CYX-J6-001</t>
    </r>
    <phoneticPr fontId="36" type="noConversion"/>
  </si>
  <si>
    <r>
      <t>MYM-200401-XP-J6-003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MYM-201012-YQL-J6-001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MYM-201203-YF-J6-002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MYM-210319-YF-J6-004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MYM-210823-ZHL-J6-002</t>
    </r>
    <phoneticPr fontId="36" type="noConversion"/>
  </si>
  <si>
    <r>
      <t>MYM-210407-QJW-J6-002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MYM-211018-LJ-J6-001</t>
    </r>
    <phoneticPr fontId="36" type="noConversion"/>
  </si>
  <si>
    <r>
      <t>MYM-200508-SCL-J6-003;MYM-200911-SCL-J6-003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MYM-201211-SCL-J6-001</t>
    </r>
    <phoneticPr fontId="36" type="noConversion"/>
  </si>
  <si>
    <r>
      <t>MYM-200901-CYX-J6-001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MYM-211009-LJ-J6-001</t>
    </r>
    <phoneticPr fontId="36" type="noConversion"/>
  </si>
  <si>
    <r>
      <t>MYM-200711-SXH-J6-001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MYM-200722-PDJ-J6-001</t>
    </r>
    <phoneticPr fontId="36" type="noConversion"/>
  </si>
  <si>
    <r>
      <t>MYM-201207-YF-J6-003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MYM-210319-MYM-J6-005;MYM-210524-YF-J6-001</t>
    </r>
    <phoneticPr fontId="36" type="noConversion"/>
  </si>
  <si>
    <r>
      <t>MYM-210319-YF-J6-003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MYM-210412-QJW-J6-005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MYM-210701-QJW-J6-002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MYM-210803-QJW-J6-002</t>
    </r>
    <phoneticPr fontId="36" type="noConversion"/>
  </si>
  <si>
    <r>
      <t>MYM-200522-SHY-J4-003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MYM-211109-LJ-J4-001</t>
    </r>
    <phoneticPr fontId="36" type="noConversion"/>
  </si>
  <si>
    <r>
      <rPr>
        <sz val="11"/>
        <color indexed="8"/>
        <rFont val="宋体"/>
        <family val="3"/>
        <charset val="134"/>
      </rPr>
      <t>大、中、小</t>
    </r>
    <phoneticPr fontId="36" type="noConversion"/>
  </si>
  <si>
    <r>
      <t>MYM-200713-SCL-J4-003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MYM-211110-LJ-J4-005</t>
    </r>
    <phoneticPr fontId="36" type="noConversion"/>
  </si>
  <si>
    <r>
      <t>MYM-20072-SHY-J4-004;MYM-201202-SCL-J4-004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MYM-211110-LJ-J4-012</t>
    </r>
    <phoneticPr fontId="36" type="noConversion"/>
  </si>
  <si>
    <r>
      <t>MYM-200911-SCL-J6-005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MYM-210428-QJW-J6-004</t>
    </r>
    <phoneticPr fontId="36" type="noConversion"/>
  </si>
  <si>
    <r>
      <t>MYM-200414-SHY-J6-001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MYM-201109-SCL-J6-003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MYM-210316-SCL-J6-002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MYM-211122-YF-J6-002</t>
    </r>
    <phoneticPr fontId="36" type="noConversion"/>
  </si>
  <si>
    <r>
      <rPr>
        <sz val="11"/>
        <color indexed="8"/>
        <rFont val="宋体"/>
        <family val="3"/>
        <charset val="134"/>
      </rPr>
      <t>大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中、小</t>
    </r>
    <phoneticPr fontId="36" type="noConversion"/>
  </si>
  <si>
    <r>
      <t>MYM-200522-SHY-J6-001(</t>
    </r>
    <r>
      <rPr>
        <sz val="11"/>
        <color theme="1"/>
        <rFont val="宋体"/>
        <family val="3"/>
        <charset val="134"/>
      </rPr>
      <t>中）</t>
    </r>
    <phoneticPr fontId="36" type="noConversion"/>
  </si>
  <si>
    <r>
      <t>MYM-200421-SCL-J6-001;MYM-2009027-KAP-J6-001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MYM-211123-LJ-J6-005</t>
    </r>
    <phoneticPr fontId="38" type="noConversion"/>
  </si>
  <si>
    <r>
      <t>MYM-201125-SCL-J6-002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MYM-201207-YF-J6-004;MYM-201214-SCL-J6-003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MYM-201218-SCL-J6-001</t>
    </r>
    <phoneticPr fontId="36" type="noConversion"/>
  </si>
  <si>
    <r>
      <t>MYM-210525-QJW-J6-007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MYM-210809-QJW-J6-002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MYM-210819-JW-J6-002</t>
    </r>
    <phoneticPr fontId="36" type="noConversion"/>
  </si>
  <si>
    <r>
      <t>MYM-191028-SHY-JC04-001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MYM-211110-LJ-J4-014</t>
    </r>
    <phoneticPr fontId="36" type="noConversion"/>
  </si>
  <si>
    <r>
      <t>MYM-191216-SCL-JC04-001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MYM-200616-SCL-J6-003;MYM-2009027-SCL-J4-003</t>
    </r>
    <phoneticPr fontId="36" type="noConversion"/>
  </si>
  <si>
    <r>
      <t>MYM-190715-SCL-JC06-003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MYM-190716-SYP-JC06-002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MYM-191213-SCL-JC06-001;MYM-201208-SCL-J6-007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MYM-210913-RL-J6-004</t>
    </r>
    <phoneticPr fontId="36" type="noConversion"/>
  </si>
  <si>
    <r>
      <t>MYM-190715-SCL-JC06-004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MYM-190716-SYP-JC06-003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MYM-191213-SCL-JC06-002;MYM-201208-SCL-J6-004;MYM-210913-RL-J6-005</t>
    </r>
    <phoneticPr fontId="36" type="noConversion"/>
  </si>
  <si>
    <r>
      <t>MYM-200820-WYP-J6-001;MYM-200921-SCL-J6-002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MYM-201105-YQL-J6-001;MYM-201221-SCL-J6-001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MYM-210322-SCL-J6-002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MYM-210401-QJW-J6-003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MYM-210420-QJW-J6-003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MYM-210602-YF-J6-002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MYM-210705-QJW--J6-002</t>
    </r>
    <phoneticPr fontId="36" type="noConversion"/>
  </si>
  <si>
    <r>
      <t>MYM-200114-LXC-JC06-001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MYM-200117-SHY-JC04-002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MYM-200228-SHY-JC06-002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 Narrow"/>
        <family val="2"/>
      </rPr>
      <t>MYM-200324-SHY-J6-002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MYM-200402-SCL-J6-001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MYM-200415-SXH-J6-001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MYM-200418-SHY-J6-001</t>
    </r>
    <phoneticPr fontId="36" type="noConversion"/>
  </si>
  <si>
    <r>
      <t>MYM-190918-LXC-JC06-001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MYM-210319-YF-J6-002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MYM-210426-YF-J6-001</t>
    </r>
    <phoneticPr fontId="36" type="noConversion"/>
  </si>
  <si>
    <r>
      <t>MYM-191014-SHY-JC06-001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MYM-191104-SCL-JC06-001;MYM-200328-CYX-J6-001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MYM-200423-SCL-J6-001</t>
    </r>
    <phoneticPr fontId="36" type="noConversion"/>
  </si>
  <si>
    <r>
      <t>MYM-191212-LXC-JC06-002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MYM-200108-WYH-JC06-00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MYM-200401-WYP-J6-001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MYM-200701-WYP-J6-001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MYM-200801-SXH-J6-003;MYM-200904-SCL-J6-001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MYM-201021-XP-J6-002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MYM-201109-XMY-J6-002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MYM-210422-YF-J6-006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MYM-210602-YF-J6-001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MYM-210806-RL-J6-001MYM-210711-YF-J6-001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MYM-210909-ZHL-J6-001</t>
    </r>
    <phoneticPr fontId="36" type="noConversion"/>
  </si>
  <si>
    <r>
      <t>MYM-200304-WYP-J6-001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 Narrow"/>
        <family val="2"/>
      </rPr>
      <t>MYM-200314-WYP-J6-001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 Narrow"/>
        <family val="2"/>
      </rPr>
      <t>MYM-200316-WYP-J6-001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 Narrow"/>
        <family val="2"/>
      </rPr>
      <t>MYM-200325-CZJ-J6-001,MYM-200520-WYP-J6-001,MYM-200526-LY-J6-013;MYM-200902-ZPF-J6-001;MYM-200914-WYP-J6-002;MYM-200921-ZPF--J6-001;MYM-200922-YQL-J6-001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MYM-201010-YQL-J6-001</t>
    </r>
    <phoneticPr fontId="36" type="noConversion"/>
  </si>
  <si>
    <r>
      <rPr>
        <sz val="11"/>
        <color rgb="FF000000"/>
        <rFont val="宋体"/>
        <family val="3"/>
        <charset val="134"/>
      </rPr>
      <t>臭气采样瓶</t>
    </r>
  </si>
  <si>
    <r>
      <t>10L</t>
    </r>
    <r>
      <rPr>
        <sz val="11"/>
        <color rgb="FF000000"/>
        <rFont val="宋体"/>
        <family val="3"/>
        <charset val="134"/>
      </rPr>
      <t>，玻璃</t>
    </r>
  </si>
  <si>
    <r>
      <rPr>
        <sz val="11"/>
        <color rgb="FF000000"/>
        <rFont val="宋体"/>
        <family val="3"/>
        <charset val="134"/>
      </rPr>
      <t>嗅辨袋</t>
    </r>
  </si>
  <si>
    <r>
      <rPr>
        <sz val="11"/>
        <color rgb="FF000000"/>
        <rFont val="宋体"/>
        <family val="3"/>
        <charset val="134"/>
      </rPr>
      <t>白色储物箱内</t>
    </r>
  </si>
  <si>
    <r>
      <rPr>
        <sz val="11"/>
        <color rgb="FF000000"/>
        <rFont val="宋体"/>
        <family val="3"/>
        <charset val="134"/>
      </rPr>
      <t>平衡袋</t>
    </r>
  </si>
  <si>
    <r>
      <rPr>
        <sz val="11"/>
        <color rgb="FF000000"/>
        <rFont val="宋体"/>
        <family val="3"/>
        <charset val="134"/>
      </rPr>
      <t>六联分配器</t>
    </r>
  </si>
  <si>
    <r>
      <rPr>
        <sz val="11"/>
        <color rgb="FF000000"/>
        <rFont val="宋体"/>
        <family val="3"/>
        <charset val="134"/>
      </rPr>
      <t>压力表</t>
    </r>
  </si>
  <si>
    <r>
      <t>MYM-200508-SCL-J6-002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MYM-200601-CYX-J6-002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MYM-200713-SCL-J6-002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MYM-200801-CYX-J6-001</t>
    </r>
    <phoneticPr fontId="36" type="noConversion"/>
  </si>
  <si>
    <r>
      <t>MYM-200424-CYX-J6-002;MYM-200923-KAP-J6-001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MYM-201125-SCL-J6-003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MYM-201214-KAP-J6-001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MYM-200612-SHY-J6-002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MYM-201023-KAP-J6-001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MYM-210316-SCL-J6-003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MYM-210428-QJW-J6-003;MYM-210525-QJW-J6-004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MYM-210727-QJW-J6-002</t>
    </r>
    <phoneticPr fontId="36" type="noConversion"/>
  </si>
  <si>
    <r>
      <rPr>
        <sz val="11"/>
        <color theme="1"/>
        <rFont val="宋体"/>
        <family val="3"/>
        <charset val="134"/>
      </rPr>
      <t>棕色广口瓶</t>
    </r>
    <phoneticPr fontId="37" type="noConversion"/>
  </si>
  <si>
    <r>
      <rPr>
        <sz val="11"/>
        <color theme="1"/>
        <rFont val="宋体"/>
        <family val="3"/>
        <charset val="134"/>
      </rPr>
      <t>实验室返还</t>
    </r>
    <phoneticPr fontId="36" type="noConversion"/>
  </si>
  <si>
    <r>
      <rPr>
        <sz val="11"/>
        <color rgb="FF9900FF"/>
        <rFont val="宋体"/>
        <family val="3"/>
        <charset val="134"/>
      </rPr>
      <t>只</t>
    </r>
    <phoneticPr fontId="37" type="noConversion"/>
  </si>
  <si>
    <r>
      <rPr>
        <sz val="11"/>
        <color theme="1"/>
        <rFont val="宋体"/>
        <family val="3"/>
        <charset val="134"/>
      </rPr>
      <t>白色广口瓶</t>
    </r>
    <phoneticPr fontId="37" type="noConversion"/>
  </si>
  <si>
    <r>
      <rPr>
        <sz val="11"/>
        <color theme="1"/>
        <rFont val="宋体"/>
        <family val="3"/>
        <charset val="134"/>
      </rPr>
      <t>实验室返还</t>
    </r>
    <phoneticPr fontId="36" type="noConversion"/>
  </si>
  <si>
    <r>
      <rPr>
        <sz val="11"/>
        <color theme="1"/>
        <rFont val="宋体"/>
        <family val="3"/>
        <charset val="134"/>
      </rPr>
      <t>棕色广口瓶</t>
    </r>
    <phoneticPr fontId="37" type="noConversion"/>
  </si>
  <si>
    <r>
      <rPr>
        <sz val="11"/>
        <color theme="1"/>
        <rFont val="宋体"/>
        <family val="3"/>
        <charset val="134"/>
      </rPr>
      <t>棕色小口瓶</t>
    </r>
    <phoneticPr fontId="37" type="noConversion"/>
  </si>
  <si>
    <r>
      <rPr>
        <sz val="11"/>
        <color theme="1"/>
        <rFont val="宋体"/>
        <family val="3"/>
        <charset val="134"/>
      </rPr>
      <t>白色小口瓶</t>
    </r>
    <phoneticPr fontId="37" type="noConversion"/>
  </si>
  <si>
    <r>
      <rPr>
        <sz val="11"/>
        <color rgb="FF9900FF"/>
        <rFont val="宋体"/>
        <family val="3"/>
        <charset val="134"/>
      </rPr>
      <t>条</t>
    </r>
    <phoneticPr fontId="37" type="noConversion"/>
  </si>
  <si>
    <r>
      <rPr>
        <sz val="11"/>
        <color theme="1"/>
        <rFont val="宋体"/>
        <family val="3"/>
        <charset val="134"/>
      </rPr>
      <t>短袖</t>
    </r>
    <r>
      <rPr>
        <sz val="11"/>
        <color theme="1"/>
        <rFont val="Arial Narrow"/>
        <family val="2"/>
      </rPr>
      <t>T</t>
    </r>
    <r>
      <rPr>
        <sz val="11"/>
        <color theme="1"/>
        <rFont val="宋体"/>
        <family val="3"/>
        <charset val="134"/>
      </rPr>
      <t>恤</t>
    </r>
    <phoneticPr fontId="37" type="noConversion"/>
  </si>
  <si>
    <r>
      <rPr>
        <sz val="11"/>
        <color rgb="FF9900FF"/>
        <rFont val="宋体"/>
        <family val="3"/>
        <charset val="134"/>
      </rPr>
      <t>件</t>
    </r>
    <phoneticPr fontId="37" type="noConversion"/>
  </si>
  <si>
    <r>
      <rPr>
        <sz val="11"/>
        <color theme="1"/>
        <rFont val="宋体"/>
        <family val="3"/>
        <charset val="134"/>
      </rPr>
      <t>气瓶扳手</t>
    </r>
    <phoneticPr fontId="37" type="noConversion"/>
  </si>
  <si>
    <r>
      <rPr>
        <sz val="11"/>
        <color theme="1"/>
        <rFont val="宋体"/>
        <family val="3"/>
        <charset val="134"/>
      </rPr>
      <t>聚乙烯管</t>
    </r>
    <phoneticPr fontId="37" type="noConversion"/>
  </si>
  <si>
    <r>
      <t>5*9</t>
    </r>
    <r>
      <rPr>
        <sz val="11"/>
        <color theme="1"/>
        <rFont val="宋体"/>
        <family val="3"/>
        <charset val="134"/>
      </rPr>
      <t>㎜</t>
    </r>
    <phoneticPr fontId="37" type="noConversion"/>
  </si>
  <si>
    <r>
      <rPr>
        <sz val="11"/>
        <color rgb="FF9900FF"/>
        <rFont val="宋体"/>
        <family val="3"/>
        <charset val="134"/>
      </rPr>
      <t>米</t>
    </r>
    <phoneticPr fontId="37" type="noConversion"/>
  </si>
  <si>
    <r>
      <rPr>
        <sz val="11"/>
        <color theme="1"/>
        <rFont val="宋体"/>
        <family val="3"/>
        <charset val="134"/>
      </rPr>
      <t>丁腈手套</t>
    </r>
    <phoneticPr fontId="37" type="noConversion"/>
  </si>
  <si>
    <r>
      <t>M</t>
    </r>
    <r>
      <rPr>
        <sz val="11"/>
        <color theme="1"/>
        <rFont val="宋体"/>
        <family val="3"/>
        <charset val="134"/>
      </rPr>
      <t>号</t>
    </r>
    <phoneticPr fontId="37" type="noConversion"/>
  </si>
  <si>
    <r>
      <rPr>
        <sz val="11"/>
        <color rgb="FF9900FF"/>
        <rFont val="宋体"/>
        <family val="3"/>
        <charset val="134"/>
      </rPr>
      <t>盒</t>
    </r>
    <phoneticPr fontId="37" type="noConversion"/>
  </si>
  <si>
    <r>
      <rPr>
        <sz val="11"/>
        <color theme="1"/>
        <rFont val="宋体"/>
        <family val="3"/>
        <charset val="134"/>
      </rPr>
      <t>原子荧光泵管</t>
    </r>
    <phoneticPr fontId="37" type="noConversion"/>
  </si>
  <si>
    <r>
      <rPr>
        <sz val="11"/>
        <color rgb="FF9900FF"/>
        <rFont val="宋体"/>
        <family val="3"/>
        <charset val="134"/>
      </rPr>
      <t>根</t>
    </r>
    <phoneticPr fontId="37" type="noConversion"/>
  </si>
  <si>
    <r>
      <rPr>
        <sz val="11"/>
        <color theme="1"/>
        <rFont val="宋体"/>
        <family val="3"/>
        <charset val="134"/>
      </rPr>
      <t>塑料离心管</t>
    </r>
    <phoneticPr fontId="37" type="noConversion"/>
  </si>
  <si>
    <r>
      <rPr>
        <sz val="11"/>
        <color theme="1"/>
        <rFont val="宋体"/>
        <family val="3"/>
        <charset val="134"/>
      </rPr>
      <t>冷冻管（液体分装管）</t>
    </r>
    <phoneticPr fontId="37" type="noConversion"/>
  </si>
  <si>
    <r>
      <t>5ml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Arial Narrow"/>
        <family val="2"/>
      </rPr>
      <t>200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袋）</t>
    </r>
    <phoneticPr fontId="37" type="noConversion"/>
  </si>
  <si>
    <r>
      <rPr>
        <sz val="11"/>
        <color theme="1"/>
        <rFont val="宋体"/>
        <family val="3"/>
        <charset val="134"/>
      </rPr>
      <t>防静电测试线</t>
    </r>
    <phoneticPr fontId="37" type="noConversion"/>
  </si>
  <si>
    <r>
      <rPr>
        <sz val="11"/>
        <color theme="1"/>
        <rFont val="宋体"/>
        <family val="3"/>
        <charset val="134"/>
      </rPr>
      <t>黑色</t>
    </r>
    <r>
      <rPr>
        <sz val="11"/>
        <color theme="1"/>
        <rFont val="Arial Narrow"/>
        <family val="2"/>
      </rPr>
      <t>PVC</t>
    </r>
    <phoneticPr fontId="37" type="noConversion"/>
  </si>
  <si>
    <r>
      <rPr>
        <sz val="11"/>
        <color theme="1"/>
        <rFont val="宋体"/>
        <family val="3"/>
        <charset val="134"/>
      </rPr>
      <t>塑料采水瓶</t>
    </r>
    <phoneticPr fontId="37" type="noConversion"/>
  </si>
  <si>
    <r>
      <t>500ml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44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箱</t>
    </r>
    <phoneticPr fontId="37" type="noConversion"/>
  </si>
  <si>
    <r>
      <rPr>
        <sz val="11"/>
        <color rgb="FF9900FF"/>
        <rFont val="宋体"/>
        <family val="3"/>
        <charset val="134"/>
      </rPr>
      <t>箱</t>
    </r>
    <phoneticPr fontId="37" type="noConversion"/>
  </si>
  <si>
    <r>
      <rPr>
        <sz val="11"/>
        <color theme="1"/>
        <rFont val="宋体"/>
        <family val="3"/>
        <charset val="134"/>
      </rPr>
      <t>北墙角</t>
    </r>
    <phoneticPr fontId="37" type="noConversion"/>
  </si>
  <si>
    <r>
      <rPr>
        <sz val="11"/>
        <color theme="1"/>
        <rFont val="宋体"/>
        <family val="3"/>
        <charset val="134"/>
      </rPr>
      <t>无胶滤筒</t>
    </r>
    <phoneticPr fontId="37" type="noConversion"/>
  </si>
  <si>
    <r>
      <rPr>
        <sz val="11"/>
        <color theme="1"/>
        <rFont val="宋体"/>
        <family val="3"/>
        <charset val="134"/>
      </rPr>
      <t>玻璃棉</t>
    </r>
    <phoneticPr fontId="37" type="noConversion"/>
  </si>
  <si>
    <r>
      <t>100</t>
    </r>
    <r>
      <rPr>
        <sz val="11"/>
        <color theme="1"/>
        <rFont val="宋体"/>
        <family val="3"/>
        <charset val="134"/>
      </rPr>
      <t>克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包，</t>
    </r>
    <r>
      <rPr>
        <sz val="11"/>
        <color theme="1"/>
        <rFont val="Arial Narrow"/>
        <family val="2"/>
      </rPr>
      <t>XH-BLM</t>
    </r>
    <phoneticPr fontId="37" type="noConversion"/>
  </si>
  <si>
    <r>
      <rPr>
        <sz val="11"/>
        <color rgb="FF9900FF"/>
        <rFont val="宋体"/>
        <family val="3"/>
        <charset val="134"/>
      </rPr>
      <t>包</t>
    </r>
    <phoneticPr fontId="37" type="noConversion"/>
  </si>
  <si>
    <r>
      <rPr>
        <sz val="11"/>
        <color theme="1"/>
        <rFont val="宋体"/>
        <family val="3"/>
        <charset val="134"/>
      </rPr>
      <t>废液桶</t>
    </r>
    <phoneticPr fontId="36" type="noConversion"/>
  </si>
  <si>
    <r>
      <rPr>
        <sz val="11"/>
        <color rgb="FF9900FF"/>
        <rFont val="宋体"/>
        <family val="3"/>
        <charset val="134"/>
      </rPr>
      <t>只</t>
    </r>
    <phoneticPr fontId="36" type="noConversion"/>
  </si>
  <si>
    <r>
      <rPr>
        <sz val="11"/>
        <color theme="1"/>
        <rFont val="宋体"/>
        <family val="3"/>
        <charset val="134"/>
      </rPr>
      <t>硬盘架</t>
    </r>
    <phoneticPr fontId="36" type="noConversion"/>
  </si>
  <si>
    <r>
      <rPr>
        <sz val="11"/>
        <color rgb="FF9900FF"/>
        <rFont val="宋体"/>
        <family val="3"/>
        <charset val="134"/>
      </rPr>
      <t>个</t>
    </r>
    <phoneticPr fontId="36" type="noConversion"/>
  </si>
  <si>
    <r>
      <rPr>
        <sz val="11"/>
        <color theme="1"/>
        <rFont val="宋体"/>
        <family val="3"/>
        <charset val="134"/>
      </rPr>
      <t>危险废物标签</t>
    </r>
    <phoneticPr fontId="36" type="noConversion"/>
  </si>
  <si>
    <r>
      <rPr>
        <sz val="11"/>
        <color theme="1"/>
        <rFont val="宋体"/>
        <family val="3"/>
        <charset val="134"/>
      </rPr>
      <t>大、中、小</t>
    </r>
    <phoneticPr fontId="36" type="noConversion"/>
  </si>
  <si>
    <r>
      <rPr>
        <sz val="11"/>
        <color theme="1"/>
        <rFont val="宋体"/>
        <family val="3"/>
        <charset val="134"/>
      </rPr>
      <t>大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3"/>
        <charset val="134"/>
      </rPr>
      <t>小</t>
    </r>
    <r>
      <rPr>
        <sz val="11"/>
        <color theme="1"/>
        <rFont val="Arial Narrow"/>
        <family val="2"/>
      </rPr>
      <t>22</t>
    </r>
    <phoneticPr fontId="36" type="noConversion"/>
  </si>
  <si>
    <r>
      <rPr>
        <sz val="11"/>
        <color theme="1"/>
        <rFont val="宋体"/>
        <family val="3"/>
        <charset val="134"/>
      </rPr>
      <t>水基灭火器</t>
    </r>
    <phoneticPr fontId="36" type="noConversion"/>
  </si>
  <si>
    <r>
      <rPr>
        <sz val="11"/>
        <color theme="1"/>
        <rFont val="宋体"/>
        <family val="3"/>
        <charset val="134"/>
      </rPr>
      <t>浙江伟业</t>
    </r>
    <phoneticPr fontId="36" type="noConversion"/>
  </si>
  <si>
    <r>
      <rPr>
        <sz val="11"/>
        <color theme="1"/>
        <rFont val="宋体"/>
        <family val="3"/>
        <charset val="134"/>
      </rPr>
      <t>二氧化碳灭火器</t>
    </r>
    <phoneticPr fontId="36" type="noConversion"/>
  </si>
  <si>
    <r>
      <rPr>
        <sz val="11"/>
        <color theme="1"/>
        <rFont val="宋体"/>
        <family val="3"/>
        <charset val="134"/>
      </rPr>
      <t>干粉灭火器</t>
    </r>
    <phoneticPr fontId="36" type="noConversion"/>
  </si>
  <si>
    <r>
      <rPr>
        <sz val="11"/>
        <color theme="1"/>
        <rFont val="宋体"/>
        <family val="3"/>
        <charset val="134"/>
      </rPr>
      <t>平板小推车</t>
    </r>
    <phoneticPr fontId="36" type="noConversion"/>
  </si>
  <si>
    <r>
      <rPr>
        <sz val="11"/>
        <color theme="1"/>
        <rFont val="宋体"/>
        <family val="3"/>
        <charset val="134"/>
      </rPr>
      <t>万宝瑞</t>
    </r>
    <phoneticPr fontId="36" type="noConversion"/>
  </si>
  <si>
    <r>
      <t>60*90</t>
    </r>
    <r>
      <rPr>
        <sz val="11"/>
        <color theme="1"/>
        <rFont val="宋体"/>
        <family val="3"/>
        <charset val="134"/>
      </rPr>
      <t>，承载</t>
    </r>
    <r>
      <rPr>
        <sz val="11"/>
        <color theme="1"/>
        <rFont val="Arial Narrow"/>
        <family val="2"/>
      </rPr>
      <t>600</t>
    </r>
    <r>
      <rPr>
        <sz val="11"/>
        <color theme="1"/>
        <rFont val="宋体"/>
        <family val="3"/>
        <charset val="134"/>
      </rPr>
      <t>斤</t>
    </r>
    <phoneticPr fontId="36" type="noConversion"/>
  </si>
  <si>
    <r>
      <rPr>
        <sz val="11"/>
        <color theme="1"/>
        <rFont val="宋体"/>
        <family val="3"/>
        <charset val="134"/>
      </rPr>
      <t>安全标示标贴</t>
    </r>
    <phoneticPr fontId="36" type="noConversion"/>
  </si>
  <si>
    <r>
      <rPr>
        <sz val="11"/>
        <color theme="1"/>
        <rFont val="宋体"/>
        <family val="3"/>
        <charset val="134"/>
      </rPr>
      <t>掌中宝旗舰店</t>
    </r>
    <phoneticPr fontId="36" type="noConversion"/>
  </si>
  <si>
    <r>
      <rPr>
        <sz val="11"/>
        <color theme="1"/>
        <rFont val="宋体"/>
        <family val="3"/>
        <charset val="134"/>
      </rPr>
      <t>三角牌</t>
    </r>
    <phoneticPr fontId="36" type="noConversion"/>
  </si>
  <si>
    <r>
      <rPr>
        <sz val="11"/>
        <color theme="1"/>
        <rFont val="宋体"/>
        <family val="3"/>
        <charset val="134"/>
      </rPr>
      <t>乘舟汽车用品店</t>
    </r>
    <phoneticPr fontId="36" type="noConversion"/>
  </si>
  <si>
    <r>
      <rPr>
        <sz val="11"/>
        <color theme="1"/>
        <rFont val="宋体"/>
        <family val="3"/>
        <charset val="134"/>
      </rPr>
      <t>国标</t>
    </r>
    <phoneticPr fontId="36" type="noConversion"/>
  </si>
  <si>
    <r>
      <rPr>
        <sz val="11"/>
        <color theme="1"/>
        <rFont val="宋体"/>
        <family val="3"/>
        <charset val="134"/>
      </rPr>
      <t>救生衣</t>
    </r>
    <phoneticPr fontId="36" type="noConversion"/>
  </si>
  <si>
    <r>
      <rPr>
        <sz val="11"/>
        <color theme="1"/>
        <rFont val="宋体"/>
        <family val="3"/>
        <charset val="134"/>
      </rPr>
      <t>佩豪旗舰店</t>
    </r>
    <phoneticPr fontId="36" type="noConversion"/>
  </si>
  <si>
    <r>
      <rPr>
        <sz val="11"/>
        <color theme="1"/>
        <rFont val="宋体"/>
        <family val="3"/>
        <charset val="134"/>
      </rPr>
      <t>优质均码</t>
    </r>
    <phoneticPr fontId="36" type="noConversion"/>
  </si>
  <si>
    <r>
      <rPr>
        <sz val="11"/>
        <color rgb="FF9900FF"/>
        <rFont val="宋体"/>
        <family val="3"/>
        <charset val="134"/>
      </rPr>
      <t>件</t>
    </r>
    <phoneticPr fontId="36" type="noConversion"/>
  </si>
  <si>
    <r>
      <rPr>
        <sz val="11"/>
        <color theme="1"/>
        <rFont val="宋体"/>
        <family val="3"/>
        <charset val="134"/>
      </rPr>
      <t>警戒线</t>
    </r>
    <phoneticPr fontId="36" type="noConversion"/>
  </si>
  <si>
    <r>
      <rPr>
        <sz val="11"/>
        <color theme="1"/>
        <rFont val="宋体"/>
        <family val="3"/>
        <charset val="134"/>
      </rPr>
      <t>商阳家居</t>
    </r>
    <phoneticPr fontId="36" type="noConversion"/>
  </si>
  <si>
    <r>
      <t>50</t>
    </r>
    <r>
      <rPr>
        <sz val="11"/>
        <color theme="1"/>
        <rFont val="宋体"/>
        <family val="3"/>
        <charset val="134"/>
      </rPr>
      <t>米</t>
    </r>
    <phoneticPr fontId="36" type="noConversion"/>
  </si>
  <si>
    <r>
      <rPr>
        <sz val="11"/>
        <color theme="1"/>
        <rFont val="宋体"/>
        <family val="3"/>
        <charset val="134"/>
      </rPr>
      <t>绝缘手套</t>
    </r>
    <phoneticPr fontId="36" type="noConversion"/>
  </si>
  <si>
    <r>
      <rPr>
        <sz val="11"/>
        <color theme="1"/>
        <rFont val="宋体"/>
        <family val="3"/>
        <charset val="134"/>
      </rPr>
      <t>天琪劳保</t>
    </r>
    <phoneticPr fontId="36" type="noConversion"/>
  </si>
  <si>
    <r>
      <rPr>
        <sz val="11"/>
        <color theme="1"/>
        <rFont val="宋体"/>
        <family val="3"/>
        <charset val="134"/>
      </rPr>
      <t>金步安</t>
    </r>
    <r>
      <rPr>
        <sz val="11"/>
        <color theme="1"/>
        <rFont val="Arial Narrow"/>
        <family val="2"/>
      </rPr>
      <t>12KV</t>
    </r>
    <r>
      <rPr>
        <sz val="11"/>
        <color theme="1"/>
        <rFont val="宋体"/>
        <family val="3"/>
        <charset val="134"/>
      </rPr>
      <t>手型款</t>
    </r>
    <phoneticPr fontId="36" type="noConversion"/>
  </si>
  <si>
    <r>
      <rPr>
        <sz val="11"/>
        <color theme="1"/>
        <rFont val="宋体"/>
        <family val="3"/>
        <charset val="134"/>
      </rPr>
      <t>绝缘鞋</t>
    </r>
    <phoneticPr fontId="36" type="noConversion"/>
  </si>
  <si>
    <r>
      <t>10KV</t>
    </r>
    <r>
      <rPr>
        <sz val="11"/>
        <color theme="1"/>
        <rFont val="宋体"/>
        <family val="3"/>
        <charset val="134"/>
      </rPr>
      <t>电工绝缘鞋黑色</t>
    </r>
    <phoneticPr fontId="36" type="noConversion"/>
  </si>
  <si>
    <r>
      <rPr>
        <sz val="11"/>
        <color theme="1"/>
        <rFont val="宋体"/>
        <family val="3"/>
        <charset val="134"/>
      </rPr>
      <t>乙炔减压器</t>
    </r>
    <phoneticPr fontId="36" type="noConversion"/>
  </si>
  <si>
    <r>
      <rPr>
        <sz val="11"/>
        <color theme="1"/>
        <rFont val="宋体"/>
        <family val="3"/>
        <charset val="134"/>
      </rPr>
      <t>上海减压器厂</t>
    </r>
    <phoneticPr fontId="36" type="noConversion"/>
  </si>
  <si>
    <r>
      <rPr>
        <sz val="11"/>
        <color theme="1"/>
        <rFont val="宋体"/>
        <family val="3"/>
        <charset val="134"/>
      </rPr>
      <t>原荧三通</t>
    </r>
    <phoneticPr fontId="36" type="noConversion"/>
  </si>
  <si>
    <r>
      <rPr>
        <sz val="11"/>
        <color theme="1"/>
        <rFont val="宋体"/>
        <family val="3"/>
        <charset val="134"/>
      </rPr>
      <t>原荧陶瓷垫</t>
    </r>
    <phoneticPr fontId="36" type="noConversion"/>
  </si>
  <si>
    <r>
      <rPr>
        <sz val="11"/>
        <color theme="1"/>
        <rFont val="宋体"/>
        <family val="3"/>
        <charset val="134"/>
      </rPr>
      <t>氦气减压阀</t>
    </r>
    <phoneticPr fontId="36" type="noConversion"/>
  </si>
  <si>
    <r>
      <rPr>
        <sz val="11"/>
        <color theme="1"/>
        <rFont val="宋体"/>
        <family val="3"/>
        <charset val="134"/>
      </rPr>
      <t>抛光树脂</t>
    </r>
    <phoneticPr fontId="36" type="noConversion"/>
  </si>
  <si>
    <r>
      <rPr>
        <sz val="11"/>
        <color theme="1"/>
        <rFont val="宋体"/>
        <family val="3"/>
        <charset val="134"/>
      </rPr>
      <t>儿童短裤</t>
    </r>
    <phoneticPr fontId="36" type="noConversion"/>
  </si>
  <si>
    <r>
      <rPr>
        <sz val="11"/>
        <color theme="1"/>
        <rFont val="宋体"/>
        <family val="3"/>
        <charset val="134"/>
      </rPr>
      <t>哈泰熊制衣</t>
    </r>
    <phoneticPr fontId="36" type="noConversion"/>
  </si>
  <si>
    <r>
      <rPr>
        <sz val="11"/>
        <color theme="1"/>
        <rFont val="宋体"/>
        <family val="3"/>
        <charset val="134"/>
      </rPr>
      <t>女裙</t>
    </r>
    <phoneticPr fontId="36" type="noConversion"/>
  </si>
  <si>
    <r>
      <rPr>
        <sz val="11"/>
        <color theme="1"/>
        <rFont val="宋体"/>
        <family val="3"/>
        <charset val="134"/>
      </rPr>
      <t>广东衫六灵实业</t>
    </r>
    <phoneticPr fontId="36" type="noConversion"/>
  </si>
  <si>
    <r>
      <rPr>
        <sz val="11"/>
        <color theme="1"/>
        <rFont val="宋体"/>
        <family val="3"/>
        <charset val="134"/>
      </rPr>
      <t>密封圈</t>
    </r>
    <phoneticPr fontId="36" type="noConversion"/>
  </si>
  <si>
    <r>
      <rPr>
        <sz val="11"/>
        <color theme="1"/>
        <rFont val="宋体"/>
        <family val="3"/>
        <charset val="134"/>
      </rPr>
      <t>塑料气泡吸收瓶</t>
    </r>
    <phoneticPr fontId="36" type="noConversion"/>
  </si>
  <si>
    <r>
      <rPr>
        <sz val="11"/>
        <color theme="1"/>
        <rFont val="宋体"/>
        <family val="3"/>
        <charset val="134"/>
      </rPr>
      <t>盐城明之元</t>
    </r>
    <phoneticPr fontId="36" type="noConversion"/>
  </si>
  <si>
    <r>
      <rPr>
        <sz val="11"/>
        <color theme="1"/>
        <rFont val="宋体"/>
        <family val="3"/>
        <charset val="134"/>
      </rPr>
      <t>铝灯</t>
    </r>
    <phoneticPr fontId="36" type="noConversion"/>
  </si>
  <si>
    <r>
      <rPr>
        <sz val="11"/>
        <color theme="1"/>
        <rFont val="宋体"/>
        <family val="3"/>
        <charset val="134"/>
      </rPr>
      <t>全棉氨纶汗布</t>
    </r>
    <phoneticPr fontId="36" type="noConversion"/>
  </si>
  <si>
    <r>
      <t>φ12.5</t>
    </r>
    <r>
      <rPr>
        <sz val="11"/>
        <color theme="1"/>
        <rFont val="宋体"/>
        <family val="3"/>
        <charset val="134"/>
      </rPr>
      <t>㎜，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7" type="noConversion"/>
  </si>
  <si>
    <r>
      <rPr>
        <sz val="11"/>
        <color theme="1"/>
        <rFont val="宋体"/>
        <family val="3"/>
        <charset val="134"/>
      </rPr>
      <t>移液枪头</t>
    </r>
    <phoneticPr fontId="37" type="noConversion"/>
  </si>
  <si>
    <r>
      <t>MYM-201111-KAP-J6-002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MYM-201229-SCL-J6-005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MYM-210412-QJW-J6-004</t>
    </r>
    <phoneticPr fontId="36" type="noConversion"/>
  </si>
  <si>
    <r>
      <rPr>
        <sz val="11"/>
        <color theme="1"/>
        <rFont val="宋体"/>
        <family val="3"/>
        <charset val="134"/>
      </rPr>
      <t>洋洋</t>
    </r>
    <phoneticPr fontId="36" type="noConversion"/>
  </si>
  <si>
    <r>
      <t>MYM-200713-SCL-J6-001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MYM-200727-CYX-J6-001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MYM-200806-CYX-J6-001</t>
    </r>
    <phoneticPr fontId="36" type="noConversion"/>
  </si>
  <si>
    <r>
      <t>PE</t>
    </r>
    <r>
      <rPr>
        <sz val="11"/>
        <color theme="1"/>
        <rFont val="宋体"/>
        <family val="3"/>
        <charset val="134"/>
      </rPr>
      <t>自封袋</t>
    </r>
    <phoneticPr fontId="37" type="noConversion"/>
  </si>
  <si>
    <r>
      <rPr>
        <sz val="11"/>
        <color theme="1"/>
        <rFont val="宋体"/>
        <family val="3"/>
        <charset val="134"/>
      </rPr>
      <t>红色双面毛呢面料</t>
    </r>
    <phoneticPr fontId="37" type="noConversion"/>
  </si>
  <si>
    <r>
      <rPr>
        <sz val="11"/>
        <color theme="1"/>
        <rFont val="宋体"/>
        <family val="3"/>
        <charset val="134"/>
      </rPr>
      <t>棉毛两件套</t>
    </r>
    <phoneticPr fontId="37" type="noConversion"/>
  </si>
  <si>
    <r>
      <rPr>
        <sz val="11"/>
        <color theme="1"/>
        <rFont val="宋体"/>
        <family val="3"/>
        <charset val="134"/>
      </rPr>
      <t>逗米鼠</t>
    </r>
    <phoneticPr fontId="36" type="noConversion"/>
  </si>
  <si>
    <r>
      <rPr>
        <sz val="11"/>
        <color theme="1"/>
        <rFont val="宋体"/>
        <family val="3"/>
        <charset val="134"/>
      </rPr>
      <t>玫红色针织阔腿裤</t>
    </r>
    <phoneticPr fontId="37" type="noConversion"/>
  </si>
  <si>
    <r>
      <rPr>
        <sz val="11"/>
        <color theme="1"/>
        <rFont val="宋体"/>
        <family val="3"/>
        <charset val="134"/>
      </rPr>
      <t>小导管（发酵管）</t>
    </r>
    <phoneticPr fontId="37" type="noConversion"/>
  </si>
  <si>
    <r>
      <t>6*30</t>
    </r>
    <r>
      <rPr>
        <sz val="11"/>
        <color theme="1"/>
        <rFont val="宋体"/>
        <family val="3"/>
        <charset val="134"/>
      </rPr>
      <t>㎜，</t>
    </r>
    <r>
      <rPr>
        <sz val="11"/>
        <color theme="1"/>
        <rFont val="Arial Narrow"/>
        <family val="2"/>
      </rPr>
      <t>50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7" type="noConversion"/>
  </si>
  <si>
    <r>
      <rPr>
        <sz val="11"/>
        <color theme="1"/>
        <rFont val="宋体"/>
        <family val="3"/>
        <charset val="134"/>
      </rPr>
      <t>卷边圆口圆底玻璃试管</t>
    </r>
    <phoneticPr fontId="37" type="noConversion"/>
  </si>
  <si>
    <r>
      <rPr>
        <sz val="11"/>
        <color theme="1"/>
        <rFont val="宋体"/>
        <family val="3"/>
        <charset val="134"/>
      </rPr>
      <t>海门市超博实验器材厂</t>
    </r>
    <phoneticPr fontId="36" type="noConversion"/>
  </si>
  <si>
    <r>
      <t>40*190</t>
    </r>
    <r>
      <rPr>
        <sz val="11"/>
        <color theme="1"/>
        <rFont val="宋体"/>
        <family val="3"/>
        <charset val="134"/>
      </rPr>
      <t>㎜</t>
    </r>
    <r>
      <rPr>
        <sz val="11"/>
        <color theme="1"/>
        <rFont val="Arial Narrow"/>
        <family val="2"/>
      </rPr>
      <t>/150ml</t>
    </r>
    <phoneticPr fontId="37" type="noConversion"/>
  </si>
  <si>
    <r>
      <rPr>
        <sz val="11"/>
        <color theme="1"/>
        <rFont val="宋体"/>
        <family val="3"/>
        <charset val="134"/>
      </rPr>
      <t>配套试管架</t>
    </r>
    <phoneticPr fontId="37" type="noConversion"/>
  </si>
  <si>
    <r>
      <rPr>
        <sz val="11"/>
        <color theme="1"/>
        <rFont val="宋体"/>
        <family val="3"/>
        <charset val="134"/>
      </rPr>
      <t>配套硅胶塞</t>
    </r>
    <phoneticPr fontId="37" type="noConversion"/>
  </si>
  <si>
    <r>
      <rPr>
        <sz val="11"/>
        <color theme="1"/>
        <rFont val="宋体"/>
        <family val="3"/>
        <charset val="134"/>
      </rPr>
      <t>棕色具塞比色管</t>
    </r>
    <phoneticPr fontId="36" type="noConversion"/>
  </si>
  <si>
    <r>
      <rPr>
        <sz val="11"/>
        <color theme="1"/>
        <rFont val="宋体"/>
        <family val="3"/>
        <charset val="134"/>
      </rPr>
      <t>丁腈手套</t>
    </r>
    <phoneticPr fontId="36" type="noConversion"/>
  </si>
  <si>
    <r>
      <rPr>
        <sz val="11"/>
        <color theme="1"/>
        <rFont val="宋体"/>
        <family val="3"/>
        <charset val="134"/>
      </rPr>
      <t>友利格</t>
    </r>
    <phoneticPr fontId="36" type="noConversion"/>
  </si>
  <si>
    <r>
      <t>MYM-200817-CYX-J6-001;MYM-200909-SCL-J6-001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MYM-201013-SCL-J6-001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MYM-201103-XMY-J6-002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MYM-201120-SCL-J6-001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MYM-201202-SCL-J6-001</t>
    </r>
    <phoneticPr fontId="36" type="noConversion"/>
  </si>
  <si>
    <r>
      <rPr>
        <sz val="11"/>
        <color theme="1"/>
        <rFont val="宋体"/>
        <family val="3"/>
        <charset val="134"/>
      </rPr>
      <t>双盒防毒口罩</t>
    </r>
    <phoneticPr fontId="36" type="noConversion"/>
  </si>
  <si>
    <r>
      <rPr>
        <sz val="11"/>
        <color rgb="FF9900FF"/>
        <rFont val="宋体"/>
        <family val="3"/>
        <charset val="134"/>
      </rPr>
      <t>返还</t>
    </r>
  </si>
  <si>
    <r>
      <rPr>
        <sz val="11"/>
        <color theme="1"/>
        <rFont val="宋体"/>
        <family val="3"/>
        <charset val="134"/>
      </rPr>
      <t>一次性塑料吸管</t>
    </r>
    <phoneticPr fontId="36" type="noConversion"/>
  </si>
  <si>
    <r>
      <t>3ml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  <phoneticPr fontId="36" type="noConversion"/>
  </si>
  <si>
    <r>
      <t>MYM-200901-CYX-J6-002;MYM-200909-SCL-J6-002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MYM-201023-KAP-J6-002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MYM-201211-SCL-J6-002</t>
    </r>
    <phoneticPr fontId="36" type="noConversion"/>
  </si>
  <si>
    <r>
      <rPr>
        <sz val="11"/>
        <color theme="1"/>
        <rFont val="宋体"/>
        <family val="3"/>
        <charset val="134"/>
      </rPr>
      <t>黑色针织裤</t>
    </r>
    <phoneticPr fontId="36" type="noConversion"/>
  </si>
  <si>
    <r>
      <rPr>
        <sz val="11"/>
        <color theme="1"/>
        <rFont val="宋体"/>
        <family val="3"/>
        <charset val="134"/>
      </rPr>
      <t>儿童纯棉外罩</t>
    </r>
    <phoneticPr fontId="36" type="noConversion"/>
  </si>
  <si>
    <r>
      <rPr>
        <sz val="11"/>
        <color theme="1"/>
        <rFont val="宋体"/>
        <family val="3"/>
        <charset val="134"/>
      </rPr>
      <t>温湿度记录纸</t>
    </r>
    <phoneticPr fontId="36" type="noConversion"/>
  </si>
  <si>
    <r>
      <rPr>
        <sz val="11"/>
        <color theme="1"/>
        <rFont val="宋体"/>
        <family val="3"/>
        <charset val="134"/>
      </rPr>
      <t>上海横河兴益千野</t>
    </r>
    <phoneticPr fontId="36" type="noConversion"/>
  </si>
  <si>
    <r>
      <rPr>
        <sz val="11"/>
        <color theme="1"/>
        <rFont val="宋体"/>
        <family val="3"/>
        <charset val="134"/>
      </rPr>
      <t>周记，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  <phoneticPr fontId="36" type="noConversion"/>
  </si>
  <si>
    <r>
      <rPr>
        <sz val="11"/>
        <color theme="1"/>
        <rFont val="宋体"/>
        <family val="3"/>
        <charset val="134"/>
      </rPr>
      <t>活性炭口罩</t>
    </r>
    <phoneticPr fontId="36" type="noConversion"/>
  </si>
  <si>
    <r>
      <rPr>
        <sz val="11"/>
        <color theme="1"/>
        <rFont val="宋体"/>
        <family val="3"/>
        <charset val="134"/>
      </rPr>
      <t>唯希莱</t>
    </r>
    <phoneticPr fontId="36" type="noConversion"/>
  </si>
  <si>
    <r>
      <t>50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</si>
  <si>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t>MYM-201124-SCL-J6-002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MYM-210112-SCL-J6-001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MYM-210416-QJW-J6-005;MYM-210506-QJW-J6-003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MYM-210604-QJW-J6-001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MYM-210715-QJW-J6-004</t>
    </r>
    <phoneticPr fontId="36" type="noConversion"/>
  </si>
  <si>
    <r>
      <rPr>
        <sz val="11"/>
        <color theme="1"/>
        <rFont val="宋体"/>
        <family val="3"/>
        <charset val="134"/>
      </rPr>
      <t>锑灯</t>
    </r>
    <phoneticPr fontId="36" type="noConversion"/>
  </si>
  <si>
    <r>
      <rPr>
        <sz val="11"/>
        <color theme="1"/>
        <rFont val="宋体"/>
        <family val="3"/>
        <charset val="134"/>
      </rPr>
      <t>螺口顶空瓶盖（含垫片）</t>
    </r>
    <phoneticPr fontId="36" type="noConversion"/>
  </si>
  <si>
    <r>
      <rPr>
        <sz val="11"/>
        <color theme="1"/>
        <rFont val="宋体"/>
        <family val="3"/>
        <charset val="134"/>
      </rPr>
      <t>道邦色谱</t>
    </r>
    <phoneticPr fontId="36" type="noConversion"/>
  </si>
  <si>
    <r>
      <t>18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</si>
  <si>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rPr>
        <sz val="11"/>
        <color theme="1"/>
        <rFont val="宋体"/>
        <family val="3"/>
        <charset val="134"/>
      </rPr>
      <t>螺口顶空瓶垫片</t>
    </r>
    <phoneticPr fontId="36" type="noConversion"/>
  </si>
  <si>
    <r>
      <t>17.5*1.5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</si>
  <si>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rPr>
        <sz val="11"/>
        <color theme="1"/>
        <rFont val="宋体"/>
        <family val="3"/>
        <charset val="134"/>
      </rPr>
      <t>气相进样瓶垫片</t>
    </r>
    <phoneticPr fontId="36" type="noConversion"/>
  </si>
  <si>
    <r>
      <t>8.9*1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</si>
  <si>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rPr>
        <sz val="11"/>
        <color theme="1"/>
        <rFont val="宋体"/>
        <family val="3"/>
        <charset val="134"/>
      </rPr>
      <t>热电偶</t>
    </r>
    <phoneticPr fontId="36" type="noConversion"/>
  </si>
  <si>
    <r>
      <rPr>
        <sz val="11"/>
        <color theme="1"/>
        <rFont val="宋体"/>
        <family val="3"/>
        <charset val="134"/>
      </rPr>
      <t>深圳源恒通</t>
    </r>
    <phoneticPr fontId="36" type="noConversion"/>
  </si>
  <si>
    <r>
      <rPr>
        <sz val="11"/>
        <color theme="1"/>
        <rFont val="宋体"/>
        <family val="3"/>
        <charset val="134"/>
      </rPr>
      <t>提纯树脂</t>
    </r>
    <phoneticPr fontId="36" type="noConversion"/>
  </si>
  <si>
    <r>
      <rPr>
        <sz val="11"/>
        <color theme="1"/>
        <rFont val="宋体"/>
        <family val="3"/>
        <charset val="134"/>
      </rPr>
      <t>小弹簧</t>
    </r>
    <phoneticPr fontId="36" type="noConversion"/>
  </si>
  <si>
    <r>
      <rPr>
        <sz val="11"/>
        <color theme="1"/>
        <rFont val="宋体"/>
        <family val="3"/>
        <charset val="134"/>
      </rPr>
      <t>腾螺五金旗舰店</t>
    </r>
    <phoneticPr fontId="36" type="noConversion"/>
  </si>
  <si>
    <r>
      <t>1ml</t>
    </r>
    <r>
      <rPr>
        <sz val="11"/>
        <color theme="1"/>
        <rFont val="宋体"/>
        <family val="3"/>
        <charset val="134"/>
      </rPr>
      <t>移液枪配件</t>
    </r>
    <phoneticPr fontId="36" type="noConversion"/>
  </si>
  <si>
    <r>
      <rPr>
        <sz val="11"/>
        <color theme="1"/>
        <rFont val="宋体"/>
        <family val="3"/>
        <charset val="134"/>
      </rPr>
      <t>无胶滤筒</t>
    </r>
    <phoneticPr fontId="36" type="noConversion"/>
  </si>
  <si>
    <r>
      <rPr>
        <sz val="11"/>
        <color theme="1"/>
        <rFont val="宋体"/>
        <family val="3"/>
        <charset val="134"/>
      </rPr>
      <t>盐城尊科</t>
    </r>
    <phoneticPr fontId="36" type="noConversion"/>
  </si>
  <si>
    <r>
      <t>MYM-201207-YF-J6-002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MYM-201223-YF-J6-002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MYM-210322-SCL-J6-001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MYM-210412-QJW-J6-003;MYM-210420-QJW-J6-004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MYM-210602-J6-003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MYM-210705-QJW-J6-003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MYM-210803-QJW-J6-001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MYM-210906-RL-J6-002;MYM-210913-RL-J6-002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MYM-211123-LJ-J6-001</t>
    </r>
    <phoneticPr fontId="36" type="noConversion"/>
  </si>
  <si>
    <r>
      <rPr>
        <sz val="11"/>
        <color theme="1"/>
        <rFont val="宋体"/>
        <family val="3"/>
        <charset val="134"/>
      </rPr>
      <t>橡皮筋</t>
    </r>
    <phoneticPr fontId="36" type="noConversion"/>
  </si>
  <si>
    <r>
      <rPr>
        <sz val="11"/>
        <color rgb="FF9900FF"/>
        <rFont val="宋体"/>
        <family val="3"/>
        <charset val="134"/>
      </rPr>
      <t>待定</t>
    </r>
  </si>
  <si>
    <r>
      <rPr>
        <sz val="10"/>
        <color theme="1"/>
        <rFont val="宋体"/>
        <family val="3"/>
        <charset val="134"/>
      </rPr>
      <t>温度计</t>
    </r>
    <phoneticPr fontId="48" type="noConversion"/>
  </si>
  <si>
    <r>
      <rPr>
        <sz val="10"/>
        <color theme="1"/>
        <rFont val="宋体"/>
        <family val="3"/>
        <charset val="134"/>
      </rPr>
      <t>塑料采水瓶</t>
    </r>
    <phoneticPr fontId="48" type="noConversion"/>
  </si>
  <si>
    <r>
      <t>MYM-201111-XMY-J6-001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MYM-201116-YQL-J6-003;MYM-201124-XMY-J6-001;MYM-201125-XMY-J6-001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MYM-201201-YF-J6-003;MYM-201211-YF-J6-004;MYM-201214-YF-J6-002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MYM-201218-YF-J6-003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MYM-210105-YF-J6-001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MYM-210120-YF-J6-001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MYM-210310-YF-J6-001;MYM-210510-QDJ-J6-001</t>
    </r>
    <phoneticPr fontId="36" type="noConversion"/>
  </si>
  <si>
    <r>
      <rPr>
        <sz val="10"/>
        <color indexed="8"/>
        <rFont val="宋体"/>
        <family val="3"/>
        <charset val="134"/>
      </rPr>
      <t>混合膜</t>
    </r>
    <r>
      <rPr>
        <sz val="10"/>
        <color indexed="8"/>
        <rFont val="Arial Narrow"/>
        <family val="2"/>
      </rPr>
      <t>-</t>
    </r>
    <r>
      <rPr>
        <sz val="10"/>
        <color indexed="8"/>
        <rFont val="宋体"/>
        <family val="3"/>
        <charset val="134"/>
      </rPr>
      <t>测</t>
    </r>
    <r>
      <rPr>
        <sz val="10"/>
        <color indexed="8"/>
        <rFont val="Arial Narrow"/>
        <family val="2"/>
      </rPr>
      <t>SS</t>
    </r>
    <phoneticPr fontId="48" type="noConversion"/>
  </si>
  <si>
    <r>
      <t>0.45μm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 Narrow"/>
        <family val="2"/>
      </rPr>
      <t>50</t>
    </r>
    <r>
      <rPr>
        <sz val="10"/>
        <color indexed="8"/>
        <rFont val="宋体"/>
        <family val="3"/>
        <charset val="134"/>
      </rPr>
      <t>张</t>
    </r>
    <r>
      <rPr>
        <sz val="10"/>
        <color indexed="8"/>
        <rFont val="Arial Narrow"/>
        <family val="2"/>
      </rPr>
      <t>/</t>
    </r>
    <r>
      <rPr>
        <sz val="10"/>
        <color indexed="8"/>
        <rFont val="宋体"/>
        <family val="3"/>
        <charset val="134"/>
      </rPr>
      <t>盒</t>
    </r>
    <phoneticPr fontId="48" type="noConversion"/>
  </si>
  <si>
    <r>
      <rPr>
        <sz val="10"/>
        <color theme="1"/>
        <rFont val="宋体"/>
        <family val="3"/>
        <charset val="134"/>
      </rPr>
      <t>危废标识牌</t>
    </r>
    <phoneticPr fontId="48" type="noConversion"/>
  </si>
  <si>
    <r>
      <t>5</t>
    </r>
    <r>
      <rPr>
        <sz val="10"/>
        <color indexed="8"/>
        <rFont val="宋体"/>
        <family val="3"/>
        <charset val="134"/>
      </rPr>
      <t>㎜，</t>
    </r>
    <r>
      <rPr>
        <sz val="10"/>
        <color indexed="8"/>
        <rFont val="Arial Narrow"/>
        <family val="2"/>
      </rPr>
      <t>120*80</t>
    </r>
    <r>
      <rPr>
        <sz val="10"/>
        <color indexed="8"/>
        <rFont val="宋体"/>
        <family val="3"/>
        <charset val="134"/>
      </rPr>
      <t>㎝</t>
    </r>
    <phoneticPr fontId="48" type="noConversion"/>
  </si>
  <si>
    <r>
      <t>VOCS</t>
    </r>
    <r>
      <rPr>
        <sz val="11"/>
        <color theme="1"/>
        <rFont val="宋体"/>
        <family val="3"/>
        <charset val="134"/>
      </rPr>
      <t>组合采样管</t>
    </r>
    <phoneticPr fontId="48" type="noConversion"/>
  </si>
  <si>
    <r>
      <t>7K5965</t>
    </r>
    <r>
      <rPr>
        <sz val="11"/>
        <color theme="1"/>
        <rFont val="宋体"/>
        <family val="3"/>
        <charset val="134"/>
      </rPr>
      <t>，组合三</t>
    </r>
    <phoneticPr fontId="48" type="noConversion"/>
  </si>
  <si>
    <r>
      <rPr>
        <sz val="11"/>
        <color theme="1"/>
        <rFont val="宋体"/>
        <family val="3"/>
        <charset val="134"/>
      </rPr>
      <t>测尘滤膜</t>
    </r>
    <r>
      <rPr>
        <sz val="11"/>
        <color theme="1"/>
        <rFont val="Arial Narrow"/>
        <family val="2"/>
      </rPr>
      <t>-</t>
    </r>
    <r>
      <rPr>
        <sz val="11"/>
        <color theme="1"/>
        <rFont val="宋体"/>
        <family val="3"/>
        <charset val="134"/>
      </rPr>
      <t>丙纶</t>
    </r>
    <phoneticPr fontId="48" type="noConversion"/>
  </si>
  <si>
    <r>
      <rPr>
        <sz val="11"/>
        <color theme="1"/>
        <rFont val="宋体"/>
        <family val="3"/>
        <charset val="134"/>
      </rPr>
      <t>石英纤维滤膜</t>
    </r>
    <phoneticPr fontId="48" type="noConversion"/>
  </si>
  <si>
    <r>
      <t>φ90</t>
    </r>
    <r>
      <rPr>
        <sz val="11"/>
        <color theme="1"/>
        <rFont val="宋体"/>
        <family val="3"/>
        <charset val="134"/>
      </rPr>
      <t>㎜</t>
    </r>
    <phoneticPr fontId="48" type="noConversion"/>
  </si>
  <si>
    <r>
      <rPr>
        <sz val="11"/>
        <color theme="1"/>
        <rFont val="宋体"/>
        <family val="3"/>
        <charset val="134"/>
      </rPr>
      <t>臭气袋</t>
    </r>
    <phoneticPr fontId="36" type="noConversion"/>
  </si>
  <si>
    <r>
      <t>MYM-201211-YF-J6-005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MYM-210319-YF-J6-001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MYM-210420-YF-J6-006</t>
    </r>
    <phoneticPr fontId="36" type="noConversion"/>
  </si>
  <si>
    <r>
      <rPr>
        <sz val="11"/>
        <color theme="1"/>
        <rFont val="宋体"/>
        <family val="3"/>
        <charset val="134"/>
      </rPr>
      <t>活性炭采样管</t>
    </r>
    <phoneticPr fontId="36" type="noConversion"/>
  </si>
  <si>
    <r>
      <t>6*120,100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</si>
  <si>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rPr>
        <sz val="11"/>
        <color theme="1"/>
        <rFont val="宋体"/>
        <family val="3"/>
        <charset val="134"/>
      </rPr>
      <t>球形抽气管</t>
    </r>
    <phoneticPr fontId="36" type="noConversion"/>
  </si>
  <si>
    <r>
      <t>PU</t>
    </r>
    <r>
      <rPr>
        <sz val="11"/>
        <color theme="1"/>
        <rFont val="宋体"/>
        <family val="3"/>
        <charset val="134"/>
      </rPr>
      <t>管</t>
    </r>
    <phoneticPr fontId="37" type="noConversion"/>
  </si>
  <si>
    <r>
      <t>6*4</t>
    </r>
    <r>
      <rPr>
        <sz val="11"/>
        <color theme="1"/>
        <rFont val="宋体"/>
        <family val="3"/>
        <charset val="134"/>
      </rPr>
      <t>㎜</t>
    </r>
    <phoneticPr fontId="37" type="noConversion"/>
  </si>
  <si>
    <r>
      <rPr>
        <sz val="11"/>
        <color theme="1"/>
        <rFont val="宋体"/>
        <family val="3"/>
        <charset val="134"/>
      </rPr>
      <t>采水桶</t>
    </r>
    <phoneticPr fontId="37" type="noConversion"/>
  </si>
  <si>
    <r>
      <rPr>
        <sz val="11"/>
        <color theme="1"/>
        <rFont val="宋体"/>
        <family val="3"/>
        <charset val="134"/>
      </rPr>
      <t>尼龙绳</t>
    </r>
    <phoneticPr fontId="37" type="noConversion"/>
  </si>
  <si>
    <r>
      <t>1</t>
    </r>
    <r>
      <rPr>
        <sz val="11"/>
        <color theme="1"/>
        <rFont val="宋体"/>
        <family val="3"/>
        <charset val="134"/>
      </rPr>
      <t>捆</t>
    </r>
    <r>
      <rPr>
        <sz val="11"/>
        <color theme="1"/>
        <rFont val="Arial Narrow"/>
        <family val="2"/>
      </rPr>
      <t>13</t>
    </r>
    <r>
      <rPr>
        <sz val="11"/>
        <color theme="1"/>
        <rFont val="宋体"/>
        <family val="3"/>
        <charset val="134"/>
      </rPr>
      <t>斤</t>
    </r>
    <phoneticPr fontId="37" type="noConversion"/>
  </si>
  <si>
    <r>
      <t>PVC</t>
    </r>
    <r>
      <rPr>
        <sz val="11"/>
        <color theme="1"/>
        <rFont val="宋体"/>
        <family val="3"/>
        <charset val="134"/>
      </rPr>
      <t>钢丝管</t>
    </r>
    <phoneticPr fontId="37" type="noConversion"/>
  </si>
  <si>
    <r>
      <t>25*2.5</t>
    </r>
    <r>
      <rPr>
        <sz val="11"/>
        <color theme="1"/>
        <rFont val="宋体"/>
        <family val="3"/>
        <charset val="134"/>
      </rPr>
      <t>㎜</t>
    </r>
    <phoneticPr fontId="37" type="noConversion"/>
  </si>
  <si>
    <r>
      <t>M</t>
    </r>
    <r>
      <rPr>
        <sz val="11"/>
        <color theme="1"/>
        <rFont val="宋体"/>
        <family val="3"/>
        <charset val="134"/>
      </rPr>
      <t>无粉蓝</t>
    </r>
    <phoneticPr fontId="37" type="noConversion"/>
  </si>
  <si>
    <r>
      <rPr>
        <sz val="11"/>
        <color theme="1"/>
        <rFont val="宋体"/>
        <family val="3"/>
        <charset val="134"/>
      </rPr>
      <t>活性炭</t>
    </r>
    <phoneticPr fontId="36" type="noConversion"/>
  </si>
  <si>
    <r>
      <rPr>
        <sz val="11"/>
        <color theme="1"/>
        <rFont val="宋体"/>
        <family val="3"/>
        <charset val="134"/>
      </rPr>
      <t>南墙角</t>
    </r>
    <phoneticPr fontId="36" type="noConversion"/>
  </si>
  <si>
    <r>
      <rPr>
        <sz val="11"/>
        <color theme="1"/>
        <rFont val="宋体"/>
        <family val="3"/>
        <charset val="134"/>
      </rPr>
      <t>玻璃漏斗</t>
    </r>
    <phoneticPr fontId="36" type="noConversion"/>
  </si>
  <si>
    <r>
      <t>φ60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</si>
  <si>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rPr>
        <sz val="11"/>
        <color theme="1"/>
        <rFont val="宋体"/>
        <family val="3"/>
        <charset val="134"/>
      </rPr>
      <t>有机玻璃试管架</t>
    </r>
    <phoneticPr fontId="36" type="noConversion"/>
  </si>
  <si>
    <r>
      <t>M</t>
    </r>
    <r>
      <rPr>
        <sz val="11"/>
        <color theme="1"/>
        <rFont val="宋体"/>
        <family val="3"/>
        <charset val="134"/>
      </rPr>
      <t>加厚</t>
    </r>
    <phoneticPr fontId="36" type="noConversion"/>
  </si>
  <si>
    <r>
      <t>MYM-210105-SCL-J6-002;MYM-210222-SCL-J6-001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MYM-210329-SCL-J6-003;MYM-210416-QJW-J6-006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MYM-210426-QJW-J6-005</t>
    </r>
    <phoneticPr fontId="36" type="noConversion"/>
  </si>
  <si>
    <r>
      <rPr>
        <sz val="11"/>
        <color theme="1"/>
        <rFont val="宋体"/>
        <family val="3"/>
        <charset val="134"/>
      </rPr>
      <t>超细纤维毛巾</t>
    </r>
    <phoneticPr fontId="36" type="noConversion"/>
  </si>
  <si>
    <r>
      <rPr>
        <sz val="11"/>
        <color theme="1"/>
        <rFont val="宋体"/>
        <family val="3"/>
        <charset val="134"/>
      </rPr>
      <t>夹棉袄</t>
    </r>
    <phoneticPr fontId="36" type="noConversion"/>
  </si>
  <si>
    <r>
      <rPr>
        <sz val="11"/>
        <color theme="1"/>
        <rFont val="宋体"/>
        <family val="3"/>
        <charset val="134"/>
      </rPr>
      <t>针织开衫</t>
    </r>
    <phoneticPr fontId="36" type="noConversion"/>
  </si>
  <si>
    <r>
      <rPr>
        <sz val="11"/>
        <color theme="1"/>
        <rFont val="宋体"/>
        <family val="3"/>
        <charset val="134"/>
      </rPr>
      <t>紫外钨灯灯泡</t>
    </r>
    <phoneticPr fontId="36" type="noConversion"/>
  </si>
  <si>
    <r>
      <rPr>
        <sz val="11"/>
        <color theme="1"/>
        <rFont val="宋体"/>
        <family val="3"/>
        <charset val="134"/>
      </rPr>
      <t>试管刷</t>
    </r>
    <phoneticPr fontId="36" type="noConversion"/>
  </si>
  <si>
    <r>
      <rPr>
        <sz val="11"/>
        <color theme="1"/>
        <rFont val="宋体"/>
        <family val="3"/>
        <charset val="134"/>
      </rPr>
      <t>原荧废液泵管</t>
    </r>
    <phoneticPr fontId="36" type="noConversion"/>
  </si>
  <si>
    <r>
      <rPr>
        <sz val="11"/>
        <color theme="1"/>
        <rFont val="宋体"/>
        <family val="3"/>
        <charset val="134"/>
      </rPr>
      <t>原荧进样针</t>
    </r>
    <phoneticPr fontId="36" type="noConversion"/>
  </si>
  <si>
    <r>
      <t>MYM-210420-QJW-J6-001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MYM-210701-QJW-J6-001</t>
    </r>
    <phoneticPr fontId="36" type="noConversion"/>
  </si>
  <si>
    <r>
      <rPr>
        <sz val="11"/>
        <color theme="1"/>
        <rFont val="宋体"/>
        <family val="3"/>
        <charset val="134"/>
      </rPr>
      <t>塑料采水瓶</t>
    </r>
    <phoneticPr fontId="36" type="noConversion"/>
  </si>
  <si>
    <r>
      <t>500</t>
    </r>
    <r>
      <rPr>
        <sz val="11"/>
        <color theme="1"/>
        <rFont val="宋体"/>
        <family val="3"/>
        <charset val="134"/>
      </rPr>
      <t>毫升，</t>
    </r>
    <r>
      <rPr>
        <sz val="11"/>
        <color theme="1"/>
        <rFont val="Arial Narrow"/>
        <family val="2"/>
      </rPr>
      <t>39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箱</t>
    </r>
    <phoneticPr fontId="36" type="noConversion"/>
  </si>
  <si>
    <r>
      <t>1000</t>
    </r>
    <r>
      <rPr>
        <sz val="11"/>
        <color theme="1"/>
        <rFont val="宋体"/>
        <family val="3"/>
        <charset val="134"/>
      </rPr>
      <t>毫升，</t>
    </r>
    <r>
      <rPr>
        <sz val="11"/>
        <color theme="1"/>
        <rFont val="Arial Narrow"/>
        <family val="2"/>
      </rPr>
      <t>22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箱</t>
    </r>
    <phoneticPr fontId="36" type="noConversion"/>
  </si>
  <si>
    <r>
      <rPr>
        <sz val="11"/>
        <color theme="1"/>
        <rFont val="宋体"/>
        <family val="3"/>
        <charset val="134"/>
      </rPr>
      <t>棉纱手套</t>
    </r>
    <phoneticPr fontId="36" type="noConversion"/>
  </si>
  <si>
    <r>
      <t>MYM-210329-LJY-J6-001;MYM-210407-YF-J6-005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MYM-210412-QJW-J6-002;MYM-210416-YF-J6-002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MYM-210507-YF-J6-001;MYM-210524-YF-J6-002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MYM-210604-QJW-J6-003;MYM-210621-ZX-J6-002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MYM-210715-ZX-J6-001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MYM-210812-GQX-J6-003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MYM-210823-ZHL-J6-001</t>
    </r>
    <phoneticPr fontId="36" type="noConversion"/>
  </si>
  <si>
    <r>
      <rPr>
        <sz val="11"/>
        <color theme="1"/>
        <rFont val="宋体"/>
        <family val="3"/>
        <charset val="134"/>
      </rPr>
      <t>离子色谱加压阀</t>
    </r>
    <phoneticPr fontId="36" type="noConversion"/>
  </si>
  <si>
    <r>
      <t>500</t>
    </r>
    <r>
      <rPr>
        <sz val="11"/>
        <color theme="1"/>
        <rFont val="宋体"/>
        <family val="3"/>
        <charset val="134"/>
      </rPr>
      <t>毫升</t>
    </r>
    <phoneticPr fontId="36" type="noConversion"/>
  </si>
  <si>
    <r>
      <rPr>
        <sz val="11"/>
        <color theme="1"/>
        <rFont val="宋体"/>
        <family val="3"/>
        <charset val="134"/>
      </rPr>
      <t>陶瓷剪刀</t>
    </r>
    <phoneticPr fontId="36" type="noConversion"/>
  </si>
  <si>
    <r>
      <rPr>
        <sz val="11"/>
        <color theme="1"/>
        <rFont val="宋体"/>
        <family val="3"/>
        <charset val="134"/>
      </rPr>
      <t>爱马斯</t>
    </r>
    <phoneticPr fontId="36" type="noConversion"/>
  </si>
  <si>
    <r>
      <t>MYM-210506-QJW-J6-004;MYM-210525-QJW-J6-006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MYM-210604-QJW-J6-001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MYM-210707-QJW-J6-001;MYM-210801-QJW-J6-007</t>
    </r>
    <phoneticPr fontId="36" type="noConversion"/>
  </si>
  <si>
    <r>
      <rPr>
        <sz val="11"/>
        <color theme="1"/>
        <rFont val="宋体"/>
        <family val="3"/>
        <charset val="134"/>
      </rPr>
      <t>采水吊桶</t>
    </r>
    <phoneticPr fontId="36" type="noConversion"/>
  </si>
  <si>
    <r>
      <rPr>
        <sz val="11"/>
        <color theme="1"/>
        <rFont val="宋体"/>
        <family val="3"/>
        <charset val="134"/>
      </rPr>
      <t>废液桶</t>
    </r>
    <phoneticPr fontId="52" type="noConversion"/>
  </si>
  <si>
    <r>
      <rPr>
        <sz val="11"/>
        <color theme="1"/>
        <rFont val="宋体"/>
        <family val="3"/>
        <charset val="134"/>
      </rPr>
      <t>刚玉坩埚</t>
    </r>
    <phoneticPr fontId="52" type="noConversion"/>
  </si>
  <si>
    <r>
      <rPr>
        <sz val="11"/>
        <color theme="1"/>
        <rFont val="宋体"/>
        <family val="3"/>
        <charset val="134"/>
      </rPr>
      <t>塑料盆</t>
    </r>
    <phoneticPr fontId="52" type="noConversion"/>
  </si>
  <si>
    <r>
      <rPr>
        <sz val="11"/>
        <color theme="1"/>
        <rFont val="宋体"/>
        <family val="3"/>
        <charset val="134"/>
      </rPr>
      <t>搪瓷托盘</t>
    </r>
    <phoneticPr fontId="52" type="noConversion"/>
  </si>
  <si>
    <r>
      <rPr>
        <sz val="11"/>
        <color theme="1"/>
        <rFont val="宋体"/>
        <family val="3"/>
        <charset val="134"/>
      </rPr>
      <t>一次性塑料吸管</t>
    </r>
    <phoneticPr fontId="52" type="noConversion"/>
  </si>
  <si>
    <r>
      <rPr>
        <sz val="11"/>
        <color theme="1"/>
        <rFont val="宋体"/>
        <family val="3"/>
        <charset val="134"/>
      </rPr>
      <t>水系过滤头</t>
    </r>
    <r>
      <rPr>
        <sz val="11"/>
        <color theme="1"/>
        <rFont val="Arial Narrow"/>
        <family val="2"/>
      </rPr>
      <t>(</t>
    </r>
    <r>
      <rPr>
        <sz val="11"/>
        <color theme="1"/>
        <rFont val="宋体"/>
        <family val="3"/>
        <charset val="134"/>
      </rPr>
      <t>聚醚砜）</t>
    </r>
    <phoneticPr fontId="52" type="noConversion"/>
  </si>
  <si>
    <r>
      <rPr>
        <sz val="11"/>
        <color theme="1"/>
        <rFont val="宋体"/>
        <family val="3"/>
        <charset val="134"/>
      </rPr>
      <t>氟离子电极</t>
    </r>
    <phoneticPr fontId="37" type="noConversion"/>
  </si>
  <si>
    <r>
      <rPr>
        <sz val="10"/>
        <color theme="1"/>
        <rFont val="宋体"/>
        <family val="3"/>
        <charset val="134"/>
      </rPr>
      <t>氯化氢滤膜夹</t>
    </r>
    <phoneticPr fontId="52" type="noConversion"/>
  </si>
  <si>
    <r>
      <t>25</t>
    </r>
    <r>
      <rPr>
        <sz val="11"/>
        <color indexed="8"/>
        <rFont val="宋体"/>
        <family val="3"/>
        <charset val="134"/>
      </rPr>
      <t>㎜</t>
    </r>
    <phoneticPr fontId="52" type="noConversion"/>
  </si>
  <si>
    <r>
      <rPr>
        <sz val="10"/>
        <color theme="1"/>
        <rFont val="宋体"/>
        <family val="3"/>
        <charset val="134"/>
      </rPr>
      <t>氯化氢滤膜</t>
    </r>
    <phoneticPr fontId="52" type="noConversion"/>
  </si>
  <si>
    <r>
      <rPr>
        <sz val="10"/>
        <color theme="1"/>
        <rFont val="宋体"/>
        <family val="3"/>
        <charset val="134"/>
      </rPr>
      <t>干粉灭火器</t>
    </r>
    <phoneticPr fontId="52" type="noConversion"/>
  </si>
  <si>
    <r>
      <t>4</t>
    </r>
    <r>
      <rPr>
        <sz val="11"/>
        <color indexed="8"/>
        <rFont val="宋体"/>
        <family val="3"/>
        <charset val="134"/>
      </rPr>
      <t>㎏</t>
    </r>
    <phoneticPr fontId="52" type="noConversion"/>
  </si>
  <si>
    <r>
      <rPr>
        <sz val="10"/>
        <color theme="1"/>
        <rFont val="宋体"/>
        <family val="3"/>
        <charset val="134"/>
      </rPr>
      <t>水基型灭火器</t>
    </r>
    <phoneticPr fontId="52" type="noConversion"/>
  </si>
  <si>
    <r>
      <rPr>
        <sz val="10"/>
        <color theme="1"/>
        <rFont val="宋体"/>
        <family val="3"/>
        <charset val="134"/>
      </rPr>
      <t>灭火器箱子</t>
    </r>
    <phoneticPr fontId="52" type="noConversion"/>
  </si>
  <si>
    <r>
      <t>5</t>
    </r>
    <r>
      <rPr>
        <sz val="11"/>
        <color indexed="8"/>
        <rFont val="宋体"/>
        <family val="3"/>
        <charset val="134"/>
      </rPr>
      <t>㎏</t>
    </r>
    <phoneticPr fontId="52" type="noConversion"/>
  </si>
  <si>
    <r>
      <rPr>
        <sz val="11"/>
        <color theme="1"/>
        <rFont val="宋体"/>
        <family val="3"/>
        <charset val="134"/>
      </rPr>
      <t>木漏斗架</t>
    </r>
    <phoneticPr fontId="36" type="noConversion"/>
  </si>
  <si>
    <r>
      <rPr>
        <sz val="11"/>
        <color theme="1"/>
        <rFont val="宋体"/>
        <family val="3"/>
        <charset val="134"/>
      </rPr>
      <t>玻璃梨形分液漏斗</t>
    </r>
    <phoneticPr fontId="36" type="noConversion"/>
  </si>
  <si>
    <r>
      <rPr>
        <sz val="11"/>
        <color theme="1"/>
        <rFont val="宋体"/>
        <family val="3"/>
        <charset val="134"/>
      </rPr>
      <t>测尘滤膜</t>
    </r>
    <r>
      <rPr>
        <sz val="11"/>
        <color theme="1"/>
        <rFont val="Arial Narrow"/>
        <family val="2"/>
      </rPr>
      <t>-</t>
    </r>
    <r>
      <rPr>
        <sz val="11"/>
        <color theme="1"/>
        <rFont val="宋体"/>
        <family val="3"/>
        <charset val="134"/>
      </rPr>
      <t>玻璃纤维</t>
    </r>
    <phoneticPr fontId="36" type="noConversion"/>
  </si>
  <si>
    <r>
      <t>φ90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</si>
  <si>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t>MYM-210711-YF-J6-002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MYM-210816-QJW-J6-001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MYM-210906-RL-J6-001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MYM-211018-LJ-J6-002</t>
    </r>
    <phoneticPr fontId="36" type="noConversion"/>
  </si>
  <si>
    <r>
      <rPr>
        <sz val="11"/>
        <color theme="1"/>
        <rFont val="宋体"/>
        <family val="3"/>
        <charset val="134"/>
      </rPr>
      <t>纯水机预处理滤芯</t>
    </r>
    <phoneticPr fontId="36" type="noConversion"/>
  </si>
  <si>
    <r>
      <t>10</t>
    </r>
    <r>
      <rPr>
        <sz val="11"/>
        <color theme="1"/>
        <rFont val="宋体"/>
        <family val="3"/>
        <charset val="134"/>
      </rPr>
      <t>寸</t>
    </r>
    <phoneticPr fontId="36" type="noConversion"/>
  </si>
  <si>
    <r>
      <t>RO</t>
    </r>
    <r>
      <rPr>
        <sz val="11"/>
        <color theme="1"/>
        <rFont val="宋体"/>
        <family val="3"/>
        <charset val="134"/>
      </rPr>
      <t>膜</t>
    </r>
    <phoneticPr fontId="36" type="noConversion"/>
  </si>
  <si>
    <r>
      <rPr>
        <sz val="11"/>
        <color theme="1"/>
        <rFont val="宋体"/>
        <family val="3"/>
        <charset val="134"/>
      </rPr>
      <t>活性炭口罩</t>
    </r>
    <phoneticPr fontId="37" type="noConversion"/>
  </si>
  <si>
    <r>
      <t>L</t>
    </r>
    <r>
      <rPr>
        <sz val="11"/>
        <color theme="1"/>
        <rFont val="宋体"/>
        <family val="3"/>
        <charset val="134"/>
      </rPr>
      <t>加厚</t>
    </r>
    <phoneticPr fontId="36" type="noConversion"/>
  </si>
  <si>
    <r>
      <rPr>
        <sz val="11"/>
        <color theme="1"/>
        <rFont val="宋体"/>
        <family val="3"/>
        <charset val="134"/>
      </rPr>
      <t>皮托双联管</t>
    </r>
    <phoneticPr fontId="36" type="noConversion"/>
  </si>
  <si>
    <r>
      <rPr>
        <sz val="11"/>
        <color theme="1"/>
        <rFont val="宋体"/>
        <family val="3"/>
        <charset val="134"/>
      </rPr>
      <t>配套</t>
    </r>
    <r>
      <rPr>
        <sz val="11"/>
        <color theme="1"/>
        <rFont val="Arial Narrow"/>
        <family val="2"/>
      </rPr>
      <t>301 2H</t>
    </r>
    <phoneticPr fontId="36" type="noConversion"/>
  </si>
  <si>
    <r>
      <rPr>
        <sz val="11"/>
        <color theme="1"/>
        <rFont val="宋体"/>
        <family val="3"/>
        <charset val="134"/>
      </rPr>
      <t>烟尘硅胶管</t>
    </r>
    <phoneticPr fontId="36" type="noConversion"/>
  </si>
  <si>
    <r>
      <rPr>
        <sz val="11"/>
        <color theme="1"/>
        <rFont val="宋体"/>
        <family val="3"/>
        <charset val="134"/>
      </rPr>
      <t>烟温信号线</t>
    </r>
    <phoneticPr fontId="36" type="noConversion"/>
  </si>
  <si>
    <r>
      <rPr>
        <sz val="11"/>
        <color theme="1"/>
        <rFont val="宋体"/>
        <family val="3"/>
        <charset val="134"/>
      </rPr>
      <t>高效气水分离器</t>
    </r>
    <phoneticPr fontId="36" type="noConversion"/>
  </si>
  <si>
    <r>
      <rPr>
        <sz val="11"/>
        <color theme="1"/>
        <rFont val="宋体"/>
        <family val="3"/>
        <charset val="134"/>
      </rPr>
      <t>变色硅胶</t>
    </r>
    <phoneticPr fontId="36" type="noConversion"/>
  </si>
  <si>
    <r>
      <rPr>
        <sz val="11"/>
        <color theme="1"/>
        <rFont val="宋体"/>
        <family val="3"/>
        <charset val="134"/>
      </rPr>
      <t>测尘滤膜</t>
    </r>
    <r>
      <rPr>
        <sz val="11"/>
        <color theme="1"/>
        <rFont val="Arial Narrow"/>
        <family val="2"/>
      </rPr>
      <t>-</t>
    </r>
    <r>
      <rPr>
        <sz val="11"/>
        <color theme="1"/>
        <rFont val="宋体"/>
        <family val="3"/>
        <charset val="134"/>
      </rPr>
      <t>过氯乙烯</t>
    </r>
    <phoneticPr fontId="37" type="noConversion"/>
  </si>
  <si>
    <r>
      <rPr>
        <sz val="11"/>
        <color theme="1"/>
        <rFont val="宋体"/>
        <family val="3"/>
        <charset val="134"/>
      </rPr>
      <t>铝箔采气袋</t>
    </r>
    <phoneticPr fontId="36" type="noConversion"/>
  </si>
  <si>
    <r>
      <rPr>
        <sz val="11"/>
        <color theme="1"/>
        <rFont val="宋体"/>
        <family val="3"/>
        <charset val="134"/>
      </rPr>
      <t>单阀门</t>
    </r>
    <r>
      <rPr>
        <sz val="11"/>
        <color theme="1"/>
        <rFont val="Arial Narrow"/>
        <family val="2"/>
      </rPr>
      <t>2L</t>
    </r>
    <phoneticPr fontId="36" type="noConversion"/>
  </si>
  <si>
    <r>
      <t>350</t>
    </r>
    <r>
      <rPr>
        <sz val="11"/>
        <color theme="1"/>
        <rFont val="宋体"/>
        <family val="3"/>
        <charset val="134"/>
      </rPr>
      <t>毫升</t>
    </r>
    <phoneticPr fontId="36" type="noConversion"/>
  </si>
  <si>
    <r>
      <t>100</t>
    </r>
    <r>
      <rPr>
        <sz val="11"/>
        <color theme="1"/>
        <rFont val="宋体"/>
        <family val="3"/>
        <charset val="134"/>
      </rPr>
      <t>毫升</t>
    </r>
    <phoneticPr fontId="36" type="noConversion"/>
  </si>
  <si>
    <r>
      <rPr>
        <b/>
        <sz val="11"/>
        <color rgb="FFFF0000"/>
        <rFont val="宋体"/>
        <family val="3"/>
        <charset val="134"/>
      </rPr>
      <t>序号</t>
    </r>
  </si>
  <si>
    <r>
      <rPr>
        <b/>
        <sz val="11"/>
        <color rgb="FFFF0000"/>
        <rFont val="宋体"/>
        <family val="3"/>
        <charset val="134"/>
      </rPr>
      <t>消耗性资产名称</t>
    </r>
  </si>
  <si>
    <r>
      <rPr>
        <b/>
        <sz val="11"/>
        <color rgb="FF9900FF"/>
        <rFont val="宋体"/>
        <family val="3"/>
        <charset val="134"/>
      </rPr>
      <t>物耗分类</t>
    </r>
  </si>
  <si>
    <r>
      <rPr>
        <b/>
        <sz val="11"/>
        <color rgb="FFFF0000"/>
        <rFont val="宋体"/>
        <family val="3"/>
        <charset val="134"/>
      </rPr>
      <t>商家</t>
    </r>
    <r>
      <rPr>
        <b/>
        <sz val="11"/>
        <color rgb="FFFF0000"/>
        <rFont val="Arial Narrow"/>
        <family val="2"/>
      </rPr>
      <t>/</t>
    </r>
    <r>
      <rPr>
        <b/>
        <sz val="11"/>
        <color rgb="FFFF0000"/>
        <rFont val="宋体"/>
        <family val="3"/>
        <charset val="134"/>
      </rPr>
      <t>厂家</t>
    </r>
    <r>
      <rPr>
        <b/>
        <sz val="11"/>
        <color rgb="FFFF0000"/>
        <rFont val="Arial Narrow"/>
        <family val="2"/>
      </rPr>
      <t>/</t>
    </r>
    <r>
      <rPr>
        <b/>
        <sz val="11"/>
        <color rgb="FFFF0000"/>
        <rFont val="宋体"/>
        <family val="3"/>
        <charset val="134"/>
      </rPr>
      <t>品牌</t>
    </r>
  </si>
  <si>
    <r>
      <rPr>
        <b/>
        <sz val="11"/>
        <color rgb="FFFF0000"/>
        <rFont val="宋体"/>
        <family val="3"/>
        <charset val="134"/>
      </rPr>
      <t>规格型号</t>
    </r>
  </si>
  <si>
    <r>
      <rPr>
        <b/>
        <sz val="11"/>
        <color indexed="8"/>
        <rFont val="宋体"/>
        <family val="3"/>
        <charset val="134"/>
      </rPr>
      <t>备注说明</t>
    </r>
    <phoneticPr fontId="36" type="noConversion"/>
  </si>
  <si>
    <r>
      <rPr>
        <b/>
        <sz val="11"/>
        <color theme="0"/>
        <rFont val="宋体"/>
        <family val="3"/>
        <charset val="134"/>
      </rPr>
      <t>信息</t>
    </r>
  </si>
  <si>
    <r>
      <rPr>
        <b/>
        <sz val="11"/>
        <color rgb="FF9900FF"/>
        <rFont val="宋体"/>
        <family val="3"/>
        <charset val="134"/>
      </rPr>
      <t>来源</t>
    </r>
  </si>
  <si>
    <r>
      <rPr>
        <b/>
        <sz val="11"/>
        <color rgb="FFFF0000"/>
        <rFont val="宋体"/>
        <family val="3"/>
        <charset val="134"/>
      </rPr>
      <t>入库总量</t>
    </r>
  </si>
  <si>
    <r>
      <rPr>
        <b/>
        <sz val="11"/>
        <color rgb="FF9900FF"/>
        <rFont val="宋体"/>
        <family val="3"/>
        <charset val="134"/>
      </rPr>
      <t>入库单位</t>
    </r>
  </si>
  <si>
    <r>
      <rPr>
        <b/>
        <sz val="11"/>
        <color rgb="FF0000FF"/>
        <rFont val="宋体"/>
        <family val="3"/>
        <charset val="134"/>
      </rPr>
      <t>领用要求</t>
    </r>
  </si>
  <si>
    <r>
      <rPr>
        <b/>
        <sz val="11"/>
        <rFont val="宋体"/>
        <family val="3"/>
        <charset val="134"/>
      </rPr>
      <t>存放位置</t>
    </r>
  </si>
  <si>
    <r>
      <rPr>
        <b/>
        <sz val="11"/>
        <color theme="0"/>
        <rFont val="宋体"/>
        <family val="3"/>
        <charset val="134"/>
      </rPr>
      <t>入库</t>
    </r>
  </si>
  <si>
    <r>
      <rPr>
        <b/>
        <sz val="11"/>
        <rFont val="宋体"/>
        <family val="3"/>
        <charset val="134"/>
      </rPr>
      <t>累计出库</t>
    </r>
    <phoneticPr fontId="36" type="noConversion"/>
  </si>
  <si>
    <r>
      <rPr>
        <b/>
        <sz val="11"/>
        <color theme="0"/>
        <rFont val="宋体"/>
        <family val="3"/>
        <charset val="134"/>
      </rPr>
      <t>出库</t>
    </r>
    <phoneticPr fontId="36" type="noConversion"/>
  </si>
  <si>
    <r>
      <rPr>
        <b/>
        <sz val="11"/>
        <rFont val="宋体"/>
        <family val="3"/>
        <charset val="134"/>
      </rPr>
      <t>库存数据</t>
    </r>
    <phoneticPr fontId="36" type="noConversion"/>
  </si>
  <si>
    <r>
      <rPr>
        <b/>
        <sz val="11"/>
        <rFont val="宋体"/>
        <family val="3"/>
        <charset val="134"/>
      </rPr>
      <t>备注说明</t>
    </r>
  </si>
  <si>
    <r>
      <rPr>
        <b/>
        <sz val="11"/>
        <color rgb="FF9900FF"/>
        <rFont val="宋体"/>
        <family val="3"/>
        <charset val="134"/>
      </rPr>
      <t>编号</t>
    </r>
  </si>
  <si>
    <r>
      <rPr>
        <b/>
        <sz val="11"/>
        <color rgb="FF0000FF"/>
        <rFont val="宋体"/>
        <family val="3"/>
        <charset val="134"/>
      </rPr>
      <t>名称</t>
    </r>
  </si>
  <si>
    <r>
      <rPr>
        <b/>
        <sz val="11"/>
        <color rgb="FFFF0000"/>
        <rFont val="宋体"/>
        <family val="3"/>
        <charset val="134"/>
      </rPr>
      <t>箱柜屉架</t>
    </r>
  </si>
  <si>
    <r>
      <rPr>
        <b/>
        <sz val="11"/>
        <color rgb="FFFF0000"/>
        <rFont val="宋体"/>
        <family val="3"/>
        <charset val="134"/>
      </rPr>
      <t>隔板层数</t>
    </r>
  </si>
  <si>
    <r>
      <rPr>
        <b/>
        <sz val="11"/>
        <rFont val="宋体"/>
        <family val="3"/>
        <charset val="134"/>
      </rPr>
      <t>存放备注</t>
    </r>
  </si>
  <si>
    <r>
      <rPr>
        <b/>
        <sz val="11"/>
        <color rgb="FFFF0000"/>
        <rFont val="宋体"/>
        <family val="3"/>
        <charset val="134"/>
      </rPr>
      <t>数量</t>
    </r>
  </si>
  <si>
    <r>
      <rPr>
        <b/>
        <sz val="11"/>
        <color rgb="FF0000FF"/>
        <rFont val="宋体"/>
        <family val="3"/>
        <charset val="134"/>
      </rPr>
      <t>单位</t>
    </r>
  </si>
  <si>
    <r>
      <rPr>
        <b/>
        <sz val="11"/>
        <rFont val="宋体"/>
        <family val="3"/>
        <charset val="134"/>
      </rPr>
      <t>出库备注</t>
    </r>
    <phoneticPr fontId="36" type="noConversion"/>
  </si>
  <si>
    <r>
      <rPr>
        <b/>
        <sz val="11"/>
        <color rgb="FF0000FF"/>
        <rFont val="宋体"/>
        <family val="3"/>
        <charset val="134"/>
      </rPr>
      <t>数量</t>
    </r>
  </si>
  <si>
    <r>
      <rPr>
        <b/>
        <sz val="11"/>
        <rFont val="宋体"/>
        <family val="3"/>
        <charset val="134"/>
      </rPr>
      <t>库存备注</t>
    </r>
    <phoneticPr fontId="36" type="noConversion"/>
  </si>
  <si>
    <r>
      <rPr>
        <b/>
        <sz val="16"/>
        <color rgb="FF0000FF"/>
        <rFont val="宋体"/>
        <family val="3"/>
        <charset val="134"/>
      </rPr>
      <t>登记笔数：</t>
    </r>
  </si>
  <si>
    <r>
      <rPr>
        <sz val="11"/>
        <color theme="1"/>
        <rFont val="宋体"/>
        <family val="3"/>
        <charset val="134"/>
      </rPr>
      <t>棉毛平腰两用裆裤</t>
    </r>
    <phoneticPr fontId="37" type="noConversion"/>
  </si>
  <si>
    <r>
      <rPr>
        <sz val="11"/>
        <color theme="1"/>
        <rFont val="宋体"/>
        <family val="3"/>
        <charset val="134"/>
      </rPr>
      <t>上海华樵环保</t>
    </r>
    <phoneticPr fontId="36" type="noConversion"/>
  </si>
  <si>
    <r>
      <t>20*30*12</t>
    </r>
    <r>
      <rPr>
        <sz val="11"/>
        <color theme="1"/>
        <rFont val="宋体"/>
        <family val="3"/>
        <charset val="134"/>
      </rPr>
      <t>丝，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  <phoneticPr fontId="37" type="noConversion"/>
  </si>
  <si>
    <r>
      <t>28*70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20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</si>
  <si>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rPr>
        <sz val="10"/>
        <color rgb="FF9900FF"/>
        <rFont val="宋体"/>
        <family val="3"/>
        <charset val="134"/>
      </rPr>
      <t>个</t>
    </r>
    <phoneticPr fontId="52" type="noConversion"/>
  </si>
  <si>
    <r>
      <rPr>
        <sz val="10"/>
        <color rgb="FF9900FF"/>
        <rFont val="宋体"/>
        <family val="3"/>
        <charset val="134"/>
      </rPr>
      <t>张</t>
    </r>
    <phoneticPr fontId="52" type="noConversion"/>
  </si>
  <si>
    <r>
      <rPr>
        <sz val="10"/>
        <color theme="1"/>
        <rFont val="宋体"/>
        <family val="3"/>
        <charset val="134"/>
      </rPr>
      <t>变径接头</t>
    </r>
    <phoneticPr fontId="52" type="noConversion"/>
  </si>
  <si>
    <r>
      <t>6</t>
    </r>
    <r>
      <rPr>
        <sz val="11"/>
        <color indexed="8"/>
        <rFont val="宋体"/>
        <family val="3"/>
        <charset val="134"/>
      </rPr>
      <t>㎜</t>
    </r>
    <r>
      <rPr>
        <sz val="11"/>
        <color indexed="8"/>
        <rFont val="Arial Narrow"/>
        <family val="2"/>
      </rPr>
      <t>-8</t>
    </r>
    <r>
      <rPr>
        <sz val="11"/>
        <color indexed="8"/>
        <rFont val="宋体"/>
        <family val="3"/>
        <charset val="134"/>
      </rPr>
      <t>㎜</t>
    </r>
    <phoneticPr fontId="52" type="noConversion"/>
  </si>
  <si>
    <r>
      <t>φ90</t>
    </r>
    <r>
      <rPr>
        <sz val="11"/>
        <color theme="1"/>
        <rFont val="宋体"/>
        <family val="3"/>
        <charset val="134"/>
      </rPr>
      <t>㎜</t>
    </r>
    <phoneticPr fontId="37" type="noConversion"/>
  </si>
  <si>
    <r>
      <rPr>
        <sz val="11"/>
        <color rgb="FF9900FF"/>
        <rFont val="宋体"/>
        <family val="3"/>
        <charset val="134"/>
      </rPr>
      <t>个</t>
    </r>
    <phoneticPr fontId="37" type="noConversion"/>
  </si>
  <si>
    <r>
      <t>BOD5</t>
    </r>
    <r>
      <rPr>
        <sz val="11"/>
        <color theme="1"/>
        <rFont val="宋体"/>
        <family val="3"/>
        <charset val="134"/>
      </rPr>
      <t>曝气装置</t>
    </r>
    <phoneticPr fontId="37" type="noConversion"/>
  </si>
  <si>
    <r>
      <t>pH</t>
    </r>
    <r>
      <rPr>
        <sz val="11"/>
        <color theme="1"/>
        <rFont val="宋体"/>
        <family val="3"/>
        <charset val="134"/>
      </rPr>
      <t>广范试纸</t>
    </r>
    <phoneticPr fontId="37" type="noConversion"/>
  </si>
  <si>
    <r>
      <rPr>
        <sz val="11"/>
        <color theme="1"/>
        <rFont val="宋体"/>
        <family val="3"/>
        <charset val="134"/>
      </rPr>
      <t>上海三爱思</t>
    </r>
    <phoneticPr fontId="36" type="noConversion"/>
  </si>
  <si>
    <r>
      <t>pH</t>
    </r>
    <r>
      <rPr>
        <sz val="11"/>
        <color theme="1"/>
        <rFont val="宋体"/>
        <family val="3"/>
        <charset val="134"/>
      </rPr>
      <t>精密试纸</t>
    </r>
    <phoneticPr fontId="37" type="noConversion"/>
  </si>
  <si>
    <r>
      <rPr>
        <sz val="11"/>
        <color theme="1"/>
        <rFont val="宋体"/>
        <family val="3"/>
        <charset val="134"/>
      </rPr>
      <t>虹吸管</t>
    </r>
    <phoneticPr fontId="37" type="noConversion"/>
  </si>
  <si>
    <r>
      <rPr>
        <sz val="11"/>
        <color theme="1"/>
        <rFont val="宋体"/>
        <family val="3"/>
        <charset val="134"/>
      </rPr>
      <t>搅拌子</t>
    </r>
    <phoneticPr fontId="37" type="noConversion"/>
  </si>
  <si>
    <r>
      <t>M</t>
    </r>
    <r>
      <rPr>
        <sz val="11"/>
        <color theme="1"/>
        <rFont val="宋体"/>
        <family val="3"/>
        <charset val="134"/>
      </rPr>
      <t>加厚</t>
    </r>
    <phoneticPr fontId="37" type="noConversion"/>
  </si>
  <si>
    <r>
      <rPr>
        <sz val="11"/>
        <color theme="1"/>
        <rFont val="宋体"/>
        <family val="3"/>
        <charset val="134"/>
      </rPr>
      <t>尘埃粒子计数器配套打印机</t>
    </r>
    <phoneticPr fontId="36" type="noConversion"/>
  </si>
  <si>
    <r>
      <t>PH</t>
    </r>
    <r>
      <rPr>
        <sz val="11"/>
        <color theme="1"/>
        <rFont val="宋体"/>
        <family val="3"/>
        <charset val="134"/>
      </rPr>
      <t>电极</t>
    </r>
    <phoneticPr fontId="36" type="noConversion"/>
  </si>
  <si>
    <r>
      <rPr>
        <sz val="11"/>
        <rFont val="宋体"/>
        <family val="3"/>
        <charset val="134"/>
      </rPr>
      <t>棕色</t>
    </r>
    <r>
      <rPr>
        <sz val="11"/>
        <rFont val="Arial Narrow"/>
        <family val="2"/>
      </rPr>
      <t>U</t>
    </r>
    <r>
      <rPr>
        <sz val="11"/>
        <rFont val="宋体"/>
        <family val="3"/>
        <charset val="134"/>
      </rPr>
      <t>形多孔玻璃吸收管</t>
    </r>
    <phoneticPr fontId="36" type="noConversion"/>
  </si>
  <si>
    <r>
      <rPr>
        <sz val="11"/>
        <color theme="1"/>
        <rFont val="宋体"/>
        <family val="3"/>
        <charset val="134"/>
      </rPr>
      <t>棕色冲击式吸收管</t>
    </r>
    <phoneticPr fontId="36" type="noConversion"/>
  </si>
  <si>
    <r>
      <rPr>
        <sz val="11"/>
        <color theme="1"/>
        <rFont val="宋体"/>
        <family val="3"/>
        <charset val="134"/>
      </rPr>
      <t>天博</t>
    </r>
    <phoneticPr fontId="36" type="noConversion"/>
  </si>
  <si>
    <r>
      <rPr>
        <sz val="11"/>
        <color theme="1"/>
        <rFont val="宋体"/>
        <family val="3"/>
        <charset val="134"/>
      </rPr>
      <t>波长</t>
    </r>
    <r>
      <rPr>
        <sz val="11"/>
        <color theme="1"/>
        <rFont val="Arial Narrow"/>
        <family val="2"/>
      </rPr>
      <t>231.2</t>
    </r>
    <phoneticPr fontId="36" type="noConversion"/>
  </si>
  <si>
    <r>
      <rPr>
        <sz val="11"/>
        <color theme="1"/>
        <rFont val="宋体"/>
        <family val="3"/>
        <charset val="134"/>
      </rPr>
      <t>棕色玻璃瓶</t>
    </r>
    <phoneticPr fontId="36" type="noConversion"/>
  </si>
  <si>
    <r>
      <t>40</t>
    </r>
    <r>
      <rPr>
        <sz val="11"/>
        <color theme="1"/>
        <rFont val="宋体"/>
        <family val="3"/>
        <charset val="134"/>
      </rPr>
      <t>毫升</t>
    </r>
    <phoneticPr fontId="36" type="noConversion"/>
  </si>
  <si>
    <t>库存</t>
    <phoneticPr fontId="36" type="noConversion"/>
  </si>
  <si>
    <t>备注说明</t>
    <phoneticPr fontId="36" type="noConversion"/>
  </si>
  <si>
    <t>入库备注</t>
    <phoneticPr fontId="36" type="noConversion"/>
  </si>
  <si>
    <t>滴瓶</t>
    <phoneticPr fontId="36" type="noConversion"/>
  </si>
  <si>
    <r>
      <rPr>
        <b/>
        <sz val="11"/>
        <rFont val="宋体"/>
        <family val="3"/>
        <charset val="134"/>
      </rPr>
      <t>库存数据</t>
    </r>
    <phoneticPr fontId="36" type="noConversion"/>
  </si>
  <si>
    <r>
      <t>J4-</t>
    </r>
    <r>
      <rPr>
        <b/>
        <sz val="16"/>
        <color theme="1"/>
        <rFont val="宋体"/>
        <family val="3"/>
        <charset val="134"/>
      </rPr>
      <t>玻璃仪器</t>
    </r>
    <r>
      <rPr>
        <b/>
        <sz val="16"/>
        <color theme="1"/>
        <rFont val="Arial Narrow"/>
        <family val="2"/>
      </rPr>
      <t>-</t>
    </r>
    <r>
      <rPr>
        <b/>
        <sz val="16"/>
        <color theme="1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  <phoneticPr fontId="36" type="noConversion"/>
  </si>
  <si>
    <t>J4</t>
    <phoneticPr fontId="36" type="noConversion"/>
  </si>
  <si>
    <r>
      <t>J6-</t>
    </r>
    <r>
      <rPr>
        <b/>
        <sz val="16"/>
        <color theme="1"/>
        <rFont val="宋体"/>
        <family val="3"/>
        <charset val="134"/>
      </rPr>
      <t>专用物耗</t>
    </r>
    <r>
      <rPr>
        <b/>
        <sz val="16"/>
        <color theme="1"/>
        <rFont val="Arial Narrow"/>
        <family val="2"/>
      </rPr>
      <t>-</t>
    </r>
    <r>
      <rPr>
        <b/>
        <sz val="16"/>
        <color theme="1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  <phoneticPr fontId="36" type="noConversion"/>
  </si>
  <si>
    <r>
      <t>J7-</t>
    </r>
    <r>
      <rPr>
        <b/>
        <sz val="16"/>
        <color theme="1"/>
        <rFont val="宋体"/>
        <family val="3"/>
        <charset val="134"/>
      </rPr>
      <t>备品配件</t>
    </r>
    <r>
      <rPr>
        <b/>
        <sz val="16"/>
        <color theme="1"/>
        <rFont val="Arial Narrow"/>
        <family val="2"/>
      </rPr>
      <t>-</t>
    </r>
    <r>
      <rPr>
        <b/>
        <sz val="16"/>
        <color theme="1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  <phoneticPr fontId="36" type="noConversion"/>
  </si>
  <si>
    <r>
      <t>J8-</t>
    </r>
    <r>
      <rPr>
        <b/>
        <sz val="16"/>
        <color theme="1"/>
        <rFont val="宋体"/>
        <family val="3"/>
        <charset val="134"/>
      </rPr>
      <t>专用工具</t>
    </r>
    <r>
      <rPr>
        <b/>
        <sz val="16"/>
        <color theme="1"/>
        <rFont val="Arial Narrow"/>
        <family val="2"/>
      </rPr>
      <t>-</t>
    </r>
    <r>
      <rPr>
        <b/>
        <sz val="16"/>
        <color theme="1"/>
        <rFont val="宋体"/>
        <family val="3"/>
        <charset val="134"/>
      </rPr>
      <t>消耗性资产盘点核销检索表</t>
    </r>
    <r>
      <rPr>
        <sz val="9"/>
        <color rgb="FFFF0000"/>
        <rFont val="宋体"/>
        <family val="3"/>
        <charset val="134"/>
      </rPr>
      <t>（填表两个重要注意事项：</t>
    </r>
    <r>
      <rPr>
        <sz val="9"/>
        <color rgb="FFFF0000"/>
        <rFont val="Arial Narrow"/>
        <family val="2"/>
      </rPr>
      <t>1.</t>
    </r>
    <r>
      <rPr>
        <sz val="9"/>
        <color rgb="FFFF0000"/>
        <rFont val="宋体"/>
        <family val="3"/>
        <charset val="134"/>
      </rPr>
      <t>插入行后因相关单元格公式为被嵌入，故采取复制上一行到空行后再进行修改非常便利。</t>
    </r>
    <r>
      <rPr>
        <sz val="9"/>
        <color rgb="FFFF0000"/>
        <rFont val="Arial Narrow"/>
        <family val="2"/>
      </rPr>
      <t>2.</t>
    </r>
    <r>
      <rPr>
        <sz val="9"/>
        <color rgb="FFFF0000"/>
        <rFont val="宋体"/>
        <family val="3"/>
        <charset val="134"/>
      </rPr>
      <t>仅首行被保护，故第二行之后的公式若不小心删除，可由第一行复制。）</t>
    </r>
    <phoneticPr fontId="36" type="noConversion"/>
  </si>
  <si>
    <t>1.14*1.80</t>
    <phoneticPr fontId="36" type="noConversion"/>
  </si>
  <si>
    <t>1.52*1.80</t>
    <phoneticPr fontId="36" type="noConversion"/>
  </si>
  <si>
    <t>3.17*1.80</t>
    <phoneticPr fontId="36" type="noConversion"/>
  </si>
  <si>
    <t>50L</t>
    <phoneticPr fontId="36" type="noConversion"/>
  </si>
  <si>
    <r>
      <t>1L</t>
    </r>
    <r>
      <rPr>
        <sz val="11"/>
        <color theme="1"/>
        <rFont val="宋体"/>
        <family val="3"/>
        <charset val="134"/>
      </rPr>
      <t>，特厚款，带一个</t>
    </r>
    <r>
      <rPr>
        <sz val="11"/>
        <color theme="1"/>
        <rFont val="Arial Narrow"/>
        <family val="2"/>
      </rPr>
      <t>PIFE</t>
    </r>
    <r>
      <rPr>
        <sz val="11"/>
        <color theme="1"/>
        <rFont val="宋体"/>
        <family val="3"/>
        <charset val="134"/>
      </rPr>
      <t>阀门</t>
    </r>
    <phoneticPr fontId="36" type="noConversion"/>
  </si>
  <si>
    <r>
      <t>1L</t>
    </r>
    <r>
      <rPr>
        <sz val="11"/>
        <color theme="1"/>
        <rFont val="宋体"/>
        <family val="3"/>
        <charset val="134"/>
      </rPr>
      <t>，特厚款，带一个</t>
    </r>
    <r>
      <rPr>
        <sz val="11"/>
        <color theme="1"/>
        <rFont val="Arial Narrow"/>
        <family val="2"/>
      </rPr>
      <t>PIPP</t>
    </r>
    <r>
      <rPr>
        <sz val="11"/>
        <color theme="1"/>
        <rFont val="宋体"/>
        <family val="3"/>
        <charset val="134"/>
      </rPr>
      <t>阀门</t>
    </r>
    <phoneticPr fontId="36" type="noConversion"/>
  </si>
  <si>
    <t>3L</t>
    <phoneticPr fontId="36" type="noConversion"/>
  </si>
  <si>
    <r>
      <rPr>
        <sz val="11"/>
        <color theme="1"/>
        <rFont val="宋体"/>
        <family val="3"/>
        <charset val="134"/>
      </rPr>
      <t>臭气袋，</t>
    </r>
    <r>
      <rPr>
        <sz val="11"/>
        <color theme="1"/>
        <rFont val="Arial Narrow"/>
        <family val="2"/>
      </rPr>
      <t>10L</t>
    </r>
    <r>
      <rPr>
        <sz val="11"/>
        <color theme="1"/>
        <rFont val="宋体"/>
        <family val="3"/>
        <charset val="134"/>
      </rPr>
      <t>，胶帽款</t>
    </r>
    <phoneticPr fontId="36" type="noConversion"/>
  </si>
  <si>
    <r>
      <rPr>
        <sz val="11"/>
        <color theme="1"/>
        <rFont val="宋体"/>
        <family val="3"/>
        <charset val="134"/>
      </rPr>
      <t>臭气袋，</t>
    </r>
    <r>
      <rPr>
        <sz val="11"/>
        <color theme="1"/>
        <rFont val="Arial Narrow"/>
        <family val="2"/>
      </rPr>
      <t>10L</t>
    </r>
    <r>
      <rPr>
        <sz val="11"/>
        <color theme="1"/>
        <rFont val="宋体"/>
        <family val="3"/>
        <charset val="134"/>
      </rPr>
      <t>，金属接头</t>
    </r>
    <phoneticPr fontId="36" type="noConversion"/>
  </si>
  <si>
    <r>
      <rPr>
        <sz val="11"/>
        <color theme="1"/>
        <rFont val="宋体"/>
        <family val="3"/>
        <charset val="134"/>
      </rPr>
      <t>臭气袋，</t>
    </r>
    <r>
      <rPr>
        <sz val="11"/>
        <color theme="1"/>
        <rFont val="Arial Narrow"/>
        <family val="2"/>
      </rPr>
      <t>5L</t>
    </r>
    <r>
      <rPr>
        <sz val="11"/>
        <color theme="1"/>
        <rFont val="宋体"/>
        <family val="3"/>
        <charset val="134"/>
      </rPr>
      <t>，胶帽款</t>
    </r>
    <phoneticPr fontId="36" type="noConversion"/>
  </si>
  <si>
    <r>
      <rPr>
        <sz val="11"/>
        <color theme="1"/>
        <rFont val="宋体"/>
        <family val="3"/>
        <charset val="134"/>
      </rPr>
      <t>臭气袋，</t>
    </r>
    <r>
      <rPr>
        <sz val="11"/>
        <color theme="1"/>
        <rFont val="Arial Narrow"/>
        <family val="2"/>
      </rPr>
      <t>3L</t>
    </r>
    <r>
      <rPr>
        <sz val="11"/>
        <color theme="1"/>
        <rFont val="宋体"/>
        <family val="3"/>
        <charset val="134"/>
      </rPr>
      <t>，胶帽款</t>
    </r>
    <phoneticPr fontId="36" type="noConversion"/>
  </si>
  <si>
    <r>
      <rPr>
        <sz val="11"/>
        <color theme="1"/>
        <rFont val="宋体"/>
        <family val="3"/>
        <charset val="134"/>
      </rPr>
      <t>臭气袋，</t>
    </r>
    <r>
      <rPr>
        <sz val="11"/>
        <color theme="1"/>
        <rFont val="Arial Narrow"/>
        <family val="2"/>
      </rPr>
      <t>1L</t>
    </r>
    <r>
      <rPr>
        <sz val="11"/>
        <color theme="1"/>
        <rFont val="宋体"/>
        <family val="3"/>
        <charset val="134"/>
      </rPr>
      <t>，胶帽款</t>
    </r>
    <phoneticPr fontId="36" type="noConversion"/>
  </si>
  <si>
    <t>2#</t>
    <phoneticPr fontId="36" type="noConversion"/>
  </si>
  <si>
    <t>3#</t>
    <phoneticPr fontId="36" type="noConversion"/>
  </si>
  <si>
    <r>
      <t>6*120</t>
    </r>
    <r>
      <rPr>
        <sz val="11"/>
        <color theme="1"/>
        <rFont val="宋体"/>
        <family val="3"/>
        <charset val="134"/>
      </rPr>
      <t>㎜，</t>
    </r>
    <r>
      <rPr>
        <sz val="11"/>
        <color theme="1"/>
        <rFont val="Arial Narrow"/>
        <family val="2"/>
      </rPr>
      <t>50/100mg</t>
    </r>
    <phoneticPr fontId="36" type="noConversion"/>
  </si>
  <si>
    <r>
      <t>1/4*3.5</t>
    </r>
    <r>
      <rPr>
        <sz val="11"/>
        <color theme="1"/>
        <rFont val="宋体"/>
        <family val="3"/>
        <charset val="134"/>
      </rPr>
      <t>英寸，带金属及接头</t>
    </r>
    <phoneticPr fontId="36" type="noConversion"/>
  </si>
  <si>
    <r>
      <t>1/4*3.6</t>
    </r>
    <r>
      <rPr>
        <sz val="11"/>
        <color theme="1"/>
        <rFont val="宋体"/>
        <family val="3"/>
        <charset val="134"/>
      </rPr>
      <t>英寸，带金属及接头</t>
    </r>
    <phoneticPr fontId="36" type="noConversion"/>
  </si>
  <si>
    <t>YFG-211201-MYM-J6-001</t>
    <phoneticPr fontId="36" type="noConversion"/>
  </si>
  <si>
    <t>YFG-211201-MYM-J6-002</t>
  </si>
  <si>
    <t>YFG-211201-MYM-J6-003</t>
  </si>
  <si>
    <t>购置</t>
  </si>
  <si>
    <t>待定</t>
  </si>
  <si>
    <t>只</t>
  </si>
  <si>
    <t>YXY-211208-MYM-J6-001</t>
    <phoneticPr fontId="36" type="noConversion"/>
  </si>
  <si>
    <t>YXY-211208-MYM-J6-002</t>
  </si>
  <si>
    <t>YXY-211208-MYM-J6-003</t>
  </si>
  <si>
    <t>YXY-211208-MYM-J6-004</t>
  </si>
  <si>
    <t>YXY-211208-MYM-J6-005</t>
  </si>
  <si>
    <t>YXY-211208-MYM-J6-006</t>
  </si>
  <si>
    <t>YXY-211208-MYM-J6-007</t>
  </si>
  <si>
    <t>YXY-211208-MYM-J6-008</t>
  </si>
  <si>
    <t>YXY-211208-MYM-J6-009</t>
  </si>
  <si>
    <t>YXY-211208-MYM-J6-010</t>
  </si>
  <si>
    <t>YXY-211208-MYM-J6-013</t>
  </si>
  <si>
    <t>YXY-211208-MYM-J6-014</t>
  </si>
  <si>
    <t>YXY-211208-MYM-J6-015</t>
  </si>
  <si>
    <t>YXY-211208-MYM-J6-016</t>
  </si>
  <si>
    <t>QDJ-211221-MYM-J6-001</t>
    <phoneticPr fontId="36" type="noConversion"/>
  </si>
  <si>
    <t>QDJ-211221-MYM-J6-003</t>
  </si>
  <si>
    <t>其它</t>
  </si>
  <si>
    <t>支</t>
  </si>
  <si>
    <t>件</t>
  </si>
  <si>
    <t>副</t>
  </si>
  <si>
    <t>MYM-211201-YF-J6-001</t>
    <phoneticPr fontId="36" type="noConversion"/>
  </si>
  <si>
    <r>
      <t>MYM-201214-SCL-J6-004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MYM-201229-SCL-J6-001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MYM-210407-QJW-J6-001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MYM-210520-QJW-J6-019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MYM-211213-WJS-J6-001</t>
    </r>
    <phoneticPr fontId="36" type="noConversion"/>
  </si>
  <si>
    <t>YFG-210524-MYM-J6-001</t>
    <phoneticPr fontId="36" type="noConversion"/>
  </si>
  <si>
    <r>
      <t>MYM-210525-QJW-J6-005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MYM-210812-QJW-J6-001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MYM-210922-LJ-J6-004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MYM-211020-LJ-J6-001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MYM-211213-WJS-J6-002</t>
    </r>
    <phoneticPr fontId="36" type="noConversion"/>
  </si>
  <si>
    <r>
      <t>MYM-200513-CYX-J6-003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MYM-200601-SHY-J6-001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MYM-210927-LJ-J6-001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MYM-211229-WJS-J6-001</t>
    </r>
    <phoneticPr fontId="36" type="noConversion"/>
  </si>
  <si>
    <t>棕色样品瓶</t>
    <phoneticPr fontId="36" type="noConversion"/>
  </si>
  <si>
    <t>40ml</t>
    <phoneticPr fontId="36" type="noConversion"/>
  </si>
  <si>
    <t>返还</t>
  </si>
  <si>
    <t>QDJ-220111-MYM-J4-001</t>
    <phoneticPr fontId="36" type="noConversion"/>
  </si>
  <si>
    <r>
      <rPr>
        <sz val="11"/>
        <color theme="1"/>
        <rFont val="宋体"/>
        <family val="3"/>
        <charset val="134"/>
      </rPr>
      <t>天津中兴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金步安</t>
    </r>
    <phoneticPr fontId="36" type="noConversion"/>
  </si>
  <si>
    <t>12KV</t>
    <phoneticPr fontId="36" type="noConversion"/>
  </si>
  <si>
    <t>QDJ-220111-MYM-J6-004</t>
  </si>
  <si>
    <t>QDJ-220111-MYM-J6-001</t>
    <phoneticPr fontId="36" type="noConversion"/>
  </si>
  <si>
    <r>
      <t>AD95-1</t>
    </r>
    <r>
      <rPr>
        <sz val="11"/>
        <color theme="1"/>
        <rFont val="宋体"/>
        <family val="3"/>
        <charset val="134"/>
      </rPr>
      <t>型</t>
    </r>
    <phoneticPr fontId="36" type="noConversion"/>
  </si>
  <si>
    <t>QDJ-220111-MYM-J6-002</t>
  </si>
  <si>
    <t>双</t>
  </si>
  <si>
    <t>袋</t>
  </si>
  <si>
    <t>QDJ-220111-MYM-J6-003</t>
  </si>
  <si>
    <r>
      <rPr>
        <sz val="11"/>
        <color theme="1"/>
        <rFont val="宋体"/>
        <family val="3"/>
        <charset val="134"/>
      </rPr>
      <t>宽</t>
    </r>
    <r>
      <rPr>
        <sz val="11"/>
        <color theme="1"/>
        <rFont val="Arial Narrow"/>
        <family val="2"/>
      </rPr>
      <t>0.05</t>
    </r>
    <r>
      <rPr>
        <sz val="11"/>
        <color theme="1"/>
        <rFont val="宋体"/>
        <family val="3"/>
        <charset val="134"/>
      </rPr>
      <t>米</t>
    </r>
    <phoneticPr fontId="36" type="noConversion"/>
  </si>
  <si>
    <t>QDJ-220111-MYM-J6-005</t>
  </si>
  <si>
    <t>QDJ-220111-MYM-J6-006</t>
  </si>
  <si>
    <t>QDJ-220111-MYM-J6-007</t>
  </si>
  <si>
    <r>
      <t>ABS</t>
    </r>
    <r>
      <rPr>
        <sz val="11"/>
        <color theme="1"/>
        <rFont val="宋体"/>
        <family val="3"/>
        <charset val="134"/>
      </rPr>
      <t>工程塑料</t>
    </r>
    <r>
      <rPr>
        <sz val="11"/>
        <color theme="1"/>
        <rFont val="Arial Narrow"/>
        <family val="2"/>
      </rPr>
      <t>+</t>
    </r>
    <r>
      <rPr>
        <sz val="11"/>
        <color theme="1"/>
        <rFont val="宋体"/>
        <family val="3"/>
        <charset val="134"/>
      </rPr>
      <t>铁</t>
    </r>
    <phoneticPr fontId="36" type="noConversion"/>
  </si>
  <si>
    <t>QDJ-220111-MYM-J6-008</t>
  </si>
  <si>
    <r>
      <rPr>
        <sz val="11"/>
        <color theme="1"/>
        <rFont val="宋体"/>
        <family val="3"/>
        <charset val="134"/>
      </rPr>
      <t>一次性防滑</t>
    </r>
    <r>
      <rPr>
        <sz val="11"/>
        <color theme="1"/>
        <rFont val="Arial Narrow"/>
        <family val="2"/>
      </rPr>
      <t>PE</t>
    </r>
    <r>
      <rPr>
        <sz val="11"/>
        <color theme="1"/>
        <rFont val="宋体"/>
        <family val="3"/>
        <charset val="134"/>
      </rPr>
      <t>手套</t>
    </r>
    <phoneticPr fontId="36" type="noConversion"/>
  </si>
  <si>
    <r>
      <rPr>
        <sz val="11"/>
        <color theme="1"/>
        <rFont val="宋体"/>
        <family val="3"/>
        <charset val="134"/>
      </rPr>
      <t>均码，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  <phoneticPr fontId="36" type="noConversion"/>
  </si>
  <si>
    <t>QDJ-220111-MYM-J6-009</t>
  </si>
  <si>
    <r>
      <t>6*80</t>
    </r>
    <r>
      <rPr>
        <sz val="11"/>
        <color theme="1"/>
        <rFont val="宋体"/>
        <family val="3"/>
        <charset val="134"/>
      </rPr>
      <t>，溶剂解析型，</t>
    </r>
    <r>
      <rPr>
        <sz val="11"/>
        <color theme="1"/>
        <rFont val="Arial Narrow"/>
        <family val="2"/>
      </rPr>
      <t>50/100mg</t>
    </r>
    <r>
      <rPr>
        <sz val="11"/>
        <color theme="1"/>
        <rFont val="宋体"/>
        <family val="3"/>
        <charset val="134"/>
      </rPr>
      <t>，中性</t>
    </r>
    <phoneticPr fontId="36" type="noConversion"/>
  </si>
  <si>
    <t>QDJ-220111-MYM-J6-011</t>
  </si>
  <si>
    <r>
      <t>12</t>
    </r>
    <r>
      <rPr>
        <sz val="11"/>
        <color theme="1"/>
        <rFont val="宋体"/>
        <family val="3"/>
        <charset val="134"/>
      </rPr>
      <t>孔（</t>
    </r>
    <r>
      <rPr>
        <sz val="11"/>
        <color theme="1"/>
        <rFont val="Arial Narrow"/>
        <family val="2"/>
      </rPr>
      <t>50ml</t>
    </r>
    <r>
      <rPr>
        <sz val="11"/>
        <color theme="1"/>
        <rFont val="宋体"/>
        <family val="3"/>
        <charset val="134"/>
      </rPr>
      <t>）</t>
    </r>
    <phoneticPr fontId="36" type="noConversion"/>
  </si>
  <si>
    <r>
      <t>MYM-201218-SCL-J6-002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MYM-210324-SCL-J6-001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MYM-210901-RL-J6-004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MYM-220112-WJS-J6-001</t>
    </r>
    <phoneticPr fontId="36" type="noConversion"/>
  </si>
  <si>
    <t>MYM-220112-WJS-J6-003</t>
    <phoneticPr fontId="36" type="noConversion"/>
  </si>
  <si>
    <t>桶</t>
  </si>
  <si>
    <t>MYM-220112-MYM-J6-001</t>
    <phoneticPr fontId="36" type="noConversion"/>
  </si>
  <si>
    <r>
      <t>G8</t>
    </r>
    <r>
      <rPr>
        <sz val="11"/>
        <color indexed="8"/>
        <rFont val="宋体"/>
        <family val="3"/>
        <charset val="134"/>
      </rPr>
      <t>储物箱</t>
    </r>
    <phoneticPr fontId="36" type="noConversion"/>
  </si>
  <si>
    <t>MYM-220112-MYM-J6-004</t>
    <phoneticPr fontId="36" type="noConversion"/>
  </si>
  <si>
    <t>MYM-220112-MYM-J6-005</t>
  </si>
  <si>
    <r>
      <t>G3</t>
    </r>
    <r>
      <rPr>
        <sz val="11"/>
        <color indexed="8"/>
        <rFont val="宋体"/>
        <family val="3"/>
        <charset val="134"/>
      </rPr>
      <t>储物箱</t>
    </r>
    <phoneticPr fontId="36" type="noConversion"/>
  </si>
  <si>
    <r>
      <t>G9</t>
    </r>
    <r>
      <rPr>
        <sz val="11"/>
        <color indexed="8"/>
        <rFont val="宋体"/>
        <family val="3"/>
        <charset val="134"/>
      </rPr>
      <t>储物箱</t>
    </r>
    <phoneticPr fontId="36" type="noConversion"/>
  </si>
  <si>
    <r>
      <t>G9</t>
    </r>
    <r>
      <rPr>
        <sz val="11"/>
        <color theme="1"/>
        <rFont val="宋体"/>
        <family val="3"/>
        <charset val="134"/>
      </rPr>
      <t>储物箱</t>
    </r>
    <phoneticPr fontId="36" type="noConversion"/>
  </si>
  <si>
    <t>MYM-220112-MYM-J6-006</t>
    <phoneticPr fontId="36" type="noConversion"/>
  </si>
  <si>
    <r>
      <t>G1</t>
    </r>
    <r>
      <rPr>
        <sz val="11"/>
        <color indexed="8"/>
        <rFont val="宋体"/>
        <family val="3"/>
        <charset val="134"/>
      </rPr>
      <t>储物箱</t>
    </r>
    <phoneticPr fontId="36" type="noConversion"/>
  </si>
  <si>
    <t>MYM-210622-QJW-J6-005;MYM-220112-MYM-J6-007</t>
    <phoneticPr fontId="36" type="noConversion"/>
  </si>
  <si>
    <r>
      <t>3m</t>
    </r>
    <r>
      <rPr>
        <sz val="11"/>
        <color indexed="8"/>
        <rFont val="宋体"/>
        <family val="3"/>
        <charset val="134"/>
      </rPr>
      <t>，黄色</t>
    </r>
    <phoneticPr fontId="36" type="noConversion"/>
  </si>
  <si>
    <t>JC-QT-1501-015/016</t>
    <phoneticPr fontId="36" type="noConversion"/>
  </si>
  <si>
    <t>30ml</t>
    <phoneticPr fontId="36" type="noConversion"/>
  </si>
  <si>
    <r>
      <t>MYM-200905-SCL-J6-001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MYM-220112-MYM-J6-010</t>
    </r>
    <phoneticPr fontId="36" type="noConversion"/>
  </si>
  <si>
    <r>
      <t>20mm(</t>
    </r>
    <r>
      <rPr>
        <sz val="11"/>
        <rFont val="宋体"/>
        <family val="3"/>
        <charset val="134"/>
      </rPr>
      <t>白瓶和蓝瓶）</t>
    </r>
    <phoneticPr fontId="36" type="noConversion"/>
  </si>
  <si>
    <r>
      <rPr>
        <sz val="11"/>
        <color indexed="8"/>
        <rFont val="宋体"/>
        <family val="3"/>
        <charset val="134"/>
      </rPr>
      <t>厚</t>
    </r>
    <r>
      <rPr>
        <sz val="11"/>
        <color indexed="8"/>
        <rFont val="Arial Narrow"/>
        <family val="2"/>
      </rPr>
      <t>14</t>
    </r>
    <r>
      <rPr>
        <sz val="11"/>
        <color indexed="8"/>
        <rFont val="宋体"/>
        <family val="3"/>
        <charset val="134"/>
      </rPr>
      <t>薄</t>
    </r>
    <r>
      <rPr>
        <sz val="11"/>
        <color indexed="8"/>
        <rFont val="Arial Narrow"/>
        <family val="2"/>
      </rPr>
      <t>15</t>
    </r>
    <phoneticPr fontId="36" type="noConversion"/>
  </si>
  <si>
    <t>具螺纹口试管（黑色盖子）</t>
    <phoneticPr fontId="36" type="noConversion"/>
  </si>
  <si>
    <t>玻璃注射器（无针头）</t>
    <phoneticPr fontId="36" type="noConversion"/>
  </si>
  <si>
    <r>
      <t>MYM-200724-SCL-J4-002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MYM-201208-SCL-J4-005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MYM-210303-SCL-J4-001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MYM-210816-J4-002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MYM-220110-WJS-J4-002</t>
    </r>
    <phoneticPr fontId="36" type="noConversion"/>
  </si>
  <si>
    <t>大型气泡吸收管</t>
    <phoneticPr fontId="36" type="noConversion"/>
  </si>
  <si>
    <r>
      <t>MYM-201221-SCL-J4-003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MYM-220110-WJS-J4-001</t>
    </r>
    <phoneticPr fontId="36" type="noConversion"/>
  </si>
  <si>
    <r>
      <t>2050</t>
    </r>
    <r>
      <rPr>
        <sz val="11"/>
        <color indexed="8"/>
        <rFont val="宋体"/>
        <family val="3"/>
        <charset val="134"/>
      </rPr>
      <t>型大气采样仪切割头下螺旋口处密封圈</t>
    </r>
    <phoneticPr fontId="36" type="noConversion"/>
  </si>
  <si>
    <t>Wash liquid reservoir</t>
  </si>
  <si>
    <r>
      <rPr>
        <sz val="11"/>
        <color theme="1"/>
        <rFont val="宋体"/>
        <family val="3"/>
        <charset val="134"/>
      </rPr>
      <t>塑料盘</t>
    </r>
    <r>
      <rPr>
        <sz val="11"/>
        <color theme="1"/>
        <rFont val="Times New Roman"/>
        <family val="1"/>
      </rPr>
      <t xml:space="preserve"> wellplate 96</t>
    </r>
    <phoneticPr fontId="37" type="noConversion"/>
  </si>
  <si>
    <t>电脑网线</t>
  </si>
  <si>
    <t>进样针</t>
  </si>
  <si>
    <t>AFS炉丝加持套</t>
  </si>
  <si>
    <t>AFS反应块用连接头</t>
  </si>
  <si>
    <t>AFS聚四氟接头</t>
  </si>
  <si>
    <t>AFS过渡连接管</t>
  </si>
  <si>
    <r>
      <t>AFS</t>
    </r>
    <r>
      <rPr>
        <sz val="11"/>
        <color theme="1"/>
        <rFont val="宋体"/>
        <family val="3"/>
        <charset val="134"/>
      </rPr>
      <t>硅胶圈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大）</t>
    </r>
    <phoneticPr fontId="37" type="noConversion"/>
  </si>
  <si>
    <r>
      <t>AFS</t>
    </r>
    <r>
      <rPr>
        <sz val="11"/>
        <color theme="1"/>
        <rFont val="宋体"/>
        <family val="3"/>
        <charset val="134"/>
      </rPr>
      <t>硅胶圈（小）</t>
    </r>
    <phoneticPr fontId="37" type="noConversion"/>
  </si>
  <si>
    <t>连接头</t>
  </si>
  <si>
    <t>AFS电炉丝</t>
  </si>
  <si>
    <t>气液分离器（玻璃）</t>
    <phoneticPr fontId="37" type="noConversion"/>
  </si>
  <si>
    <t>塑料盒</t>
  </si>
  <si>
    <t>硅胶管</t>
    <phoneticPr fontId="37" type="noConversion"/>
  </si>
  <si>
    <t>进样瓶</t>
    <phoneticPr fontId="37" type="noConversion"/>
  </si>
  <si>
    <t>电源线</t>
  </si>
  <si>
    <t>ICP-MS+GC-MS电源线、数据线</t>
  </si>
  <si>
    <r>
      <rPr>
        <sz val="11"/>
        <color theme="1"/>
        <rFont val="宋体"/>
        <family val="3"/>
        <charset val="134"/>
      </rPr>
      <t>恒温扩增荧光检测仪</t>
    </r>
    <r>
      <rPr>
        <sz val="11"/>
        <color theme="1"/>
        <rFont val="Times New Roman"/>
        <family val="1"/>
      </rPr>
      <t>0.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Times New Roman"/>
        <family val="1"/>
      </rPr>
      <t>ml</t>
    </r>
    <r>
      <rPr>
        <sz val="11"/>
        <color theme="1"/>
        <rFont val="宋体"/>
        <family val="3"/>
        <charset val="134"/>
      </rPr>
      <t>转头</t>
    </r>
  </si>
  <si>
    <r>
      <rPr>
        <sz val="11"/>
        <color theme="1"/>
        <rFont val="宋体"/>
        <family val="3"/>
        <charset val="134"/>
      </rPr>
      <t>恒温扩增荧光检测仪</t>
    </r>
    <r>
      <rPr>
        <sz val="11"/>
        <color theme="1"/>
        <rFont val="Times New Roman"/>
        <family val="1"/>
      </rPr>
      <t>0.5ml</t>
    </r>
    <r>
      <rPr>
        <sz val="11"/>
        <color theme="1"/>
        <rFont val="宋体"/>
        <family val="3"/>
        <charset val="134"/>
      </rPr>
      <t>转头</t>
    </r>
  </si>
  <si>
    <t>恒温扩增荧光检测仪USB连接线</t>
  </si>
  <si>
    <t>氢气气瓶减压阀转接头（胶管型）</t>
  </si>
  <si>
    <r>
      <t>3A</t>
    </r>
    <r>
      <rPr>
        <sz val="11"/>
        <color theme="1"/>
        <rFont val="宋体"/>
        <family val="3"/>
        <charset val="134"/>
      </rPr>
      <t>保险管</t>
    </r>
  </si>
  <si>
    <t>保险丝</t>
  </si>
  <si>
    <t>蓝塑料管</t>
  </si>
  <si>
    <t>无色透明塑料管</t>
  </si>
  <si>
    <t>波纹管</t>
  </si>
  <si>
    <t>橡胶管</t>
  </si>
  <si>
    <t>皂膜流量计</t>
  </si>
  <si>
    <t>黑挡板</t>
  </si>
  <si>
    <t>石英比色皿10㎜</t>
  </si>
  <si>
    <t>波柄六角匙</t>
  </si>
  <si>
    <t>定量功能扩展卡</t>
  </si>
  <si>
    <t>主机电源保险管</t>
  </si>
  <si>
    <t>铜管</t>
  </si>
  <si>
    <t>泵油</t>
  </si>
  <si>
    <t>表头配件</t>
  </si>
  <si>
    <t>冷水机保温管</t>
  </si>
  <si>
    <t>泵管</t>
  </si>
  <si>
    <t>黑色圆形橡胶块</t>
  </si>
  <si>
    <t>纯水机配件</t>
  </si>
  <si>
    <t>100uL/min,Self-Aspiration Capillary for Microflow ST Nebulizer(0.25mm i.d.)</t>
  </si>
  <si>
    <t>kegeleinsatz 1/16",Edelstahl versilbert</t>
  </si>
  <si>
    <t>klemmring fuer AD 1/16"</t>
  </si>
  <si>
    <t>Lehre Form der Spule</t>
  </si>
  <si>
    <t>BARBED ADAPTER 1MM PEEK</t>
  </si>
  <si>
    <t>Schelle 60-80mm</t>
  </si>
  <si>
    <t>O Ring 1/16*5.32id PTFE Coated</t>
  </si>
  <si>
    <t>UEBERWURFMU.102-1/16 SST</t>
  </si>
  <si>
    <t>YCONNECTOR 0.5MM PEEK三通</t>
  </si>
  <si>
    <t>stutzhulse AD 6/id4</t>
  </si>
  <si>
    <t>Klemmring φ6</t>
  </si>
  <si>
    <t>气压阀接头</t>
  </si>
  <si>
    <t>垫圈</t>
  </si>
  <si>
    <t>INLINE FILKTER 5MICRON12MM</t>
  </si>
  <si>
    <t>电阻丝</t>
  </si>
  <si>
    <t>警示标签</t>
  </si>
  <si>
    <t>衬管</t>
  </si>
  <si>
    <t>吹扫捕集阱</t>
  </si>
  <si>
    <t>石墨垫</t>
  </si>
  <si>
    <t>O形圈，各种规格</t>
  </si>
  <si>
    <t>封口螺帽</t>
  </si>
  <si>
    <t>堵头</t>
  </si>
  <si>
    <t>不锈钢丝</t>
  </si>
  <si>
    <t>喷嘴拆装扳手</t>
  </si>
  <si>
    <t>喷嘴密封石墨垫圈</t>
  </si>
  <si>
    <t>小胶头</t>
  </si>
  <si>
    <t>隔热棉</t>
  </si>
  <si>
    <r>
      <rPr>
        <sz val="11"/>
        <color theme="1"/>
        <rFont val="Times New Roman"/>
        <family val="1"/>
      </rPr>
      <t>GC</t>
    </r>
    <r>
      <rPr>
        <sz val="11"/>
        <color theme="1"/>
        <rFont val="宋体"/>
        <family val="3"/>
        <charset val="134"/>
      </rPr>
      <t>进样模块</t>
    </r>
  </si>
  <si>
    <t>蓝色瓶盖</t>
  </si>
  <si>
    <t>定量环</t>
  </si>
  <si>
    <r>
      <rPr>
        <sz val="11"/>
        <color theme="1"/>
        <rFont val="Times New Roman"/>
        <family val="1"/>
      </rPr>
      <t>ICP-MS</t>
    </r>
    <r>
      <rPr>
        <sz val="11"/>
        <color theme="1"/>
        <rFont val="宋体"/>
        <family val="3"/>
        <charset val="134"/>
      </rPr>
      <t>进样管</t>
    </r>
  </si>
  <si>
    <r>
      <rPr>
        <sz val="11"/>
        <color theme="1"/>
        <rFont val="宋体"/>
        <family val="3"/>
        <charset val="134"/>
      </rPr>
      <t>白色进样瓶</t>
    </r>
    <r>
      <rPr>
        <sz val="11"/>
        <color theme="1"/>
        <rFont val="Times New Roman"/>
        <family val="1"/>
      </rPr>
      <t>10ml</t>
    </r>
  </si>
  <si>
    <t>进样瓶盖</t>
  </si>
  <si>
    <r>
      <rPr>
        <sz val="11"/>
        <color theme="1"/>
        <rFont val="宋体"/>
        <family val="3"/>
        <charset val="134"/>
      </rPr>
      <t>进样瓶垫片样品</t>
    </r>
    <r>
      <rPr>
        <sz val="11"/>
        <color theme="1"/>
        <rFont val="Times New Roman"/>
        <family val="1"/>
      </rPr>
      <t>8*1.5mm white PTFE/red silicone septa</t>
    </r>
  </si>
  <si>
    <r>
      <rPr>
        <sz val="11"/>
        <color theme="1"/>
        <rFont val="宋体"/>
        <family val="3"/>
        <charset val="134"/>
      </rPr>
      <t>进样瓶样品</t>
    </r>
    <r>
      <rPr>
        <sz val="11"/>
        <color theme="1"/>
        <rFont val="Times New Roman"/>
        <family val="1"/>
      </rPr>
      <t>2ml</t>
    </r>
  </si>
  <si>
    <t>塑料样品瓶</t>
  </si>
  <si>
    <t>Cone TOOLS</t>
  </si>
  <si>
    <t>Clip Hose</t>
  </si>
  <si>
    <t>Label Warning-Drain vessel</t>
  </si>
  <si>
    <t>Wash ST. CH M4X8</t>
  </si>
  <si>
    <t xml:space="preserve">Screw Cap HD </t>
  </si>
  <si>
    <t>螺丝</t>
  </si>
  <si>
    <t>Gas Stop End</t>
  </si>
  <si>
    <t>Gas Stop End 1/4</t>
  </si>
  <si>
    <t>银空心阴极灯</t>
  </si>
  <si>
    <t>钡空心阴极灯</t>
  </si>
  <si>
    <t>铍空心阴极灯</t>
  </si>
  <si>
    <t>小盒子进样针（小软管）</t>
  </si>
  <si>
    <r>
      <rPr>
        <sz val="11"/>
        <color theme="1"/>
        <rFont val="宋体"/>
        <family val="3"/>
        <charset val="134"/>
      </rPr>
      <t>电源线</t>
    </r>
    <r>
      <rPr>
        <sz val="11"/>
        <color theme="1"/>
        <rFont val="Times New Roman"/>
        <family val="1"/>
      </rPr>
      <t xml:space="preserve"> </t>
    </r>
    <phoneticPr fontId="37" type="noConversion"/>
  </si>
  <si>
    <r>
      <rPr>
        <sz val="11"/>
        <color theme="1"/>
        <rFont val="宋体"/>
        <family val="3"/>
        <charset val="134"/>
      </rPr>
      <t>电源线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  <scheme val="minor"/>
      </rPr>
      <t/>
    </r>
    <phoneticPr fontId="37" type="noConversion"/>
  </si>
  <si>
    <t>酶标分析仪保险丝</t>
    <phoneticPr fontId="37" type="noConversion"/>
  </si>
  <si>
    <r>
      <t>ZF-630</t>
    </r>
    <r>
      <rPr>
        <sz val="11"/>
        <color theme="1"/>
        <rFont val="宋体"/>
        <family val="3"/>
        <charset val="134"/>
      </rPr>
      <t>仪器</t>
    </r>
    <r>
      <rPr>
        <sz val="11"/>
        <color theme="1"/>
        <rFont val="宋体"/>
        <family val="3"/>
        <charset val="134"/>
      </rPr>
      <t>保险丝</t>
    </r>
    <phoneticPr fontId="37" type="noConversion"/>
  </si>
  <si>
    <r>
      <t>ZF-560</t>
    </r>
    <r>
      <rPr>
        <sz val="11"/>
        <color theme="1"/>
        <rFont val="宋体"/>
        <family val="3"/>
        <charset val="134"/>
      </rPr>
      <t>仪器触摸笔</t>
    </r>
    <phoneticPr fontId="37" type="noConversion"/>
  </si>
  <si>
    <r>
      <t>ZF-560</t>
    </r>
    <r>
      <rPr>
        <sz val="11"/>
        <color theme="1"/>
        <rFont val="宋体"/>
        <family val="3"/>
        <charset val="134"/>
      </rPr>
      <t>仪器保险丝</t>
    </r>
    <phoneticPr fontId="37" type="noConversion"/>
  </si>
  <si>
    <r>
      <t>ZF-100</t>
    </r>
    <r>
      <rPr>
        <sz val="11"/>
        <color theme="1"/>
        <rFont val="宋体"/>
        <family val="3"/>
        <charset val="134"/>
      </rPr>
      <t>通信线</t>
    </r>
    <phoneticPr fontId="37" type="noConversion"/>
  </si>
  <si>
    <r>
      <t>0.2A</t>
    </r>
    <r>
      <rPr>
        <sz val="11"/>
        <color theme="1"/>
        <rFont val="宋体"/>
        <family val="3"/>
        <charset val="134"/>
      </rPr>
      <t>保险管</t>
    </r>
    <phoneticPr fontId="37" type="noConversion"/>
  </si>
  <si>
    <t>MOUTH MIRROR</t>
    <phoneticPr fontId="37" type="noConversion"/>
  </si>
  <si>
    <t>排风管</t>
    <phoneticPr fontId="37" type="noConversion"/>
  </si>
  <si>
    <t>织物缩水机配件</t>
    <phoneticPr fontId="37" type="noConversion"/>
  </si>
  <si>
    <t>进样泵管</t>
    <phoneticPr fontId="37" type="noConversion"/>
  </si>
  <si>
    <t>废液泵管santoprene tube-1</t>
    <phoneticPr fontId="37" type="noConversion"/>
  </si>
  <si>
    <t>截取锥嵌片</t>
    <phoneticPr fontId="37" type="noConversion"/>
  </si>
  <si>
    <t>进样管TUBE TEFLON</t>
    <phoneticPr fontId="37" type="noConversion"/>
  </si>
  <si>
    <t>废液管TEFOLN TUBE</t>
    <phoneticPr fontId="37" type="noConversion"/>
  </si>
  <si>
    <t>中心管</t>
    <phoneticPr fontId="37" type="noConversion"/>
  </si>
  <si>
    <t>石墨垫Sampling Cone Gasket</t>
    <phoneticPr fontId="37" type="noConversion"/>
  </si>
  <si>
    <t>炬管SL1363EM-24</t>
    <phoneticPr fontId="37" type="noConversion"/>
  </si>
  <si>
    <t>截取锥（小）</t>
    <phoneticPr fontId="37" type="noConversion"/>
  </si>
  <si>
    <t>采样锥（大）</t>
    <phoneticPr fontId="37" type="noConversion"/>
  </si>
  <si>
    <t>风管</t>
    <phoneticPr fontId="37" type="noConversion"/>
  </si>
  <si>
    <t>雾化器管</t>
    <phoneticPr fontId="37" type="noConversion"/>
  </si>
  <si>
    <t>氦气接管</t>
    <phoneticPr fontId="37" type="noConversion"/>
  </si>
  <si>
    <t>废液泵管</t>
    <phoneticPr fontId="37" type="noConversion"/>
  </si>
  <si>
    <t>QuartzinjectorIcap Q</t>
    <phoneticPr fontId="37" type="noConversion"/>
  </si>
  <si>
    <t>石墨垫</t>
    <phoneticPr fontId="37" type="noConversion"/>
  </si>
  <si>
    <t>衬管</t>
    <phoneticPr fontId="37" type="noConversion"/>
  </si>
  <si>
    <t>金属接头</t>
    <phoneticPr fontId="37" type="noConversion"/>
  </si>
  <si>
    <t>隔热棉</t>
    <phoneticPr fontId="37" type="noConversion"/>
  </si>
  <si>
    <r>
      <rPr>
        <sz val="11"/>
        <color theme="1"/>
        <rFont val="宋体"/>
        <family val="3"/>
        <charset val="134"/>
      </rPr>
      <t>进样隔垫</t>
    </r>
    <r>
      <rPr>
        <sz val="11"/>
        <color theme="1"/>
        <rFont val="Times New Roman"/>
        <family val="1"/>
      </rPr>
      <t>SEPTA BT</t>
    </r>
    <phoneticPr fontId="37" type="noConversion"/>
  </si>
  <si>
    <t>微量注射器</t>
    <phoneticPr fontId="37" type="noConversion"/>
  </si>
  <si>
    <r>
      <rPr>
        <sz val="11"/>
        <color theme="1"/>
        <rFont val="宋体"/>
        <family val="3"/>
        <charset val="134"/>
      </rPr>
      <t>微量注射器</t>
    </r>
    <r>
      <rPr>
        <sz val="11"/>
        <color theme="1"/>
        <rFont val="Times New Roman"/>
        <family val="1"/>
      </rPr>
      <t>1ul</t>
    </r>
    <phoneticPr fontId="37" type="noConversion"/>
  </si>
  <si>
    <t>减压阀接头</t>
    <phoneticPr fontId="37" type="noConversion"/>
  </si>
  <si>
    <t>螺帽</t>
    <phoneticPr fontId="37" type="noConversion"/>
  </si>
  <si>
    <r>
      <rPr>
        <sz val="11"/>
        <color theme="1"/>
        <rFont val="宋体"/>
        <family val="3"/>
        <charset val="134"/>
      </rPr>
      <t>气路螺帽</t>
    </r>
    <r>
      <rPr>
        <sz val="11"/>
        <color theme="1"/>
        <rFont val="Times New Roman"/>
        <family val="1"/>
      </rPr>
      <t xml:space="preserve"> </t>
    </r>
    <phoneticPr fontId="37" type="noConversion"/>
  </si>
  <si>
    <t>压垫</t>
    <phoneticPr fontId="37" type="noConversion"/>
  </si>
  <si>
    <t>注样垫</t>
    <phoneticPr fontId="37" type="noConversion"/>
  </si>
  <si>
    <t>密封圈</t>
    <phoneticPr fontId="37" type="noConversion"/>
  </si>
  <si>
    <r>
      <rPr>
        <sz val="11"/>
        <color theme="1"/>
        <rFont val="宋体"/>
        <family val="3"/>
        <charset val="134"/>
      </rPr>
      <t>聚乙烯塑料管</t>
    </r>
    <r>
      <rPr>
        <sz val="11"/>
        <color theme="1"/>
        <rFont val="Times New Roman"/>
        <family val="1"/>
      </rPr>
      <t/>
    </r>
    <phoneticPr fontId="37" type="noConversion"/>
  </si>
  <si>
    <t>保险丝</t>
    <phoneticPr fontId="37" type="noConversion"/>
  </si>
  <si>
    <t>内衬管</t>
    <phoneticPr fontId="37" type="noConversion"/>
  </si>
  <si>
    <t>石墨垫圈</t>
    <phoneticPr fontId="37" type="noConversion"/>
  </si>
  <si>
    <r>
      <rPr>
        <sz val="11"/>
        <color theme="1"/>
        <rFont val="宋体"/>
        <family val="3"/>
        <charset val="134"/>
      </rPr>
      <t>棕色进样瓶</t>
    </r>
    <r>
      <rPr>
        <sz val="11"/>
        <color theme="1"/>
        <rFont val="Times New Roman"/>
        <family val="1"/>
      </rPr>
      <t/>
    </r>
    <phoneticPr fontId="37" type="noConversion"/>
  </si>
  <si>
    <t>顶空进样瓶（无瓶盖）</t>
    <phoneticPr fontId="37" type="noConversion"/>
  </si>
  <si>
    <r>
      <t xml:space="preserve"> SCREW VIAL, 9MM CAP, SIL/PTFE </t>
    </r>
    <r>
      <rPr>
        <sz val="11"/>
        <color theme="1"/>
        <rFont val="宋体"/>
        <family val="3"/>
        <charset val="134"/>
      </rPr>
      <t>进样瓶，含瓶盖</t>
    </r>
    <phoneticPr fontId="37" type="noConversion"/>
  </si>
  <si>
    <r>
      <t>2ml</t>
    </r>
    <r>
      <rPr>
        <sz val="11"/>
        <color theme="1"/>
        <rFont val="宋体"/>
        <family val="3"/>
        <charset val="134"/>
      </rPr>
      <t>白色进样瓶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无盖子）</t>
    </r>
    <phoneticPr fontId="37" type="noConversion"/>
  </si>
  <si>
    <t>水系过滤器</t>
    <phoneticPr fontId="37" type="noConversion"/>
  </si>
  <si>
    <t>白色瓶盖</t>
    <phoneticPr fontId="37" type="noConversion"/>
  </si>
  <si>
    <r>
      <rPr>
        <sz val="11"/>
        <color theme="1"/>
        <rFont val="宋体"/>
        <family val="3"/>
        <charset val="134"/>
      </rPr>
      <t>白色进样瓶</t>
    </r>
    <r>
      <rPr>
        <sz val="11"/>
        <color theme="1"/>
        <rFont val="Times New Roman"/>
        <family val="1"/>
      </rPr>
      <t/>
    </r>
    <phoneticPr fontId="37" type="noConversion"/>
  </si>
  <si>
    <r>
      <t xml:space="preserve">Screw </t>
    </r>
    <r>
      <rPr>
        <sz val="11"/>
        <color theme="1"/>
        <rFont val="宋体"/>
        <family val="3"/>
        <charset val="134"/>
      </rPr>
      <t>螺丝钉</t>
    </r>
    <phoneticPr fontId="37" type="noConversion"/>
  </si>
  <si>
    <r>
      <t xml:space="preserve">Socket Wrench </t>
    </r>
    <r>
      <rPr>
        <sz val="11"/>
        <color theme="1"/>
        <rFont val="宋体"/>
        <family val="3"/>
        <charset val="134"/>
      </rPr>
      <t>（插座扳手）</t>
    </r>
    <phoneticPr fontId="37" type="noConversion"/>
  </si>
  <si>
    <t>化学元素灯Se</t>
    <phoneticPr fontId="37" type="noConversion"/>
  </si>
  <si>
    <t>化学元素灯 In</t>
    <phoneticPr fontId="37" type="noConversion"/>
  </si>
  <si>
    <t xml:space="preserve">化学元素灯 Sr </t>
    <phoneticPr fontId="37" type="noConversion"/>
  </si>
  <si>
    <t>化学元素灯 Ti</t>
    <phoneticPr fontId="37" type="noConversion"/>
  </si>
  <si>
    <t>化学元素灯 V</t>
    <phoneticPr fontId="37" type="noConversion"/>
  </si>
  <si>
    <t>小白圈</t>
    <phoneticPr fontId="37" type="noConversion"/>
  </si>
  <si>
    <t>电路板</t>
    <phoneticPr fontId="37" type="noConversion"/>
  </si>
  <si>
    <t>6820.41 00</t>
  </si>
  <si>
    <r>
      <rPr>
        <sz val="11"/>
        <color theme="1"/>
        <rFont val="Times New Roman"/>
        <family val="1"/>
      </rPr>
      <t>6040.0005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2160.4041</t>
    </r>
    <r>
      <rPr>
        <sz val="11"/>
        <color theme="1"/>
        <rFont val="宋体"/>
        <family val="3"/>
        <charset val="134"/>
      </rPr>
      <t>）</t>
    </r>
  </si>
  <si>
    <t>6*9</t>
    <phoneticPr fontId="37" type="noConversion"/>
  </si>
  <si>
    <t>4*6</t>
    <phoneticPr fontId="37" type="noConversion"/>
  </si>
  <si>
    <t>401317277821</t>
    <phoneticPr fontId="37" type="noConversion"/>
  </si>
  <si>
    <t xml:space="preserve"> 0 38009/5ml filter caps</t>
    <phoneticPr fontId="37" type="noConversion"/>
  </si>
  <si>
    <t xml:space="preserve">0 38008/5ml </t>
    <phoneticPr fontId="37" type="noConversion"/>
  </si>
  <si>
    <t>无标记</t>
    <phoneticPr fontId="37" type="noConversion"/>
  </si>
  <si>
    <t>3A</t>
  </si>
  <si>
    <t>0.2A</t>
  </si>
  <si>
    <t>401322805821/5811</t>
    <phoneticPr fontId="37" type="noConversion"/>
  </si>
  <si>
    <r>
      <rPr>
        <sz val="11"/>
        <color theme="1"/>
        <rFont val="宋体"/>
        <family val="3"/>
        <charset val="134"/>
      </rPr>
      <t>口径：</t>
    </r>
    <r>
      <rPr>
        <sz val="11"/>
        <color theme="1"/>
        <rFont val="Times New Roman"/>
        <family val="1"/>
      </rPr>
      <t>10.5cm,</t>
    </r>
    <r>
      <rPr>
        <sz val="11"/>
        <color theme="1"/>
        <rFont val="宋体"/>
        <family val="3"/>
        <charset val="134"/>
      </rPr>
      <t>长度：</t>
    </r>
    <r>
      <rPr>
        <sz val="11"/>
        <color theme="1"/>
        <rFont val="Times New Roman"/>
        <family val="1"/>
      </rPr>
      <t>15.5cm</t>
    </r>
    <phoneticPr fontId="37" type="noConversion"/>
  </si>
  <si>
    <t>B407001</t>
  </si>
  <si>
    <t>B207004</t>
  </si>
  <si>
    <t>1650-27-006</t>
  </si>
  <si>
    <t>21602-2901-00</t>
  </si>
  <si>
    <t>DK1225320501</t>
  </si>
  <si>
    <t>黑色</t>
    <phoneticPr fontId="37" type="noConversion"/>
  </si>
  <si>
    <t>白色</t>
    <phoneticPr fontId="37" type="noConversion"/>
  </si>
  <si>
    <t>1320050/orange yellow,φ0.508mm</t>
    <phoneticPr fontId="37" type="noConversion"/>
  </si>
  <si>
    <t>1320110/φ1295㎜-gray</t>
    <phoneticPr fontId="37" type="noConversion"/>
  </si>
  <si>
    <t>1318480/skimmer cone insert3.5</t>
    <phoneticPr fontId="37" type="noConversion"/>
  </si>
  <si>
    <t>1600061/ 1/16OD.021ID10FT</t>
    <phoneticPr fontId="37" type="noConversion"/>
  </si>
  <si>
    <t>1311870/ 0.5MM INSERT VERSION</t>
    <phoneticPr fontId="37" type="noConversion"/>
  </si>
  <si>
    <t>约50公分</t>
  </si>
  <si>
    <t>ES-2502/Teflon gas line 4mm o.d.*2.4mmi.d</t>
    <phoneticPr fontId="37" type="noConversion"/>
  </si>
  <si>
    <t>ES2042</t>
  </si>
  <si>
    <t>R-gewaschen</t>
  </si>
  <si>
    <t>1320110φ1295㎜-gray</t>
    <phoneticPr fontId="37" type="noConversion"/>
  </si>
  <si>
    <t>1305600/(2.5mm iD)</t>
    <phoneticPr fontId="37" type="noConversion"/>
  </si>
  <si>
    <t>0520910</t>
  </si>
  <si>
    <t>1600061/1/16OD 021D10FT</t>
    <phoneticPr fontId="37" type="noConversion"/>
  </si>
  <si>
    <t>430122820891</t>
  </si>
  <si>
    <t>0520880</t>
  </si>
  <si>
    <t>K-THF-0522260</t>
  </si>
  <si>
    <t>F0050</t>
  </si>
  <si>
    <t>F0100</t>
  </si>
  <si>
    <t>F0160</t>
  </si>
  <si>
    <t>F0250</t>
  </si>
  <si>
    <t>F0500</t>
  </si>
  <si>
    <t>F0630</t>
  </si>
  <si>
    <t>76553-0008</t>
  </si>
  <si>
    <t>453A2265/,4mmID,78.5mm</t>
    <phoneticPr fontId="37" type="noConversion"/>
  </si>
  <si>
    <t xml:space="preserve">1R76256-0060    </t>
    <phoneticPr fontId="37" type="noConversion"/>
  </si>
  <si>
    <r>
      <rPr>
        <sz val="11"/>
        <color theme="1"/>
        <rFont val="Times New Roman"/>
        <family val="1"/>
      </rPr>
      <t>LOT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64204      </t>
    </r>
  </si>
  <si>
    <t xml:space="preserve">290VA191/0.1-0.25MM ID </t>
    <phoneticPr fontId="37" type="noConversion"/>
  </si>
  <si>
    <t>290GA139/0.1-0.32MM</t>
    <phoneticPr fontId="37" type="noConversion"/>
  </si>
  <si>
    <t>29033496/ 0.1-0.25MM</t>
    <phoneticPr fontId="37" type="noConversion"/>
  </si>
  <si>
    <t xml:space="preserve">31303233/0 11MM </t>
    <phoneticPr fontId="37" type="noConversion"/>
  </si>
  <si>
    <t>1R120404-4100</t>
  </si>
  <si>
    <t>M8*1</t>
  </si>
  <si>
    <t>M10*1</t>
  </si>
  <si>
    <t>3号</t>
  </si>
  <si>
    <r>
      <t>M8*1  2</t>
    </r>
    <r>
      <rPr>
        <sz val="11"/>
        <color theme="1"/>
        <rFont val="宋体"/>
        <family val="3"/>
        <charset val="134"/>
      </rPr>
      <t>号</t>
    </r>
  </si>
  <si>
    <r>
      <t>M8*1  3</t>
    </r>
    <r>
      <rPr>
        <sz val="11"/>
        <color theme="1"/>
        <rFont val="宋体"/>
        <family val="3"/>
        <charset val="134"/>
      </rPr>
      <t>号</t>
    </r>
    <phoneticPr fontId="37" type="noConversion"/>
  </si>
  <si>
    <t>2号</t>
  </si>
  <si>
    <t>8号</t>
  </si>
  <si>
    <t>3号*1*20m气路管</t>
  </si>
  <si>
    <t>15A</t>
  </si>
  <si>
    <t>1.5A</t>
  </si>
  <si>
    <t>3*61</t>
  </si>
  <si>
    <t>3*8*7</t>
  </si>
  <si>
    <t>4*8*7</t>
  </si>
  <si>
    <t>5*8*7</t>
  </si>
  <si>
    <t>1.5ml（无瓶盖）</t>
  </si>
  <si>
    <t>90035B</t>
  </si>
  <si>
    <t>8870 5212 1400 53/20ml</t>
    <phoneticPr fontId="37" type="noConversion"/>
  </si>
  <si>
    <t>60180-599/2ML</t>
    <phoneticPr fontId="37" type="noConversion"/>
  </si>
  <si>
    <t>9 42339395181</t>
  </si>
  <si>
    <t>2 51370614156</t>
  </si>
  <si>
    <t>4 01316179782</t>
  </si>
  <si>
    <t>2 52260802002</t>
  </si>
  <si>
    <t>4 20216601851</t>
  </si>
  <si>
    <t>4 01316691961</t>
  </si>
  <si>
    <t>4 01322836581</t>
  </si>
  <si>
    <t>94233 93950 41</t>
  </si>
  <si>
    <r>
      <t>1828230701P0708/IC13mm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0.22μm</t>
    </r>
    <phoneticPr fontId="37" type="noConversion"/>
  </si>
  <si>
    <t>00 189505/8MM</t>
    <phoneticPr fontId="37" type="noConversion"/>
  </si>
  <si>
    <t>00 188568/8MM</t>
    <phoneticPr fontId="37" type="noConversion"/>
  </si>
  <si>
    <t>22503013/2ml，</t>
    <phoneticPr fontId="37" type="noConversion"/>
  </si>
  <si>
    <t>2 52217820108/M5*16</t>
    <phoneticPr fontId="37" type="noConversion"/>
  </si>
  <si>
    <t>4 01322843091/M3*30</t>
    <phoneticPr fontId="37" type="noConversion"/>
  </si>
  <si>
    <r>
      <t>2 62215009009/2.5</t>
    </r>
    <r>
      <rPr>
        <sz val="11"/>
        <color theme="1"/>
        <rFont val="宋体"/>
        <family val="3"/>
        <charset val="134"/>
      </rPr>
      <t>㎜</t>
    </r>
    <phoneticPr fontId="37" type="noConversion"/>
  </si>
  <si>
    <t>842315500211</t>
    <phoneticPr fontId="37" type="noConversion"/>
  </si>
  <si>
    <t>在一只塑料袋内</t>
    <phoneticPr fontId="37" type="noConversion"/>
  </si>
  <si>
    <r>
      <rPr>
        <sz val="11"/>
        <color theme="1"/>
        <rFont val="宋体"/>
        <family val="3"/>
        <charset val="134"/>
      </rPr>
      <t>朱总</t>
    </r>
    <r>
      <rPr>
        <sz val="11"/>
        <color theme="1"/>
        <rFont val="Times New Roman"/>
        <family val="1"/>
      </rPr>
      <t>2017.08.03</t>
    </r>
    <r>
      <rPr>
        <sz val="11"/>
        <color theme="1"/>
        <rFont val="宋体"/>
        <family val="3"/>
        <charset val="134"/>
      </rPr>
      <t>号提供</t>
    </r>
  </si>
  <si>
    <t>原荧（两头没有东西）</t>
    <phoneticPr fontId="37" type="noConversion"/>
  </si>
  <si>
    <t>原荧</t>
  </si>
  <si>
    <t>原荧（有一个三个口）</t>
    <phoneticPr fontId="37" type="noConversion"/>
  </si>
  <si>
    <t>离子色谱</t>
  </si>
  <si>
    <t>触摸笔已领用，还余保险丝</t>
  </si>
  <si>
    <t>浅灰色</t>
    <phoneticPr fontId="37" type="noConversion"/>
  </si>
  <si>
    <t>卷状</t>
    <phoneticPr fontId="37" type="noConversion"/>
  </si>
  <si>
    <t>一根粗的，一根细的</t>
  </si>
  <si>
    <r>
      <rPr>
        <sz val="11"/>
        <color theme="1"/>
        <rFont val="Times New Roman"/>
        <family val="1"/>
      </rPr>
      <t>T6</t>
    </r>
    <r>
      <rPr>
        <sz val="11"/>
        <color theme="1"/>
        <rFont val="宋体"/>
        <family val="3"/>
        <charset val="134"/>
      </rPr>
      <t>紫外分光光度计</t>
    </r>
  </si>
  <si>
    <t>粗细各一根</t>
  </si>
  <si>
    <t>纽扣拉力机</t>
  </si>
  <si>
    <t>冷水机</t>
  </si>
  <si>
    <t>电子胀破仪</t>
  </si>
  <si>
    <t>切割器配套的</t>
  </si>
  <si>
    <t>日晒仪的</t>
  </si>
  <si>
    <t>1#盒</t>
    <phoneticPr fontId="37" type="noConversion"/>
  </si>
  <si>
    <t>1#盒</t>
  </si>
  <si>
    <t>2#盒</t>
    <phoneticPr fontId="37" type="noConversion"/>
  </si>
  <si>
    <t>ICP-MS 3#盒</t>
  </si>
  <si>
    <t>ICP-MS 4#盒</t>
  </si>
  <si>
    <t>另一个已安装在仪器上</t>
  </si>
  <si>
    <r>
      <rPr>
        <sz val="11"/>
        <color theme="1"/>
        <rFont val="宋体"/>
        <family val="3"/>
        <charset val="134"/>
      </rPr>
      <t>过滤头孙夏青</t>
    </r>
    <r>
      <rPr>
        <sz val="11"/>
        <color theme="1"/>
        <rFont val="Times New Roman"/>
        <family val="1"/>
      </rPr>
      <t>161012</t>
    </r>
    <r>
      <rPr>
        <sz val="11"/>
        <color theme="1"/>
        <rFont val="宋体"/>
        <family val="3"/>
        <charset val="134"/>
      </rPr>
      <t>领用</t>
    </r>
  </si>
  <si>
    <t>福立，装柱时模拟进样垫高度</t>
  </si>
  <si>
    <t>福立，疏通喷嘴</t>
  </si>
  <si>
    <t>其中两个不完整，仅有模块盖</t>
  </si>
  <si>
    <r>
      <t>白色，其中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个无瓶盖</t>
    </r>
  </si>
  <si>
    <t>与进样瓶配套的</t>
  </si>
  <si>
    <t>苏州莱顿</t>
  </si>
  <si>
    <t>原子吸收光谱仪上使用</t>
    <phoneticPr fontId="37" type="noConversion"/>
  </si>
  <si>
    <t>原子吸收光谱仪上使用</t>
  </si>
  <si>
    <t>石墨炉</t>
  </si>
  <si>
    <t>根</t>
  </si>
  <si>
    <t>套</t>
  </si>
  <si>
    <t>包</t>
  </si>
  <si>
    <t>只</t>
    <phoneticPr fontId="37" type="noConversion"/>
  </si>
  <si>
    <t>支</t>
    <phoneticPr fontId="37" type="noConversion"/>
  </si>
  <si>
    <t>根</t>
    <phoneticPr fontId="37" type="noConversion"/>
  </si>
  <si>
    <t>瓶</t>
    <phoneticPr fontId="37" type="noConversion"/>
  </si>
  <si>
    <t>块</t>
  </si>
  <si>
    <t>袋</t>
    <phoneticPr fontId="37" type="noConversion"/>
  </si>
  <si>
    <t>个</t>
    <phoneticPr fontId="37" type="noConversion"/>
  </si>
  <si>
    <t>套</t>
    <phoneticPr fontId="37" type="noConversion"/>
  </si>
  <si>
    <t>米</t>
  </si>
  <si>
    <t>块</t>
    <phoneticPr fontId="37" type="noConversion"/>
  </si>
  <si>
    <t>原荧三通（塑料）</t>
    <phoneticPr fontId="36" type="noConversion"/>
  </si>
  <si>
    <t>泵管（两头有东西）</t>
    <phoneticPr fontId="37" type="noConversion"/>
  </si>
  <si>
    <r>
      <t>Connectting tube, cable clips kit</t>
    </r>
    <r>
      <rPr>
        <sz val="11"/>
        <color theme="1"/>
        <rFont val="宋体"/>
        <family val="3"/>
        <charset val="134"/>
      </rPr>
      <t>（废液垫卡扣）</t>
    </r>
    <phoneticPr fontId="36" type="noConversion"/>
  </si>
  <si>
    <t>set L picec dtainage system</t>
    <phoneticPr fontId="36" type="noConversion"/>
  </si>
  <si>
    <r>
      <t>set Y picec dtainage system</t>
    </r>
    <r>
      <rPr>
        <sz val="11"/>
        <color theme="1"/>
        <rFont val="宋体"/>
        <family val="3"/>
        <charset val="134"/>
      </rPr>
      <t>（废液垫）</t>
    </r>
    <phoneticPr fontId="36" type="noConversion"/>
  </si>
  <si>
    <r>
      <t>6040.0005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2160.4042</t>
    </r>
    <r>
      <rPr>
        <sz val="11"/>
        <color theme="1"/>
        <rFont val="宋体"/>
        <family val="3"/>
        <charset val="134"/>
      </rPr>
      <t>）</t>
    </r>
    <phoneticPr fontId="36" type="noConversion"/>
  </si>
  <si>
    <r>
      <t>6040.0005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2160.4044</t>
    </r>
    <r>
      <rPr>
        <sz val="11"/>
        <color theme="1"/>
        <rFont val="宋体"/>
        <family val="3"/>
        <charset val="134"/>
      </rPr>
      <t>）</t>
    </r>
    <phoneticPr fontId="36" type="noConversion"/>
  </si>
  <si>
    <t>Tee Piece</t>
    <phoneticPr fontId="36" type="noConversion"/>
  </si>
  <si>
    <r>
      <t>6040.0005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2160.4043</t>
    </r>
    <r>
      <rPr>
        <sz val="11"/>
        <color theme="1"/>
        <rFont val="宋体"/>
        <family val="3"/>
        <charset val="134"/>
      </rPr>
      <t>）</t>
    </r>
    <phoneticPr fontId="36" type="noConversion"/>
  </si>
  <si>
    <t>柱后冷却</t>
    <phoneticPr fontId="36" type="noConversion"/>
  </si>
  <si>
    <r>
      <t>2</t>
    </r>
    <r>
      <rPr>
        <sz val="11"/>
        <color theme="1"/>
        <rFont val="宋体"/>
        <family val="3"/>
        <charset val="134"/>
      </rPr>
      <t>微升</t>
    </r>
    <phoneticPr fontId="36" type="noConversion"/>
  </si>
  <si>
    <t>P/N6040.2375</t>
    <phoneticPr fontId="36" type="noConversion"/>
  </si>
  <si>
    <r>
      <t>0.18*350</t>
    </r>
    <r>
      <rPr>
        <sz val="11"/>
        <color theme="1"/>
        <rFont val="宋体"/>
        <family val="3"/>
        <charset val="134"/>
      </rPr>
      <t>㎜</t>
    </r>
    <phoneticPr fontId="36" type="noConversion"/>
  </si>
  <si>
    <t>废液管</t>
    <phoneticPr fontId="36" type="noConversion"/>
  </si>
  <si>
    <t>三根不同规格</t>
    <phoneticPr fontId="36" type="noConversion"/>
  </si>
  <si>
    <t>液谱柱</t>
    <phoneticPr fontId="37" type="noConversion"/>
  </si>
  <si>
    <t>注射器</t>
    <phoneticPr fontId="36" type="noConversion"/>
  </si>
  <si>
    <t>双通</t>
    <phoneticPr fontId="36" type="noConversion"/>
  </si>
  <si>
    <t>过滤口</t>
    <phoneticPr fontId="36" type="noConversion"/>
  </si>
  <si>
    <t>色谱柱卡扣</t>
    <phoneticPr fontId="36" type="noConversion"/>
  </si>
  <si>
    <t>卡带</t>
    <phoneticPr fontId="36" type="noConversion"/>
  </si>
  <si>
    <t>进样瓶</t>
    <phoneticPr fontId="36" type="noConversion"/>
  </si>
  <si>
    <r>
      <t>250</t>
    </r>
    <r>
      <rPr>
        <sz val="11"/>
        <color theme="1"/>
        <rFont val="宋体"/>
        <family val="3"/>
        <charset val="134"/>
      </rPr>
      <t>微升</t>
    </r>
    <phoneticPr fontId="36" type="noConversion"/>
  </si>
  <si>
    <t>进样瓶盖</t>
    <phoneticPr fontId="36" type="noConversion"/>
  </si>
  <si>
    <t>Viper close fitting,Titanium</t>
    <phoneticPr fontId="36" type="noConversion"/>
  </si>
  <si>
    <t>毛细管（两头无东西）</t>
    <phoneticPr fontId="36" type="noConversion"/>
  </si>
  <si>
    <t>Retaining guide kit for eluent</t>
    <phoneticPr fontId="36" type="noConversion"/>
  </si>
  <si>
    <t>ALLEN WRENCH 2.5</t>
    <phoneticPr fontId="36" type="noConversion"/>
  </si>
  <si>
    <t>保险丝</t>
    <phoneticPr fontId="36" type="noConversion"/>
  </si>
  <si>
    <t>1270.0100</t>
    <phoneticPr fontId="36" type="noConversion"/>
  </si>
  <si>
    <t>Kit Hose connector straight</t>
    <phoneticPr fontId="36" type="noConversion"/>
  </si>
  <si>
    <t>Wire marker kit</t>
    <phoneticPr fontId="36" type="noConversion"/>
  </si>
  <si>
    <r>
      <t>3.0mm ,</t>
    </r>
    <r>
      <rPr>
        <sz val="11"/>
        <color theme="1"/>
        <rFont val="宋体"/>
        <family val="3"/>
        <charset val="134"/>
      </rPr>
      <t>红和绿</t>
    </r>
    <phoneticPr fontId="36" type="noConversion"/>
  </si>
  <si>
    <t>1R76458-2018</t>
    <phoneticPr fontId="36" type="noConversion"/>
  </si>
  <si>
    <t>SCRAW CAP</t>
    <phoneticPr fontId="36" type="noConversion"/>
  </si>
  <si>
    <r>
      <t>0.32</t>
    </r>
    <r>
      <rPr>
        <sz val="11"/>
        <color theme="1"/>
        <rFont val="宋体"/>
        <family val="3"/>
        <charset val="134"/>
      </rPr>
      <t>㎜</t>
    </r>
    <phoneticPr fontId="36" type="noConversion"/>
  </si>
  <si>
    <r>
      <rPr>
        <sz val="11"/>
        <color theme="1"/>
        <rFont val="宋体"/>
        <family val="3"/>
        <charset val="134"/>
      </rPr>
      <t>白色</t>
    </r>
    <r>
      <rPr>
        <sz val="11"/>
        <color theme="1"/>
        <rFont val="Times New Roman"/>
        <family val="1"/>
      </rPr>
      <t>6000.0057</t>
    </r>
    <phoneticPr fontId="36" type="noConversion"/>
  </si>
  <si>
    <t>淋洗液前端滤头</t>
    <phoneticPr fontId="37" type="noConversion"/>
  </si>
  <si>
    <t>白色</t>
    <phoneticPr fontId="36" type="noConversion"/>
  </si>
  <si>
    <t>压瓶器</t>
    <phoneticPr fontId="37" type="noConversion"/>
  </si>
  <si>
    <t>抑制器活化工具</t>
    <phoneticPr fontId="37" type="noConversion"/>
  </si>
  <si>
    <t>红黑交织电线</t>
    <phoneticPr fontId="37" type="noConversion"/>
  </si>
  <si>
    <t>白色进样管</t>
    <phoneticPr fontId="37" type="noConversion"/>
  </si>
  <si>
    <r>
      <t>EI ION SOURCE ASSY (LOW ACTIVITY)GC-MS</t>
    </r>
    <r>
      <rPr>
        <sz val="11"/>
        <color theme="1"/>
        <rFont val="宋体"/>
        <family val="3"/>
        <charset val="134"/>
      </rPr>
      <t>离子源</t>
    </r>
    <phoneticPr fontId="36" type="noConversion"/>
  </si>
  <si>
    <t>GC</t>
    <phoneticPr fontId="36" type="noConversion"/>
  </si>
  <si>
    <r>
      <t>1#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</si>
  <si>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t>1#盒</t>
    </r>
    <r>
      <rPr>
        <sz val="11"/>
        <color theme="1"/>
        <rFont val="宋体"/>
        <family val="3"/>
        <charset val="134"/>
      </rPr>
      <t/>
    </r>
  </si>
  <si>
    <r>
      <t>2#</t>
    </r>
    <r>
      <rPr>
        <sz val="11"/>
        <color theme="1"/>
        <rFont val="宋体"/>
        <family val="3"/>
        <charset val="134"/>
      </rPr>
      <t>盒子</t>
    </r>
    <phoneticPr fontId="36" type="noConversion"/>
  </si>
  <si>
    <r>
      <t>2#盒子</t>
    </r>
    <r>
      <rPr>
        <sz val="11"/>
        <color theme="1"/>
        <rFont val="宋体"/>
        <family val="3"/>
        <charset val="134"/>
      </rPr>
      <t/>
    </r>
  </si>
  <si>
    <t>杂物，盒子上写的气相配件，箱内各种线</t>
    <phoneticPr fontId="36" type="noConversion"/>
  </si>
  <si>
    <t>5号</t>
    <phoneticPr fontId="36" type="noConversion"/>
  </si>
  <si>
    <r>
      <t>Explosisc Disc</t>
    </r>
    <r>
      <rPr>
        <sz val="11"/>
        <color theme="1"/>
        <rFont val="宋体"/>
        <family val="3"/>
        <charset val="134"/>
      </rPr>
      <t>（防爆膜）</t>
    </r>
    <phoneticPr fontId="36" type="noConversion"/>
  </si>
  <si>
    <t>原子吸收</t>
    <phoneticPr fontId="36" type="noConversion"/>
  </si>
  <si>
    <r>
      <t xml:space="preserve">extended lifetime cuvettes </t>
    </r>
    <r>
      <rPr>
        <sz val="11"/>
        <color theme="1"/>
        <rFont val="宋体"/>
        <family val="3"/>
        <charset val="134"/>
      </rPr>
      <t>石墨管</t>
    </r>
    <phoneticPr fontId="36" type="noConversion"/>
  </si>
  <si>
    <t>以下是原备品配件表上转来的</t>
    <phoneticPr fontId="36" type="noConversion"/>
  </si>
  <si>
    <t>YFG-210207-MYM-J7-003</t>
    <phoneticPr fontId="36" type="noConversion"/>
  </si>
  <si>
    <r>
      <rPr>
        <sz val="11"/>
        <color theme="1"/>
        <rFont val="宋体"/>
        <family val="3"/>
        <charset val="134"/>
      </rPr>
      <t>梅花</t>
    </r>
    <r>
      <rPr>
        <sz val="11"/>
        <color theme="1"/>
        <rFont val="Arial Narrow"/>
        <family val="2"/>
      </rPr>
      <t>K</t>
    </r>
    <r>
      <rPr>
        <sz val="11"/>
        <color theme="1"/>
        <rFont val="宋体"/>
        <family val="3"/>
        <charset val="134"/>
      </rPr>
      <t>改锥（红色柄）</t>
    </r>
    <phoneticPr fontId="36" type="noConversion"/>
  </si>
  <si>
    <t>093263-T20</t>
    <phoneticPr fontId="36" type="noConversion"/>
  </si>
  <si>
    <t>093263-T6*60</t>
    <phoneticPr fontId="36" type="noConversion"/>
  </si>
  <si>
    <t>093263-T10*80</t>
    <phoneticPr fontId="36" type="noConversion"/>
  </si>
  <si>
    <r>
      <t>FID</t>
    </r>
    <r>
      <rPr>
        <sz val="11"/>
        <color theme="1"/>
        <rFont val="宋体"/>
        <family val="3"/>
        <charset val="134"/>
      </rPr>
      <t>检测器套筒（黄红柄）</t>
    </r>
    <phoneticPr fontId="36" type="noConversion"/>
  </si>
  <si>
    <r>
      <t>8</t>
    </r>
    <r>
      <rPr>
        <sz val="11"/>
        <color theme="1"/>
        <rFont val="宋体"/>
        <family val="3"/>
        <charset val="134"/>
      </rPr>
      <t>㎜，</t>
    </r>
    <r>
      <rPr>
        <sz val="11"/>
        <color theme="1"/>
        <rFont val="Arial Narrow"/>
        <family val="2"/>
      </rPr>
      <t>09341-80</t>
    </r>
    <phoneticPr fontId="36" type="noConversion"/>
  </si>
  <si>
    <t>十字螺丝刀（红柄）</t>
    <phoneticPr fontId="36" type="noConversion"/>
  </si>
  <si>
    <r>
      <rPr>
        <sz val="11"/>
        <color theme="1"/>
        <rFont val="宋体"/>
        <family val="3"/>
        <charset val="134"/>
      </rPr>
      <t>小</t>
    </r>
    <r>
      <rPr>
        <sz val="11"/>
        <color theme="1"/>
        <rFont val="Arial Narrow"/>
        <family val="2"/>
      </rPr>
      <t>3</t>
    </r>
    <r>
      <rPr>
        <sz val="11"/>
        <color theme="1"/>
        <rFont val="宋体"/>
        <family val="3"/>
        <charset val="134"/>
      </rPr>
      <t>大</t>
    </r>
    <r>
      <rPr>
        <sz val="11"/>
        <color theme="1"/>
        <rFont val="Arial Narrow"/>
        <family val="2"/>
      </rPr>
      <t>1</t>
    </r>
    <phoneticPr fontId="36" type="noConversion"/>
  </si>
  <si>
    <t>一字螺丝刀（绿柄）</t>
    <phoneticPr fontId="36" type="noConversion"/>
  </si>
  <si>
    <t>开花启子（红色柄）</t>
    <phoneticPr fontId="36" type="noConversion"/>
  </si>
  <si>
    <r>
      <t>4*125</t>
    </r>
    <r>
      <rPr>
        <sz val="11"/>
        <color theme="1"/>
        <rFont val="宋体"/>
        <family val="3"/>
        <charset val="134"/>
      </rPr>
      <t>㎜</t>
    </r>
    <phoneticPr fontId="36" type="noConversion"/>
  </si>
  <si>
    <t>平头启子（绿色柄）</t>
    <phoneticPr fontId="36" type="noConversion"/>
  </si>
  <si>
    <t>扳手（两头开口）</t>
    <phoneticPr fontId="36" type="noConversion"/>
  </si>
  <si>
    <r>
      <t>10</t>
    </r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Arial Narrow"/>
        <family val="2"/>
      </rPr>
      <t>12</t>
    </r>
    <phoneticPr fontId="36" type="noConversion"/>
  </si>
  <si>
    <t>白色塑料盒子内</t>
    <phoneticPr fontId="36" type="noConversion"/>
  </si>
  <si>
    <t>抽屉内</t>
    <phoneticPr fontId="36" type="noConversion"/>
  </si>
  <si>
    <t>YFG-211201-MYM-J6-004</t>
    <phoneticPr fontId="36" type="noConversion"/>
  </si>
  <si>
    <t>YFG-210625-MYM-J6-002</t>
    <phoneticPr fontId="36" type="noConversion"/>
  </si>
  <si>
    <r>
      <t>MYM-210707-QJW-J6-002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MYM-210913-RL-J6-006;MYM-220124-MYM-J6-002</t>
    </r>
    <phoneticPr fontId="36" type="noConversion"/>
  </si>
  <si>
    <t>MYM-220125-XPG-J6-001</t>
    <phoneticPr fontId="36" type="noConversion"/>
  </si>
  <si>
    <t>MYM-220125-XPG-J6-002</t>
  </si>
  <si>
    <t>MYM-220125-XPG-J6-003</t>
  </si>
  <si>
    <t>MYM-220125-XPG-J6-004</t>
  </si>
  <si>
    <t>MYM-220125-XPG-J6-005</t>
  </si>
  <si>
    <t>MYM-220125-XPG-J6-006</t>
  </si>
  <si>
    <t>MYM-220125-XPG-J6-007</t>
  </si>
  <si>
    <t>MYM-220125-XPG-J6-008</t>
  </si>
  <si>
    <t>MYM-220215-MYM-J7-001</t>
    <phoneticPr fontId="36" type="noConversion"/>
  </si>
  <si>
    <t>MYM-22054-MYM-J4-001</t>
    <phoneticPr fontId="36" type="noConversion"/>
  </si>
  <si>
    <r>
      <t>MYM-210407-YF-J6-003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MYM-220517-QDJ-J6-001</t>
    </r>
    <phoneticPr fontId="36" type="noConversion"/>
  </si>
  <si>
    <r>
      <t>1L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22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箱</t>
    </r>
    <phoneticPr fontId="36" type="noConversion"/>
  </si>
  <si>
    <r>
      <t>MYM-210915-ZX-J6-001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MYM-220517-QDJ-J6-002</t>
    </r>
    <phoneticPr fontId="36" type="noConversion"/>
  </si>
  <si>
    <t>YFG-210905-MYM-J6-001</t>
    <phoneticPr fontId="36" type="noConversion"/>
  </si>
  <si>
    <t>QDJ-220526-MYM-J6-001</t>
    <phoneticPr fontId="36" type="noConversion"/>
  </si>
  <si>
    <t>MYM-220527-MYM-J6-001</t>
    <phoneticPr fontId="36" type="noConversion"/>
  </si>
  <si>
    <r>
      <t>MYM-211201-LJ-J6-003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MYM-220111-WJS-J6-001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MYM-220124-MYM-J6-001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MYM-220527-MYM-J6-001</t>
    </r>
    <phoneticPr fontId="36" type="noConversion"/>
  </si>
  <si>
    <t>YFG-201230-MYM-J6-001</t>
    <phoneticPr fontId="36" type="noConversion"/>
  </si>
  <si>
    <t>QHJ-220606-MYM-J6-001</t>
    <phoneticPr fontId="36" type="noConversion"/>
  </si>
  <si>
    <t>MYM-220606-MYM-J6-001</t>
    <phoneticPr fontId="36" type="noConversion"/>
  </si>
  <si>
    <t>气泡刻度吸收管</t>
    <phoneticPr fontId="36" type="noConversion"/>
  </si>
  <si>
    <t>10ml</t>
    <phoneticPr fontId="36" type="noConversion"/>
  </si>
  <si>
    <t>砂芯坩埚</t>
    <phoneticPr fontId="36" type="noConversion"/>
  </si>
  <si>
    <t>上海玻璃厂</t>
    <phoneticPr fontId="36" type="noConversion"/>
  </si>
  <si>
    <t>MYM-220613-MYM-J4-002</t>
  </si>
  <si>
    <t>MYM-220613-MYM-J6-001</t>
    <phoneticPr fontId="36" type="noConversion"/>
  </si>
  <si>
    <t>QDJ-220616-MYM-J6-001</t>
    <phoneticPr fontId="36" type="noConversion"/>
  </si>
  <si>
    <t>MYM-220616-MYM-J6-001</t>
    <phoneticPr fontId="36" type="noConversion"/>
  </si>
  <si>
    <t>MYM-220620-MYM-J6-001</t>
    <phoneticPr fontId="36" type="noConversion"/>
  </si>
  <si>
    <r>
      <rPr>
        <sz val="11"/>
        <color theme="1"/>
        <rFont val="宋体"/>
        <family val="3"/>
        <charset val="134"/>
      </rPr>
      <t>由</t>
    </r>
    <r>
      <rPr>
        <sz val="11"/>
        <color theme="1"/>
        <rFont val="Arial Narrow"/>
        <family val="2"/>
      </rPr>
      <t>310</t>
    </r>
    <r>
      <rPr>
        <sz val="11"/>
        <color theme="1"/>
        <rFont val="宋体"/>
        <family val="3"/>
        <charset val="134"/>
      </rPr>
      <t>台柜上转来。</t>
    </r>
    <phoneticPr fontId="36" type="noConversion"/>
  </si>
  <si>
    <r>
      <t>MYM-211029-LJ-J6-001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MYM-211123-LJ-J6-004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MYM-220211-WJS-J6-001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MYM-220712-MYM-J6-001</t>
    </r>
    <phoneticPr fontId="36" type="noConversion"/>
  </si>
  <si>
    <t>MYM-220714-MYM-J6-001</t>
    <phoneticPr fontId="36" type="noConversion"/>
  </si>
  <si>
    <t>MYM-220714-MYM-J6-002</t>
    <phoneticPr fontId="36" type="noConversion"/>
  </si>
  <si>
    <t>50L</t>
    <phoneticPr fontId="36" type="noConversion"/>
  </si>
  <si>
    <t>QDJ-220727-MYM-J6-001</t>
    <phoneticPr fontId="36" type="noConversion"/>
  </si>
  <si>
    <t>MYM-220810-MYM-J6-001</t>
    <phoneticPr fontId="36" type="noConversion"/>
  </si>
  <si>
    <t>PT100</t>
    <phoneticPr fontId="36" type="noConversion"/>
  </si>
  <si>
    <t>QDJ-220811-MYM-J6-001</t>
    <phoneticPr fontId="36" type="noConversion"/>
  </si>
  <si>
    <t>MYM-220811-MYM-J6-001</t>
    <phoneticPr fontId="36" type="noConversion"/>
  </si>
  <si>
    <r>
      <t>3M</t>
    </r>
    <r>
      <rPr>
        <sz val="11"/>
        <color indexed="8"/>
        <rFont val="宋体"/>
        <family val="3"/>
        <charset val="134"/>
      </rPr>
      <t>中国有限公司</t>
    </r>
    <phoneticPr fontId="36" type="noConversion"/>
  </si>
  <si>
    <t>9002V</t>
    <phoneticPr fontId="36" type="noConversion"/>
  </si>
  <si>
    <t>QDJ-220821-MYM-J6-001</t>
    <phoneticPr fontId="36" type="noConversion"/>
  </si>
  <si>
    <r>
      <t>1423*60</t>
    </r>
    <r>
      <rPr>
        <sz val="11"/>
        <color indexed="8"/>
        <rFont val="宋体"/>
        <family val="3"/>
        <charset val="134"/>
      </rPr>
      <t>㎜</t>
    </r>
    <phoneticPr fontId="36" type="noConversion"/>
  </si>
  <si>
    <t>ZRJ-220829-MYM-J6-001</t>
    <phoneticPr fontId="36" type="noConversion"/>
  </si>
  <si>
    <t>QDJ-220111-MYM-J6-010</t>
    <phoneticPr fontId="36" type="noConversion"/>
  </si>
  <si>
    <t>QHJ-220905-MYM-J6-001</t>
    <phoneticPr fontId="36" type="noConversion"/>
  </si>
  <si>
    <r>
      <t>MYM-210819-QJW-J6-001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MYM-210901-RL-J6-007;MYM-210922-LJ-J6-001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MYM-211018-LJ-J6-003;MYM-211111-LJ-J6-001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MYM-211224-WJS-J6-001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MYM-220907-MYM-J6-001</t>
    </r>
    <phoneticPr fontId="36" type="noConversion"/>
  </si>
  <si>
    <t>MYM-2210009-WXY-J6-001</t>
    <phoneticPr fontId="36" type="noConversion"/>
  </si>
  <si>
    <t>QDJ-221009-MYM-J6-001</t>
    <phoneticPr fontId="36" type="noConversion"/>
  </si>
  <si>
    <t>盒</t>
    <phoneticPr fontId="36" type="noConversion"/>
  </si>
  <si>
    <t>MYM-200629-SCL-J6-002</t>
    <phoneticPr fontId="36" type="noConversion"/>
  </si>
  <si>
    <t>M/L</t>
    <phoneticPr fontId="36" type="noConversion"/>
  </si>
  <si>
    <r>
      <t>MYM-210812-QJW-J6-002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MYM-210901-RL-J6-003;MYM-210922-LJ-J6-002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MYM-211104-LDL-J6-001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MYM-220527-MYM-J6-003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MYM-22011-CJF-J6-002</t>
    </r>
    <phoneticPr fontId="36" type="noConversion"/>
  </si>
  <si>
    <r>
      <t>MYM-201221-SCL-J6-002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MYM-210105-SCL-J6-003;MYM-210329-SCL-J6-002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MYM-210407-YF-J6-004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MYM-210416-YF-J6-001;MYM-210422-SJJ-J6-002;MYM-210528-YF-J6-002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MYM-210801-ZX-J6-006;MYM-210924-ZX-J6-001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MYM-221021-WXY-J6-001</t>
    </r>
    <phoneticPr fontId="36" type="noConversion"/>
  </si>
  <si>
    <r>
      <t>MYM-200102-SHY-JC06-004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MYM-200428-SHY-J6-002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MYM-200813-CYX-J6-001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MYM-210913-RL-J6-001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MYM-221021-WXY-J6-002</t>
    </r>
    <phoneticPr fontId="36" type="noConversion"/>
  </si>
  <si>
    <t>QHJ-221025-MYM-J6-001</t>
    <phoneticPr fontId="36" type="noConversion"/>
  </si>
  <si>
    <r>
      <t>2.5L/</t>
    </r>
    <r>
      <rPr>
        <sz val="11"/>
        <color indexed="8"/>
        <rFont val="宋体"/>
        <family val="3"/>
        <charset val="134"/>
      </rPr>
      <t>桶</t>
    </r>
    <phoneticPr fontId="36" type="noConversion"/>
  </si>
  <si>
    <t>QDJ-221028-MYM-J6-001</t>
    <phoneticPr fontId="36" type="noConversion"/>
  </si>
  <si>
    <r>
      <t>100</t>
    </r>
    <r>
      <rPr>
        <sz val="11"/>
        <color indexed="8"/>
        <rFont val="宋体"/>
        <family val="3"/>
        <charset val="134"/>
      </rPr>
      <t>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袋，</t>
    </r>
    <r>
      <rPr>
        <sz val="11"/>
        <color indexed="8"/>
        <rFont val="Arial Narrow"/>
        <family val="2"/>
      </rPr>
      <t>5ml</t>
    </r>
    <phoneticPr fontId="36" type="noConversion"/>
  </si>
  <si>
    <t>QDJ-221114-MYM-J6-001</t>
    <phoneticPr fontId="36" type="noConversion"/>
  </si>
  <si>
    <t>MYM-221114-CJF-J6-001</t>
    <phoneticPr fontId="36" type="noConversion"/>
  </si>
  <si>
    <t>MYM-221123-CJF-J6-001</t>
    <phoneticPr fontId="36" type="noConversion"/>
  </si>
  <si>
    <r>
      <t>MYM-201202-SCL-J4-005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MYM-211110-LJ-J4-007;MYM-221206-CJF-J4-002</t>
    </r>
    <phoneticPr fontId="36" type="noConversion"/>
  </si>
  <si>
    <t>MYM-211110-LJ-J4-002;MYM-221206-CJF-J4-003</t>
    <phoneticPr fontId="36" type="noConversion"/>
  </si>
  <si>
    <r>
      <t>MYM-200702-SHY-J4-003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MYM-211110-LJ-J4-011;MYM-221206-CJF-J4-004</t>
    </r>
    <phoneticPr fontId="36" type="noConversion"/>
  </si>
  <si>
    <t>QDJ-221210-MYM-J6-001</t>
    <phoneticPr fontId="36" type="noConversion"/>
  </si>
  <si>
    <t>QDJ-230110-MYM-J6-001</t>
    <phoneticPr fontId="36" type="noConversion"/>
  </si>
  <si>
    <r>
      <t>MYM-220728-MYM-J6-001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MYM-230116-CJF-J6-001</t>
    </r>
    <phoneticPr fontId="36" type="noConversion"/>
  </si>
  <si>
    <r>
      <t>MYM-221115-CJF-J6-001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MYM-221219-ZDG-J6-001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MYM-221222-CJF-J6-001;MYM-230116-CJF-J6-001</t>
    </r>
    <phoneticPr fontId="36" type="noConversion"/>
  </si>
  <si>
    <t>MYM-230203-CJF-J6-001</t>
    <phoneticPr fontId="36" type="noConversion"/>
  </si>
  <si>
    <t>MYM-230313-CJF-J6-002</t>
    <phoneticPr fontId="36" type="noConversion"/>
  </si>
  <si>
    <t>MYM-230313-CJF-J4-004</t>
    <phoneticPr fontId="36" type="noConversion"/>
  </si>
  <si>
    <t>MYM-230323-CJF-J7-001</t>
    <phoneticPr fontId="36" type="noConversion"/>
  </si>
  <si>
    <t>MYM-230407-CJF-J6-001</t>
    <phoneticPr fontId="36" type="noConversion"/>
  </si>
  <si>
    <t>1L</t>
    <phoneticPr fontId="36" type="noConversion"/>
  </si>
  <si>
    <t>QHJ-230407-MYM-J6-001</t>
    <phoneticPr fontId="36" type="noConversion"/>
  </si>
  <si>
    <t>M/S</t>
    <phoneticPr fontId="36" type="noConversion"/>
  </si>
  <si>
    <t>QHJ-230412-MYM-J6-001</t>
    <phoneticPr fontId="36" type="noConversion"/>
  </si>
  <si>
    <t>盒</t>
  </si>
  <si>
    <t>QHJ-230413-MYM-J6-001</t>
    <phoneticPr fontId="36" type="noConversion"/>
  </si>
  <si>
    <r>
      <t>S602,</t>
    </r>
    <r>
      <rPr>
        <sz val="11"/>
        <color indexed="8"/>
        <rFont val="宋体"/>
        <family val="3"/>
        <charset val="134"/>
      </rPr>
      <t>四层，</t>
    </r>
    <r>
      <rPr>
        <sz val="11"/>
        <color indexed="8"/>
        <rFont val="Arial Narrow"/>
        <family val="2"/>
      </rPr>
      <t>10</t>
    </r>
    <r>
      <rPr>
        <sz val="11"/>
        <color indexed="8"/>
        <rFont val="宋体"/>
        <family val="3"/>
        <charset val="134"/>
      </rPr>
      <t>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包</t>
    </r>
    <phoneticPr fontId="36" type="noConversion"/>
  </si>
  <si>
    <t>MYM-230425-CJF-J7-001</t>
    <phoneticPr fontId="36" type="noConversion"/>
  </si>
  <si>
    <t>QHJ-230425-MYM-J6-001</t>
    <phoneticPr fontId="36" type="noConversion"/>
  </si>
  <si>
    <t>MYM-230425-CJF-J6-002</t>
    <phoneticPr fontId="36" type="noConversion"/>
  </si>
  <si>
    <t>PM-996,10.2CM*38.1M</t>
    <phoneticPr fontId="36" type="noConversion"/>
  </si>
  <si>
    <t>MYM-30504-CJF-J6-002</t>
    <phoneticPr fontId="36" type="noConversion"/>
  </si>
  <si>
    <t>MYM-201208-SCL-J6-006;MYM-230519-CJF-J6-001</t>
    <phoneticPr fontId="36" type="noConversion"/>
  </si>
  <si>
    <r>
      <t>MYM-211110-LJ-J6-002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MYM-220804-MYM-J6-001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MYM-230522-CJF-J6-001</t>
    </r>
    <phoneticPr fontId="36" type="noConversion"/>
  </si>
  <si>
    <t>MYM-230522-CJF-J6-002</t>
    <phoneticPr fontId="36" type="noConversion"/>
  </si>
  <si>
    <r>
      <rPr>
        <sz val="11"/>
        <rFont val="宋体"/>
        <family val="3"/>
        <charset val="134"/>
      </rPr>
      <t>紫色家具</t>
    </r>
    <r>
      <rPr>
        <sz val="11"/>
        <rFont val="Arial Narrow"/>
        <family val="2"/>
      </rPr>
      <t>N</t>
    </r>
    <r>
      <rPr>
        <sz val="11"/>
        <rFont val="宋体"/>
        <family val="3"/>
        <charset val="134"/>
      </rPr>
      <t>盒</t>
    </r>
    <phoneticPr fontId="36" type="noConversion"/>
  </si>
  <si>
    <r>
      <t>10ml</t>
    </r>
    <r>
      <rPr>
        <sz val="11"/>
        <color indexed="8"/>
        <rFont val="宋体"/>
        <family val="3"/>
        <charset val="134"/>
      </rPr>
      <t>白色、棕色</t>
    </r>
    <phoneticPr fontId="36" type="noConversion"/>
  </si>
  <si>
    <t>MYM-230524-CJF-J6-003</t>
    <phoneticPr fontId="36" type="noConversion"/>
  </si>
  <si>
    <r>
      <t>MYM-201229-SCL-J4-003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MYM-210422-QIW-J4-004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MYM-211020-LJ-J4-003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MYM-230111-CJF-J4-001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MYM-230524-CJF-J4-004</t>
    </r>
    <phoneticPr fontId="36" type="noConversion"/>
  </si>
  <si>
    <t>MYM-230524-CJF-J4-005</t>
    <phoneticPr fontId="36" type="noConversion"/>
  </si>
  <si>
    <t>MYM-211110-LJ-J4-015;MYM-230524-CJF-J4-006</t>
    <phoneticPr fontId="36" type="noConversion"/>
  </si>
  <si>
    <t>MYM-221206-CJF-J4-001</t>
    <phoneticPr fontId="36" type="noConversion"/>
  </si>
  <si>
    <t>MYM-230524-CJF-J4-007</t>
    <phoneticPr fontId="36" type="noConversion"/>
  </si>
  <si>
    <r>
      <t>250ml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200ml</t>
    </r>
    <phoneticPr fontId="36" type="noConversion"/>
  </si>
  <si>
    <t>电热消解仪配件</t>
    <phoneticPr fontId="36" type="noConversion"/>
  </si>
  <si>
    <t>EHD-24</t>
    <phoneticPr fontId="36" type="noConversion"/>
  </si>
  <si>
    <t>QDJ-230508-MYM-J7-001</t>
    <phoneticPr fontId="36" type="noConversion"/>
  </si>
  <si>
    <t>MYM-230508-CJF-J7-001</t>
    <phoneticPr fontId="36" type="noConversion"/>
  </si>
  <si>
    <t>MYM-230529-ZD-J6-001</t>
    <phoneticPr fontId="36" type="noConversion"/>
  </si>
  <si>
    <t>1/8</t>
    <phoneticPr fontId="36" type="noConversion"/>
  </si>
  <si>
    <t>QHJ-230606-MYM-J6-001</t>
    <phoneticPr fontId="36" type="noConversion"/>
  </si>
  <si>
    <t>MYM-230606-CJF-J6-001</t>
    <phoneticPr fontId="36" type="noConversion"/>
  </si>
  <si>
    <t>ZGG-230608-MYM-J6-001</t>
    <phoneticPr fontId="36" type="noConversion"/>
  </si>
  <si>
    <t>5L</t>
    <phoneticPr fontId="36" type="noConversion"/>
  </si>
  <si>
    <r>
      <t>MYM-230403-CJF-J6-004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MYM-230619-CJF-J6-002</t>
    </r>
    <phoneticPr fontId="36" type="noConversion"/>
  </si>
  <si>
    <t>K5</t>
    <phoneticPr fontId="36" type="noConversion"/>
  </si>
  <si>
    <t>QDJ-230706-MYM-J6-001</t>
    <phoneticPr fontId="36" type="noConversion"/>
  </si>
  <si>
    <t>MYM-230712-ZRJ-J6-001</t>
    <phoneticPr fontId="36" type="noConversion"/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</si>
  <si>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4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4</t>
    </r>
    <phoneticPr fontId="36" type="noConversion"/>
  </si>
  <si>
    <r>
      <rPr>
        <sz val="11"/>
        <rFont val="宋体"/>
        <family val="3"/>
        <charset val="134"/>
      </rPr>
      <t>低型</t>
    </r>
    <r>
      <rPr>
        <sz val="11"/>
        <rFont val="Arial Narrow"/>
        <family val="2"/>
      </rPr>
      <t>13</t>
    </r>
    <r>
      <rPr>
        <sz val="11"/>
        <rFont val="宋体"/>
        <family val="3"/>
        <charset val="134"/>
      </rPr>
      <t>高型</t>
    </r>
    <r>
      <rPr>
        <sz val="11"/>
        <rFont val="Arial Narrow"/>
        <family val="2"/>
      </rPr>
      <t>6</t>
    </r>
    <phoneticPr fontId="36" type="noConversion"/>
  </si>
  <si>
    <r>
      <rPr>
        <sz val="11"/>
        <color indexed="8"/>
        <rFont val="宋体"/>
        <family val="3"/>
        <charset val="134"/>
      </rPr>
      <t>长</t>
    </r>
    <r>
      <rPr>
        <sz val="11"/>
        <color indexed="8"/>
        <rFont val="Arial Narrow"/>
        <family val="2"/>
      </rPr>
      <t>9</t>
    </r>
    <r>
      <rPr>
        <sz val="11"/>
        <color indexed="8"/>
        <rFont val="宋体"/>
        <family val="3"/>
        <charset val="134"/>
      </rPr>
      <t>短</t>
    </r>
    <r>
      <rPr>
        <sz val="11"/>
        <color indexed="8"/>
        <rFont val="Arial Narrow"/>
        <family val="2"/>
      </rPr>
      <t>3</t>
    </r>
    <phoneticPr fontId="36" type="noConversion"/>
  </si>
  <si>
    <r>
      <rPr>
        <sz val="11"/>
        <color indexed="8"/>
        <rFont val="宋体"/>
        <family val="3"/>
        <charset val="134"/>
      </rPr>
      <t>分别</t>
    </r>
    <r>
      <rPr>
        <sz val="11"/>
        <color indexed="8"/>
        <rFont val="Arial Narrow"/>
        <family val="2"/>
      </rPr>
      <t>6</t>
    </r>
    <r>
      <rPr>
        <sz val="11"/>
        <color indexed="8"/>
        <rFont val="宋体"/>
        <family val="3"/>
        <charset val="134"/>
      </rPr>
      <t>和</t>
    </r>
    <r>
      <rPr>
        <sz val="11"/>
        <color indexed="8"/>
        <rFont val="Arial Narrow"/>
        <family val="2"/>
      </rPr>
      <t>2</t>
    </r>
    <r>
      <rPr>
        <sz val="11"/>
        <color indexed="8"/>
        <rFont val="宋体"/>
        <family val="3"/>
        <charset val="134"/>
      </rPr>
      <t>个</t>
    </r>
    <phoneticPr fontId="36" type="noConversion"/>
  </si>
  <si>
    <r>
      <t>100*100MM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90*90MM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75*75MM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 Narrow"/>
        <family val="2"/>
      </rPr>
      <t>500</t>
    </r>
    <r>
      <rPr>
        <sz val="11"/>
        <color indexed="8"/>
        <rFont val="宋体"/>
        <family val="3"/>
        <charset val="134"/>
      </rPr>
      <t>张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包</t>
    </r>
    <phoneticPr fontId="36" type="noConversion"/>
  </si>
  <si>
    <t>MYM-200228-SHY-JC07-005</t>
    <phoneticPr fontId="36" type="noConversion"/>
  </si>
  <si>
    <t>DrvckRing</t>
    <phoneticPr fontId="36" type="noConversion"/>
  </si>
  <si>
    <t>0523210</t>
    <phoneticPr fontId="36" type="noConversion"/>
  </si>
  <si>
    <t>stutzhulse AD 6/id3</t>
    <phoneticPr fontId="36" type="noConversion"/>
  </si>
  <si>
    <t>蓝色气管6*4㎜</t>
    <phoneticPr fontId="36" type="noConversion"/>
  </si>
  <si>
    <t>1329700</t>
    <phoneticPr fontId="36" type="noConversion"/>
  </si>
  <si>
    <t>其它</t>
    <phoneticPr fontId="36" type="noConversion"/>
  </si>
  <si>
    <t>内衬管</t>
    <phoneticPr fontId="36" type="noConversion"/>
  </si>
  <si>
    <t>4*61</t>
    <phoneticPr fontId="36" type="noConversion"/>
  </si>
  <si>
    <t>GC</t>
    <phoneticPr fontId="36" type="noConversion"/>
  </si>
  <si>
    <t>VOC采样管配件（UHTI-F-090)</t>
    <phoneticPr fontId="36" type="noConversion"/>
  </si>
  <si>
    <t>盒子内</t>
    <phoneticPr fontId="36" type="noConversion"/>
  </si>
  <si>
    <t>QDJ-230814-CJF-J6-001</t>
    <phoneticPr fontId="36" type="noConversion"/>
  </si>
  <si>
    <t>CJF-230814-QYT-J6-001</t>
    <phoneticPr fontId="36" type="noConversion"/>
  </si>
  <si>
    <r>
      <t>MYM-200708-CYX-J6-003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MYM-201116-SCL-J6-002;CJF-230814-QYT-J6-001</t>
    </r>
    <phoneticPr fontId="36" type="noConversion"/>
  </si>
  <si>
    <t>500ml</t>
    <phoneticPr fontId="36" type="noConversion"/>
  </si>
  <si>
    <r>
      <t>MYM-210913-RL-J6-003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MYM-220218-MYM-J6-001</t>
    </r>
    <phoneticPr fontId="36" type="noConversion"/>
  </si>
  <si>
    <r>
      <t>MYM-200601-CYX-J6-003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MYM-200811-CYX-J6-003</t>
    </r>
    <r>
      <rPr>
        <sz val="11"/>
        <color theme="1"/>
        <rFont val="宋体"/>
        <family val="3"/>
        <charset val="134"/>
      </rPr>
      <t>；</t>
    </r>
    <phoneticPr fontId="36" type="noConversion"/>
  </si>
  <si>
    <t>QHJ-231019-CJF-J6-001</t>
    <phoneticPr fontId="36" type="noConversion"/>
  </si>
  <si>
    <t>5L</t>
    <phoneticPr fontId="36" type="noConversion"/>
  </si>
  <si>
    <r>
      <rPr>
        <sz val="11"/>
        <rFont val="宋体"/>
        <family val="3"/>
        <charset val="134"/>
      </rPr>
      <t>活性炭采样管</t>
    </r>
    <r>
      <rPr>
        <sz val="11"/>
        <rFont val="Arial Narrow"/>
        <family val="2"/>
      </rPr>
      <t>BMILP</t>
    </r>
    <phoneticPr fontId="36" type="noConversion"/>
  </si>
  <si>
    <t>6*120</t>
    <phoneticPr fontId="36" type="noConversion"/>
  </si>
  <si>
    <t>CJF-231024-QYT-J6-001</t>
    <phoneticPr fontId="36" type="noConversion"/>
  </si>
  <si>
    <t>钢化煲</t>
    <phoneticPr fontId="36" type="noConversion"/>
  </si>
  <si>
    <t>波匠</t>
    <phoneticPr fontId="36" type="noConversion"/>
  </si>
  <si>
    <t>2.5L</t>
    <phoneticPr fontId="36" type="noConversion"/>
  </si>
  <si>
    <t>个</t>
    <phoneticPr fontId="36" type="noConversion"/>
  </si>
  <si>
    <t>CJF231025-CJF-J4-001</t>
    <phoneticPr fontId="36" type="noConversion"/>
  </si>
  <si>
    <r>
      <t>MYM-220906-MYM-J6-001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MYM-221025-WXY-J6-001;MYM-221207-QHJ-J6-001;MYM-221207-CJF-J6-002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MYM-230524-CJF-J6-001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CJF-231026-ZD-J6-001</t>
    </r>
    <phoneticPr fontId="36" type="noConversion"/>
  </si>
  <si>
    <r>
      <t>MYM-200324-SHY-J6-001;MYM-200508-SCL-J6-001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MYM-200811-CYX-J6-002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MYM-210207-SCL-J6-001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MYM-230331-CJF-J6-001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ZHD-231121-WWY-J6-001</t>
    </r>
    <phoneticPr fontId="36" type="noConversion"/>
  </si>
  <si>
    <t>ZHD-231121-WWY-J6-002</t>
    <phoneticPr fontId="36" type="noConversion"/>
  </si>
  <si>
    <r>
      <t>MYM-221011-CJF-J6-001;MYM-221216-CJF-J6-001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MYM-230331-CJF-J6-002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ZHD-231129-WWY-J6-001</t>
    </r>
    <phoneticPr fontId="36" type="noConversion"/>
  </si>
  <si>
    <r>
      <t>MYM-201019-KAP-J6-002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MYM-220124-MYM-J6-002</t>
    </r>
    <phoneticPr fontId="36" type="noConversion"/>
  </si>
  <si>
    <r>
      <t>MYM-220124-MYM-J6-002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ZHD-231129-WWY-J6-003</t>
    </r>
    <phoneticPr fontId="36" type="noConversion"/>
  </si>
  <si>
    <r>
      <t>MYM-230313-CJF-J6-001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ZHD-231130-WWY-J6-002</t>
    </r>
    <phoneticPr fontId="36" type="noConversion"/>
  </si>
  <si>
    <r>
      <t>60ml</t>
    </r>
    <r>
      <rPr>
        <sz val="11"/>
        <color indexed="8"/>
        <rFont val="宋体"/>
        <family val="3"/>
        <charset val="134"/>
      </rPr>
      <t>棕</t>
    </r>
    <phoneticPr fontId="36" type="noConversion"/>
  </si>
  <si>
    <r>
      <t>5ml/14*2</t>
    </r>
    <r>
      <rPr>
        <sz val="11"/>
        <rFont val="宋体"/>
        <family val="3"/>
        <charset val="134"/>
      </rPr>
      <t>、白色</t>
    </r>
    <phoneticPr fontId="36" type="noConversion"/>
  </si>
  <si>
    <t>10*15/10*7.7/10*7.5</t>
    <phoneticPr fontId="36" type="noConversion"/>
  </si>
  <si>
    <t>1.14*180</t>
    <phoneticPr fontId="36" type="noConversion"/>
  </si>
  <si>
    <r>
      <t>500ml,44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箱</t>
    </r>
    <phoneticPr fontId="36" type="noConversion"/>
  </si>
  <si>
    <r>
      <t>G5</t>
    </r>
    <r>
      <rPr>
        <sz val="11"/>
        <color theme="1"/>
        <rFont val="宋体"/>
        <family val="3"/>
        <charset val="134"/>
      </rPr>
      <t>储物箱</t>
    </r>
    <phoneticPr fontId="36" type="noConversion"/>
  </si>
  <si>
    <t>水控自动开关</t>
    <phoneticPr fontId="36" type="noConversion"/>
  </si>
  <si>
    <t>智能型数字显示温度控制器</t>
    <phoneticPr fontId="36" type="noConversion"/>
  </si>
  <si>
    <t>CS HOUSing</t>
    <phoneticPr fontId="36" type="noConversion"/>
  </si>
  <si>
    <t>臣源</t>
    <phoneticPr fontId="36" type="noConversion"/>
  </si>
  <si>
    <t>AC200V/150W</t>
    <phoneticPr fontId="36" type="noConversion"/>
  </si>
  <si>
    <t>/</t>
    <phoneticPr fontId="36" type="noConversion"/>
  </si>
  <si>
    <t>XMTD-8222</t>
    <phoneticPr fontId="36" type="noConversion"/>
  </si>
  <si>
    <t>Vision Station</t>
    <phoneticPr fontId="36" type="noConversion"/>
  </si>
  <si>
    <t>ZC-H15-SH/AC 24W</t>
    <phoneticPr fontId="36" type="noConversion"/>
  </si>
  <si>
    <t>0-150mm</t>
    <phoneticPr fontId="36" type="noConversion"/>
  </si>
  <si>
    <r>
      <t>6*120</t>
    </r>
    <r>
      <rPr>
        <sz val="11"/>
        <color theme="1"/>
        <rFont val="宋体"/>
        <family val="3"/>
        <charset val="134"/>
      </rPr>
      <t>，溶剂解吸析型，</t>
    </r>
    <r>
      <rPr>
        <sz val="11"/>
        <color theme="1"/>
        <rFont val="Arial Narrow"/>
        <family val="2"/>
      </rPr>
      <t>50/100mg</t>
    </r>
    <r>
      <rPr>
        <sz val="11"/>
        <color theme="1"/>
        <rFont val="宋体"/>
        <family val="3"/>
        <charset val="134"/>
      </rPr>
      <t>，中性</t>
    </r>
    <phoneticPr fontId="36" type="noConversion"/>
  </si>
  <si>
    <r>
      <rPr>
        <sz val="11"/>
        <color indexed="8"/>
        <rFont val="宋体"/>
        <family val="3"/>
        <charset val="134"/>
      </rPr>
      <t>已开封</t>
    </r>
    <r>
      <rPr>
        <sz val="11"/>
        <color indexed="8"/>
        <rFont val="Arial Narrow"/>
        <family val="2"/>
      </rPr>
      <t>229</t>
    </r>
    <r>
      <rPr>
        <sz val="11"/>
        <color indexed="8"/>
        <rFont val="宋体"/>
        <family val="3"/>
        <charset val="134"/>
      </rPr>
      <t>个</t>
    </r>
    <phoneticPr fontId="36" type="noConversion"/>
  </si>
  <si>
    <r>
      <rPr>
        <sz val="11"/>
        <rFont val="宋体"/>
        <family val="3"/>
        <charset val="134"/>
      </rPr>
      <t>白</t>
    </r>
    <r>
      <rPr>
        <sz val="11"/>
        <rFont val="Arial Narrow"/>
        <family val="2"/>
      </rPr>
      <t>8</t>
    </r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8</t>
    </r>
    <phoneticPr fontId="36" type="noConversion"/>
  </si>
  <si>
    <r>
      <rPr>
        <sz val="11"/>
        <rFont val="宋体"/>
        <family val="3"/>
        <charset val="134"/>
      </rPr>
      <t>棕</t>
    </r>
    <r>
      <rPr>
        <sz val="11"/>
        <rFont val="Arial Narrow"/>
        <family val="2"/>
      </rPr>
      <t>1</t>
    </r>
    <phoneticPr fontId="36" type="noConversion"/>
  </si>
  <si>
    <t>MYM-211104-LJ-J4-001</t>
    <phoneticPr fontId="36" type="noConversion"/>
  </si>
  <si>
    <t>WWY-231229-ZHD-J4-001</t>
    <phoneticPr fontId="36" type="noConversion"/>
  </si>
  <si>
    <t>ZHD-231229-WWY-J4-001</t>
    <phoneticPr fontId="36" type="noConversion"/>
  </si>
  <si>
    <t>WWY-231229-ZHD-J4-002</t>
    <phoneticPr fontId="36" type="noConversion"/>
  </si>
  <si>
    <t>WWY-231229-ZHD-J4-003</t>
  </si>
  <si>
    <r>
      <t>50ml</t>
    </r>
    <r>
      <rPr>
        <sz val="11"/>
        <color indexed="8"/>
        <rFont val="宋体"/>
        <family val="3"/>
        <charset val="134"/>
      </rPr>
      <t>棕</t>
    </r>
    <phoneticPr fontId="36" type="noConversion"/>
  </si>
  <si>
    <t>WWY-231229-ZHD-J6-001</t>
    <phoneticPr fontId="36" type="noConversion"/>
  </si>
  <si>
    <t>WWY-231229-ZHD-J6-002</t>
  </si>
  <si>
    <t>WWY-231229-ZHD-J6-003</t>
    <phoneticPr fontId="36" type="noConversion"/>
  </si>
  <si>
    <t>ZHD-231229-WWY-J6-001</t>
    <phoneticPr fontId="36" type="noConversion"/>
  </si>
  <si>
    <r>
      <t>MYM-200708-QHJ-J6-001;MYM-220607-QHJ-J6-001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ZHD-231229-WWY-J6-003</t>
    </r>
    <phoneticPr fontId="36" type="noConversion"/>
  </si>
  <si>
    <t>WWY-231229-ZHD-J6-004</t>
    <phoneticPr fontId="36" type="noConversion"/>
  </si>
  <si>
    <t>WWY-231229-ZHD-J6-005</t>
  </si>
  <si>
    <r>
      <t>MYM-211014-LJ-J6-003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MYM-220222-MYM-J6-001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MYM-220811-MYM-J6-002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ZHD-231229-WWY-J6-006</t>
    </r>
    <phoneticPr fontId="36" type="noConversion"/>
  </si>
  <si>
    <t>WWY-231229-ZHD-J6-006</t>
    <phoneticPr fontId="36" type="noConversion"/>
  </si>
  <si>
    <r>
      <t>MYM-210323-YF-J6-001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MYM-210422-SJJ-J6-001;MYM-210512-ZX-J6-001;MYM-210528-YF-J6-001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MYM-210621-ZX-J6-001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MYM-210719-ZX-J6-001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MYM-210810-ZX-J6-001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MYM-210816-QJW-J6-004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MYM-210901-ZHL-J6-001;MYM-210914-ZHL-J6-001;MYM-210922-LJ-J6-003;MYM-210925-ZHL-J6-003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MYM-220906-MYM-J6-002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ZHD-231229-WWY-J6-007</t>
    </r>
    <phoneticPr fontId="36" type="noConversion"/>
  </si>
  <si>
    <t>ZHD-231229-WWY-J6-008</t>
    <phoneticPr fontId="36" type="noConversion"/>
  </si>
  <si>
    <t>WWY-231229-ZHD-J6-007</t>
    <phoneticPr fontId="36" type="noConversion"/>
  </si>
  <si>
    <t>WWY-231229-ZHD-J6-008</t>
  </si>
  <si>
    <t>WWY-231229-ZHD-J6-009</t>
  </si>
  <si>
    <t>WWY-231229-ZHD-J6-010</t>
  </si>
  <si>
    <t>WWY-231229-ZHD-J6-011</t>
  </si>
  <si>
    <t>WWY-231229-ZHD-J6-012</t>
  </si>
  <si>
    <t>WWY-231229-ZHD-J6-013</t>
  </si>
  <si>
    <t>WWY-231229-ZHD-J6-014</t>
  </si>
  <si>
    <t>WWY-231229-ZHD-J6-015</t>
  </si>
  <si>
    <t>QDJ-230707-MYM-J6-001</t>
    <phoneticPr fontId="36" type="noConversion"/>
  </si>
  <si>
    <r>
      <t>500ml,44</t>
    </r>
    <r>
      <rPr>
        <sz val="11"/>
        <color indexed="8"/>
        <rFont val="宋体"/>
        <family val="3"/>
        <charset val="134"/>
      </rPr>
      <t>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箱</t>
    </r>
    <phoneticPr fontId="36" type="noConversion"/>
  </si>
  <si>
    <t>WWY-240111-ZHD-J6-001</t>
    <phoneticPr fontId="36" type="noConversion"/>
  </si>
  <si>
    <t>WWY-240111-ZHD-J6-002</t>
    <phoneticPr fontId="36" type="noConversion"/>
  </si>
  <si>
    <r>
      <t>20240111</t>
    </r>
    <r>
      <rPr>
        <sz val="11"/>
        <color theme="1"/>
        <rFont val="宋体"/>
        <family val="3"/>
        <charset val="134"/>
      </rPr>
      <t>由南通转来</t>
    </r>
    <phoneticPr fontId="36" type="noConversion"/>
  </si>
  <si>
    <r>
      <t>MYM-210203-SCL-J6-001;MYM-210401-QJW-J6-002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MYM-210705-QJW-J6-001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MYM-220112-WJS-J6-002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MYM-220604-MYM-J6-001;MYM-220622-MYM-J6-001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ZHD-240131-WWY-J6-001</t>
    </r>
    <phoneticPr fontId="36" type="noConversion"/>
  </si>
  <si>
    <t>WWY-240201-ZHD-J6-001</t>
    <phoneticPr fontId="36" type="noConversion"/>
  </si>
  <si>
    <r>
      <t>20240201</t>
    </r>
    <r>
      <rPr>
        <sz val="11"/>
        <color theme="1"/>
        <rFont val="宋体"/>
        <family val="3"/>
        <charset val="134"/>
      </rPr>
      <t>由南通转来</t>
    </r>
    <phoneticPr fontId="36" type="noConversion"/>
  </si>
  <si>
    <t>WWY-240309-ZHD-J6-001</t>
    <phoneticPr fontId="36" type="noConversion"/>
  </si>
  <si>
    <r>
      <t>MYM-201223-YF-J6-001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MYM-220907-MYM-J6-002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ZHD-240313-WWY-J6-001</t>
    </r>
    <phoneticPr fontId="36" type="noConversion"/>
  </si>
  <si>
    <t>ZHD-240319-WWY-J6-001</t>
    <phoneticPr fontId="36" type="noConversion"/>
  </si>
  <si>
    <t>1白1黄，全自动静水压测试仪、电子胀破仪</t>
    <phoneticPr fontId="37" type="noConversion"/>
  </si>
  <si>
    <t>205C-17</t>
    <phoneticPr fontId="36" type="noConversion"/>
  </si>
  <si>
    <t>Peristaltic pump Tubing φ0.381mm</t>
    <phoneticPr fontId="36" type="noConversion"/>
  </si>
  <si>
    <r>
      <t>MYM-2009025-QDJ-J6-001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MYM-210203-KAP-J6-002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MYM-210316-SCL--J6-001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MYM-210901-ZHL-J6-002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MYM-211112-ZX-J6-001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MYM-211201-ZX-J6-002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MYM-220112-ZHL-J6-011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MYM-220124-MYM-J6-003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MYM-220217-MYM-J6-002;MYM-230302-CJF-J6-001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WWY240507YHG-J6-001</t>
    </r>
    <phoneticPr fontId="36" type="noConversion"/>
  </si>
  <si>
    <t>MYM-200727-PDJ-J6-002</t>
    <phoneticPr fontId="36" type="noConversion"/>
  </si>
  <si>
    <t>0</t>
    <phoneticPr fontId="36" type="noConversion"/>
  </si>
  <si>
    <t>1</t>
    <phoneticPr fontId="36" type="noConversion"/>
  </si>
  <si>
    <t>2</t>
    <phoneticPr fontId="36" type="noConversion"/>
  </si>
  <si>
    <t>3</t>
    <phoneticPr fontId="36" type="noConversion"/>
  </si>
  <si>
    <t>4</t>
    <phoneticPr fontId="36" type="noConversion"/>
  </si>
  <si>
    <t>5</t>
    <phoneticPr fontId="36" type="noConversion"/>
  </si>
  <si>
    <t>J-06</t>
    <phoneticPr fontId="36" type="noConversion"/>
  </si>
  <si>
    <t>J-05</t>
    <phoneticPr fontId="36" type="noConversion"/>
  </si>
  <si>
    <t>J-04</t>
    <phoneticPr fontId="36" type="noConversion"/>
  </si>
  <si>
    <t>J-02</t>
    <phoneticPr fontId="36" type="noConversion"/>
  </si>
  <si>
    <t>J-03</t>
    <phoneticPr fontId="36" type="noConversion"/>
  </si>
  <si>
    <t>J-07</t>
    <phoneticPr fontId="36" type="noConversion"/>
  </si>
  <si>
    <t>J-08</t>
    <phoneticPr fontId="36" type="noConversion"/>
  </si>
  <si>
    <t>J-03</t>
    <phoneticPr fontId="36" type="noConversion"/>
  </si>
  <si>
    <t>J-07</t>
    <phoneticPr fontId="36" type="noConversion"/>
  </si>
  <si>
    <t>J-02</t>
    <phoneticPr fontId="36" type="noConversion"/>
  </si>
  <si>
    <t>J-03</t>
    <phoneticPr fontId="37" type="noConversion"/>
  </si>
  <si>
    <t>J-06</t>
    <phoneticPr fontId="36" type="noConversion"/>
  </si>
  <si>
    <t>4</t>
    <phoneticPr fontId="36" type="noConversion"/>
  </si>
  <si>
    <t>4</t>
    <phoneticPr fontId="36" type="noConversion"/>
  </si>
  <si>
    <t>J-01</t>
    <phoneticPr fontId="36" type="noConversion"/>
  </si>
  <si>
    <r>
      <t>J-03</t>
    </r>
    <r>
      <rPr>
        <sz val="11"/>
        <color indexed="8"/>
        <rFont val="宋体"/>
        <family val="3"/>
        <charset val="134"/>
      </rPr>
      <t>、</t>
    </r>
    <r>
      <rPr>
        <sz val="11"/>
        <color indexed="8"/>
        <rFont val="Arial Narrow"/>
        <family val="2"/>
      </rPr>
      <t>D-01</t>
    </r>
    <phoneticPr fontId="36" type="noConversion"/>
  </si>
  <si>
    <r>
      <t>5</t>
    </r>
    <r>
      <rPr>
        <sz val="11"/>
        <color theme="1"/>
        <rFont val="宋体"/>
        <family val="3"/>
        <charset val="134"/>
      </rPr>
      <t>、南墙角</t>
    </r>
    <phoneticPr fontId="36" type="noConversion"/>
  </si>
  <si>
    <t>J-08</t>
    <phoneticPr fontId="36" type="noConversion"/>
  </si>
  <si>
    <t>J-09</t>
    <phoneticPr fontId="36" type="noConversion"/>
  </si>
  <si>
    <t>J-01</t>
    <phoneticPr fontId="36" type="noConversion"/>
  </si>
  <si>
    <t>D-01</t>
    <phoneticPr fontId="36" type="noConversion"/>
  </si>
  <si>
    <t>J-01</t>
    <phoneticPr fontId="36" type="noConversion"/>
  </si>
  <si>
    <t>J-07</t>
    <phoneticPr fontId="37" type="noConversion"/>
  </si>
  <si>
    <t>J-09</t>
    <phoneticPr fontId="37" type="noConversion"/>
  </si>
  <si>
    <t>J-03</t>
    <phoneticPr fontId="36" type="noConversion"/>
  </si>
  <si>
    <t>310G-01</t>
    <phoneticPr fontId="36" type="noConversion"/>
  </si>
  <si>
    <t>307J-09</t>
    <phoneticPr fontId="36" type="noConversion"/>
  </si>
  <si>
    <t>302G-08</t>
    <phoneticPr fontId="36" type="noConversion"/>
  </si>
  <si>
    <t>302G-09</t>
    <phoneticPr fontId="36" type="noConversion"/>
  </si>
  <si>
    <t>302G-12</t>
    <phoneticPr fontId="36" type="noConversion"/>
  </si>
  <si>
    <t>302G-12</t>
    <phoneticPr fontId="36" type="noConversion"/>
  </si>
  <si>
    <t>302G-11</t>
    <phoneticPr fontId="36" type="noConversion"/>
  </si>
  <si>
    <t>302G-13</t>
    <phoneticPr fontId="36" type="noConversion"/>
  </si>
  <si>
    <t>302G-14</t>
    <phoneticPr fontId="36" type="noConversion"/>
  </si>
  <si>
    <t>302G-15</t>
    <phoneticPr fontId="36" type="noConversion"/>
  </si>
  <si>
    <t>302G-06</t>
    <phoneticPr fontId="36" type="noConversion"/>
  </si>
  <si>
    <t>302G-07</t>
    <phoneticPr fontId="36" type="noConversion"/>
  </si>
  <si>
    <t>塑料袋内</t>
    <phoneticPr fontId="37" type="noConversion"/>
  </si>
  <si>
    <t>302G-10</t>
    <phoneticPr fontId="36" type="noConversion"/>
  </si>
  <si>
    <t>304G-04</t>
    <phoneticPr fontId="36" type="noConversion"/>
  </si>
  <si>
    <r>
      <t>MYM-230412-CJF-J6-001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MYM-230427-CJF-J6-001</t>
    </r>
    <phoneticPr fontId="36" type="noConversion"/>
  </si>
  <si>
    <r>
      <t>20*30*14</t>
    </r>
    <r>
      <rPr>
        <sz val="11"/>
        <color theme="1"/>
        <rFont val="宋体"/>
        <family val="3"/>
        <charset val="134"/>
      </rPr>
      <t>丝，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袋</t>
    </r>
    <phoneticPr fontId="37" type="noConversion"/>
  </si>
  <si>
    <r>
      <t>100</t>
    </r>
    <r>
      <rPr>
        <sz val="11"/>
        <color indexed="8"/>
        <rFont val="宋体"/>
        <family val="3"/>
        <charset val="134"/>
      </rPr>
      <t>只</t>
    </r>
    <r>
      <rPr>
        <sz val="11"/>
        <color indexed="8"/>
        <rFont val="Arial Narrow"/>
        <family val="2"/>
      </rPr>
      <t>/</t>
    </r>
    <r>
      <rPr>
        <sz val="11"/>
        <color indexed="8"/>
        <rFont val="宋体"/>
        <family val="3"/>
        <charset val="134"/>
      </rPr>
      <t>盒</t>
    </r>
    <phoneticPr fontId="36" type="noConversion"/>
  </si>
  <si>
    <r>
      <t>20240514</t>
    </r>
    <r>
      <rPr>
        <sz val="11"/>
        <color theme="1"/>
        <rFont val="宋体"/>
        <family val="3"/>
        <charset val="134"/>
      </rPr>
      <t>由南通签收</t>
    </r>
    <phoneticPr fontId="36" type="noConversion"/>
  </si>
  <si>
    <t>YHQ-240514-WJG-J6-001</t>
    <phoneticPr fontId="36" type="noConversion"/>
  </si>
  <si>
    <t>YHQ-240514-WJG-J6-002</t>
    <phoneticPr fontId="36" type="noConversion"/>
  </si>
  <si>
    <t>P04G-08</t>
    <phoneticPr fontId="36" type="noConversion"/>
  </si>
  <si>
    <t>2</t>
    <phoneticPr fontId="36" type="noConversion"/>
  </si>
  <si>
    <t>玻璃砂芯过滤装置</t>
    <phoneticPr fontId="36" type="noConversion"/>
  </si>
  <si>
    <t>高德玻璃仪器耗材</t>
  </si>
  <si>
    <t>CYQ-240719-LMI-J4-001</t>
    <phoneticPr fontId="36" type="noConversion"/>
  </si>
  <si>
    <t>CJM-240720-CYQ-J6-001</t>
    <phoneticPr fontId="36" type="noConversion"/>
  </si>
  <si>
    <t>CJM-240720-CYQ-J6-002</t>
    <phoneticPr fontId="36" type="noConversion"/>
  </si>
  <si>
    <r>
      <t>210mm*210mm*2</t>
    </r>
    <r>
      <rPr>
        <sz val="11"/>
        <color theme="1"/>
        <rFont val="宋体"/>
        <family val="3"/>
        <charset val="134"/>
      </rPr>
      <t>层</t>
    </r>
    <r>
      <rPr>
        <sz val="11"/>
        <color theme="1"/>
        <rFont val="Arial Narrow"/>
        <family val="2"/>
      </rPr>
      <t>*60</t>
    </r>
    <r>
      <rPr>
        <sz val="11"/>
        <color theme="1"/>
        <rFont val="宋体"/>
        <family val="3"/>
        <charset val="134"/>
      </rPr>
      <t>抽</t>
    </r>
    <phoneticPr fontId="36" type="noConversion"/>
  </si>
  <si>
    <t>CJM-240722-CYQ-J6-001</t>
    <phoneticPr fontId="36" type="noConversion"/>
  </si>
  <si>
    <t>包</t>
    <phoneticPr fontId="36" type="noConversion"/>
  </si>
  <si>
    <t>CYQ-240722-LMI-J6-001</t>
    <phoneticPr fontId="36" type="noConversion"/>
  </si>
  <si>
    <t>CYQ-240720-LMI-J6-002</t>
  </si>
  <si>
    <t>1m*3.8cm</t>
    <phoneticPr fontId="36" type="noConversion"/>
  </si>
  <si>
    <t>CJM-240722-CYQ-J6-002</t>
    <phoneticPr fontId="36" type="noConversion"/>
  </si>
  <si>
    <t>CYQ-240722-LMI-J6-002</t>
    <phoneticPr fontId="36" type="noConversion"/>
  </si>
  <si>
    <r>
      <t>m</t>
    </r>
    <r>
      <rPr>
        <sz val="11"/>
        <color theme="1"/>
        <rFont val="宋体"/>
        <family val="3"/>
        <charset val="134"/>
      </rPr>
      <t>码</t>
    </r>
    <phoneticPr fontId="36" type="noConversion"/>
  </si>
  <si>
    <t>CJM-240722-CYQ-J6-003</t>
    <phoneticPr fontId="36" type="noConversion"/>
  </si>
  <si>
    <r>
      <t>s</t>
    </r>
    <r>
      <rPr>
        <sz val="11"/>
        <color theme="1"/>
        <rFont val="宋体"/>
        <family val="3"/>
        <charset val="134"/>
      </rPr>
      <t>码</t>
    </r>
    <phoneticPr fontId="36" type="noConversion"/>
  </si>
  <si>
    <t>CJM-240722-CYQ-J6-004</t>
    <phoneticPr fontId="36" type="noConversion"/>
  </si>
  <si>
    <t>套</t>
    <phoneticPr fontId="36" type="noConversion"/>
  </si>
  <si>
    <t>紫外灯管</t>
    <phoneticPr fontId="36" type="noConversion"/>
  </si>
  <si>
    <t>尚吉光</t>
    <phoneticPr fontId="36" type="noConversion"/>
  </si>
  <si>
    <t>120cm</t>
    <phoneticPr fontId="36" type="noConversion"/>
  </si>
  <si>
    <t>YHQ-240801-CYQ-J4-001</t>
    <phoneticPr fontId="36" type="noConversion"/>
  </si>
  <si>
    <t>CJM-240719-CYQ-J4-001</t>
    <phoneticPr fontId="36" type="noConversion"/>
  </si>
  <si>
    <t>CYQ-240801-LMI-J4-001</t>
    <phoneticPr fontId="36" type="noConversion"/>
  </si>
  <si>
    <t>YHQ-240801-CYQ-J6-001</t>
    <phoneticPr fontId="36" type="noConversion"/>
  </si>
  <si>
    <t>CYQ-240801-LMI-J6-001</t>
    <phoneticPr fontId="36" type="noConversion"/>
  </si>
  <si>
    <t>1092*787mm</t>
    <phoneticPr fontId="36" type="noConversion"/>
  </si>
  <si>
    <t>玻璃比色皿</t>
    <phoneticPr fontId="36" type="noConversion"/>
  </si>
  <si>
    <t>书弗</t>
    <phoneticPr fontId="36" type="noConversion"/>
  </si>
  <si>
    <r>
      <t>30cm</t>
    </r>
    <r>
      <rPr>
        <sz val="11"/>
        <color theme="1"/>
        <rFont val="宋体"/>
        <family val="3"/>
        <charset val="134"/>
      </rPr>
      <t>两通光（四只装）</t>
    </r>
    <phoneticPr fontId="36" type="noConversion"/>
  </si>
  <si>
    <t>YHQ-240805-CYQ-J4-001</t>
    <phoneticPr fontId="36" type="noConversion"/>
  </si>
  <si>
    <t>CYQ-240805-LMI-J4-001</t>
    <phoneticPr fontId="36" type="noConversion"/>
  </si>
  <si>
    <t>CYQ-240805-LMI-J4-002</t>
    <phoneticPr fontId="36" type="noConversion"/>
  </si>
  <si>
    <t>S-006004</t>
    <phoneticPr fontId="36" type="noConversion"/>
  </si>
  <si>
    <t>YHQ-240805-CYQ-J6-001</t>
    <phoneticPr fontId="36" type="noConversion"/>
  </si>
  <si>
    <t>CYQ-240805-LMI-J6-001</t>
    <phoneticPr fontId="36" type="noConversion"/>
  </si>
  <si>
    <t>12*12cm</t>
    <phoneticPr fontId="36" type="noConversion"/>
  </si>
  <si>
    <t>YHQ-240805-CYQ-J6-002</t>
  </si>
  <si>
    <t>CYQ-240805-LMI-J6-002</t>
  </si>
  <si>
    <r>
      <t>75%</t>
    </r>
    <r>
      <rPr>
        <sz val="11"/>
        <color theme="1"/>
        <rFont val="宋体"/>
        <family val="3"/>
        <charset val="134"/>
      </rPr>
      <t>乙醇消毒液</t>
    </r>
    <phoneticPr fontId="36" type="noConversion"/>
  </si>
  <si>
    <t>500ml</t>
    <phoneticPr fontId="36" type="noConversion"/>
  </si>
  <si>
    <t>YHQ-240812-CYQ-J6-001</t>
    <phoneticPr fontId="36" type="noConversion"/>
  </si>
  <si>
    <t>瓶</t>
    <phoneticPr fontId="36" type="noConversion"/>
  </si>
  <si>
    <t>手术室拖鞋</t>
  </si>
  <si>
    <r>
      <t>40</t>
    </r>
    <r>
      <rPr>
        <sz val="11"/>
        <color theme="1"/>
        <rFont val="宋体"/>
        <family val="3"/>
        <charset val="134"/>
      </rPr>
      <t>码</t>
    </r>
    <phoneticPr fontId="36" type="noConversion"/>
  </si>
  <si>
    <r>
      <t>45</t>
    </r>
    <r>
      <rPr>
        <sz val="11"/>
        <color theme="1"/>
        <rFont val="宋体"/>
        <family val="3"/>
        <charset val="134"/>
      </rPr>
      <t>码</t>
    </r>
    <phoneticPr fontId="36" type="noConversion"/>
  </si>
  <si>
    <t>YHQ-240812-CYQ-J6-002</t>
  </si>
  <si>
    <t>YHQ-240812-CYQ-J6-003</t>
  </si>
  <si>
    <t>YHQ-240812-CYQ-J6-004</t>
  </si>
  <si>
    <t>YHQ-240812-CYQ-J6-005</t>
  </si>
  <si>
    <t>双</t>
    <phoneticPr fontId="36" type="noConversion"/>
  </si>
  <si>
    <t>CYQ-240812-LMI-J6-001</t>
    <phoneticPr fontId="36" type="noConversion"/>
  </si>
  <si>
    <t>CYQ-240812-LMI-J6-002</t>
  </si>
  <si>
    <t>CYQ-240812-LMI-J6-003</t>
  </si>
  <si>
    <t>CYQ-240812-LMI-J6-004</t>
  </si>
  <si>
    <t>CYQ-240812-LMI-J6-005</t>
  </si>
  <si>
    <t>TM-002</t>
    <phoneticPr fontId="36" type="noConversion"/>
  </si>
  <si>
    <r>
      <t>3</t>
    </r>
    <r>
      <rPr>
        <sz val="11"/>
        <color theme="1"/>
        <rFont val="宋体"/>
        <family val="3"/>
        <charset val="134"/>
      </rPr>
      <t>区</t>
    </r>
    <phoneticPr fontId="36" type="noConversion"/>
  </si>
  <si>
    <r>
      <t>95%</t>
    </r>
    <r>
      <rPr>
        <sz val="11"/>
        <color theme="1"/>
        <rFont val="宋体"/>
        <family val="3"/>
        <charset val="134"/>
      </rPr>
      <t>医用酒精</t>
    </r>
    <phoneticPr fontId="36" type="noConversion"/>
  </si>
  <si>
    <t>2L</t>
    <phoneticPr fontId="36" type="noConversion"/>
  </si>
  <si>
    <t>YHQ-240814-CYQ-J6-001</t>
    <phoneticPr fontId="36" type="noConversion"/>
  </si>
  <si>
    <t>CYQ-240814-LMI-J6-001</t>
    <phoneticPr fontId="36" type="noConversion"/>
  </si>
  <si>
    <t>CYQ-240814-LMI-J6-002</t>
  </si>
  <si>
    <t>CYQ-240814-LMI-J6-003</t>
  </si>
  <si>
    <t>CYQ-240814-LMI-J6-004</t>
  </si>
  <si>
    <t>CYQ-240814-LMI-J6-005</t>
  </si>
  <si>
    <t>CYQ-240814-LMI-J6-006</t>
  </si>
  <si>
    <t>CYQ-240814-LMI-J6-007</t>
  </si>
  <si>
    <t>YHQ-240814-CYQ-J6-002</t>
  </si>
  <si>
    <t>YHQ-240814-CYQ-J6-003</t>
  </si>
  <si>
    <t>YHQ-240814-CYQ-J6-004</t>
  </si>
  <si>
    <t>YHQ-240814-CYQ-J6-005</t>
  </si>
  <si>
    <t>YHQ-240814-CYQ-J6-006</t>
  </si>
  <si>
    <t>YHQ-240814-CYQ-J6-007</t>
  </si>
  <si>
    <t>高压隔膜泵</t>
    <phoneticPr fontId="36" type="noConversion"/>
  </si>
  <si>
    <t>上海新山西</t>
    <phoneticPr fontId="36" type="noConversion"/>
  </si>
  <si>
    <t>DP-125</t>
    <phoneticPr fontId="36" type="noConversion"/>
  </si>
  <si>
    <t>色牢度仪</t>
    <phoneticPr fontId="36" type="noConversion"/>
  </si>
  <si>
    <t>QDJ-240814-CYQ-J7-001</t>
    <phoneticPr fontId="36" type="noConversion"/>
  </si>
  <si>
    <t>CYQ-240814-LMI-J7-001</t>
    <phoneticPr fontId="36" type="noConversion"/>
  </si>
  <si>
    <t>气瓶架</t>
    <phoneticPr fontId="36" type="noConversion"/>
  </si>
  <si>
    <r>
      <t>40L</t>
    </r>
    <r>
      <rPr>
        <sz val="11"/>
        <color theme="1"/>
        <rFont val="宋体"/>
        <family val="3"/>
        <charset val="134"/>
      </rPr>
      <t>蓝色双瓶</t>
    </r>
    <phoneticPr fontId="36" type="noConversion"/>
  </si>
  <si>
    <t>乙炔白色单瓶</t>
    <phoneticPr fontId="36" type="noConversion"/>
  </si>
  <si>
    <t>YHQ-240812-CYQ-J8-001</t>
    <phoneticPr fontId="36" type="noConversion"/>
  </si>
  <si>
    <t>CYQ-240812-LMI-J8-001</t>
    <phoneticPr fontId="36" type="noConversion"/>
  </si>
  <si>
    <t>YHQ-240812-CYQ-J8-002</t>
  </si>
  <si>
    <t>CYQ-240812-LMI-J8-002</t>
  </si>
  <si>
    <t>个</t>
    <phoneticPr fontId="36" type="noConversion"/>
  </si>
  <si>
    <t>卤素灯泡</t>
    <phoneticPr fontId="36" type="noConversion"/>
  </si>
  <si>
    <t>广东万年声</t>
    <phoneticPr fontId="36" type="noConversion"/>
  </si>
  <si>
    <t>ERC-09</t>
    <phoneticPr fontId="36" type="noConversion"/>
  </si>
  <si>
    <t>打印机色带</t>
    <phoneticPr fontId="36" type="noConversion"/>
  </si>
  <si>
    <t>爱华打印机</t>
    <phoneticPr fontId="36" type="noConversion"/>
  </si>
  <si>
    <t>6V20WG4</t>
    <phoneticPr fontId="36" type="noConversion"/>
  </si>
  <si>
    <t>显微镜</t>
    <phoneticPr fontId="36" type="noConversion"/>
  </si>
  <si>
    <t>CYQ-240902-LMI-J7-001</t>
    <phoneticPr fontId="36" type="noConversion"/>
  </si>
  <si>
    <t>打印机盖</t>
    <phoneticPr fontId="36" type="noConversion"/>
  </si>
  <si>
    <t>杭州爱华</t>
    <phoneticPr fontId="36" type="noConversion"/>
  </si>
  <si>
    <t>AWA6221A</t>
    <phoneticPr fontId="36" type="noConversion"/>
  </si>
  <si>
    <t>YHQ-240902-CYQ-J7-001</t>
    <phoneticPr fontId="36" type="noConversion"/>
  </si>
  <si>
    <t>YHQ-240902-CYQ-J7-002</t>
  </si>
  <si>
    <t>平板电脑配件</t>
    <phoneticPr fontId="36" type="noConversion"/>
  </si>
  <si>
    <t>车载录像配件</t>
    <phoneticPr fontId="36" type="noConversion"/>
  </si>
  <si>
    <t>易如平板</t>
    <phoneticPr fontId="36" type="noConversion"/>
  </si>
  <si>
    <t>重庆车旗电子</t>
    <phoneticPr fontId="36" type="noConversion"/>
  </si>
  <si>
    <t>X5-28300</t>
    <phoneticPr fontId="36" type="noConversion"/>
  </si>
  <si>
    <t>2T</t>
    <phoneticPr fontId="36" type="noConversion"/>
  </si>
  <si>
    <t>CYQ-240904-LMI-J7-001</t>
    <phoneticPr fontId="36" type="noConversion"/>
  </si>
  <si>
    <r>
      <t>90mm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0.3um</t>
    </r>
    <r>
      <rPr>
        <sz val="11"/>
        <color theme="1"/>
        <rFont val="宋体"/>
        <family val="3"/>
        <charset val="134"/>
      </rPr>
      <t>孔径，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3"/>
        <charset val="134"/>
      </rPr>
      <t>盒</t>
    </r>
  </si>
  <si>
    <t>YHQ-240909-CYQ-J6-001</t>
    <phoneticPr fontId="36" type="noConversion"/>
  </si>
  <si>
    <t>CYQ-240909-LMI-J6-001</t>
    <phoneticPr fontId="36" type="noConversion"/>
  </si>
  <si>
    <t>CYQ-240918-LMI-J6-002</t>
    <phoneticPr fontId="36" type="noConversion"/>
  </si>
  <si>
    <t>LMI-240904-CYQ-J7-001</t>
    <phoneticPr fontId="36" type="noConversion"/>
  </si>
  <si>
    <t>LMI-240905-CYQ-J7-001</t>
    <phoneticPr fontId="36" type="noConversion"/>
  </si>
  <si>
    <t>LMI-240905-CYQ-J7-002</t>
  </si>
  <si>
    <t>电磁阀</t>
    <phoneticPr fontId="36" type="noConversion"/>
  </si>
  <si>
    <t>日晒气候色牢度仪</t>
    <phoneticPr fontId="36" type="noConversion"/>
  </si>
  <si>
    <t>LMI-240913-CYQ-J7-001</t>
    <phoneticPr fontId="36" type="noConversion"/>
  </si>
  <si>
    <t>水泵帽</t>
    <phoneticPr fontId="36" type="noConversion"/>
  </si>
  <si>
    <t>DP125</t>
    <phoneticPr fontId="36" type="noConversion"/>
  </si>
  <si>
    <t>LMI-240913-CYQ-J7-002</t>
    <phoneticPr fontId="36" type="noConversion"/>
  </si>
  <si>
    <t>CYQ-240919-LMI-J4-001</t>
    <phoneticPr fontId="36" type="noConversion"/>
  </si>
  <si>
    <t>CYQ-241009-LMI-J7-001</t>
    <phoneticPr fontId="36" type="noConversion"/>
  </si>
  <si>
    <t>离子色谱</t>
    <phoneticPr fontId="37" type="noConversion"/>
  </si>
  <si>
    <r>
      <t>MYM-210128-SCL-J6-002;MYM-210128-SCL-J6-003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MYM-211110-LJ-J6-001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HYI-241105-HYI-J6-001</t>
    </r>
    <phoneticPr fontId="36" type="noConversion"/>
  </si>
  <si>
    <t>18*9*6cm</t>
    <phoneticPr fontId="36" type="noConversion"/>
  </si>
  <si>
    <t>J-07</t>
    <phoneticPr fontId="36" type="noConversion"/>
  </si>
  <si>
    <r>
      <t>2024.11.16</t>
    </r>
    <r>
      <rPr>
        <sz val="11"/>
        <color indexed="8"/>
        <rFont val="宋体"/>
        <family val="3"/>
        <charset val="134"/>
      </rPr>
      <t>盘点为</t>
    </r>
    <r>
      <rPr>
        <sz val="11"/>
        <color indexed="8"/>
        <rFont val="Arial Narrow"/>
        <family val="2"/>
      </rPr>
      <t>10</t>
    </r>
    <r>
      <rPr>
        <sz val="11"/>
        <color indexed="8"/>
        <rFont val="宋体"/>
        <family val="3"/>
        <charset val="134"/>
      </rPr>
      <t>盒</t>
    </r>
    <phoneticPr fontId="36" type="noConversion"/>
  </si>
  <si>
    <t>密度计</t>
    <phoneticPr fontId="36" type="noConversion"/>
  </si>
  <si>
    <t>HYI-241115-HYI-J7-001</t>
    <phoneticPr fontId="36" type="noConversion"/>
  </si>
  <si>
    <t>HYI-241115-HYI-J7-002</t>
  </si>
  <si>
    <t>HYI-241115-HYI-J7-003</t>
  </si>
  <si>
    <t>ZHD-231229-WWY-J6-002</t>
  </si>
  <si>
    <t>QDJ-241114-HYI-J6-001</t>
    <phoneticPr fontId="36" type="noConversion"/>
  </si>
  <si>
    <t>柜子里</t>
    <phoneticPr fontId="37" type="noConversion"/>
  </si>
  <si>
    <t>CYQ-240902-LMI-J7-002;HYI-241120-J7-001</t>
    <phoneticPr fontId="36" type="noConversion"/>
  </si>
  <si>
    <r>
      <t>TrueX2</t>
    </r>
    <r>
      <rPr>
        <sz val="11"/>
        <color indexed="8"/>
        <rFont val="宋体"/>
        <family val="3"/>
        <charset val="134"/>
      </rPr>
      <t>塑料手提箱</t>
    </r>
    <phoneticPr fontId="36" type="noConversion"/>
  </si>
  <si>
    <t>备品备件</t>
    <phoneticPr fontId="36" type="noConversion"/>
  </si>
  <si>
    <t>苏州浪声科学仪器有限公司</t>
    <phoneticPr fontId="36" type="noConversion"/>
  </si>
  <si>
    <t>TrueX 200S</t>
    <phoneticPr fontId="36" type="noConversion"/>
  </si>
  <si>
    <t>KDY240430YHQ-J7-001</t>
    <phoneticPr fontId="36" type="noConversion"/>
  </si>
  <si>
    <t>P04J-01</t>
    <phoneticPr fontId="36" type="noConversion"/>
  </si>
  <si>
    <t>电源适配器</t>
    <phoneticPr fontId="36" type="noConversion"/>
  </si>
  <si>
    <t>KDY240430YHQ-J7-002</t>
  </si>
  <si>
    <t>P04G-05</t>
    <phoneticPr fontId="36" type="noConversion"/>
  </si>
  <si>
    <t>锂电池组</t>
    <phoneticPr fontId="36" type="noConversion"/>
  </si>
  <si>
    <t>KDY240430YHQ-J7-003</t>
  </si>
  <si>
    <t>智能电池充电器</t>
    <phoneticPr fontId="36" type="noConversion"/>
  </si>
  <si>
    <t>KDY240430YHQ-J7-004</t>
  </si>
  <si>
    <t>台</t>
  </si>
  <si>
    <t>电源线</t>
    <phoneticPr fontId="36" type="noConversion"/>
  </si>
  <si>
    <r>
      <t>1.8</t>
    </r>
    <r>
      <rPr>
        <sz val="11"/>
        <color theme="1"/>
        <rFont val="宋体"/>
        <family val="3"/>
        <charset val="134"/>
      </rPr>
      <t>米国标头</t>
    </r>
    <phoneticPr fontId="36" type="noConversion"/>
  </si>
  <si>
    <t>KDY240430YHQ-J7-005</t>
  </si>
  <si>
    <r>
      <t>USB</t>
    </r>
    <r>
      <rPr>
        <sz val="11"/>
        <color indexed="8"/>
        <rFont val="宋体"/>
        <family val="3"/>
        <charset val="134"/>
      </rPr>
      <t>数据线</t>
    </r>
    <phoneticPr fontId="36" type="noConversion"/>
  </si>
  <si>
    <r>
      <t>1.5</t>
    </r>
    <r>
      <rPr>
        <sz val="11"/>
        <color theme="1"/>
        <rFont val="宋体"/>
        <family val="3"/>
        <charset val="134"/>
      </rPr>
      <t>米</t>
    </r>
    <r>
      <rPr>
        <sz val="11"/>
        <color theme="1"/>
        <rFont val="Arial Narrow"/>
        <family val="2"/>
      </rPr>
      <t>T</t>
    </r>
    <r>
      <rPr>
        <sz val="11"/>
        <color theme="1"/>
        <rFont val="宋体"/>
        <family val="3"/>
        <charset val="134"/>
      </rPr>
      <t>型口</t>
    </r>
    <phoneticPr fontId="36" type="noConversion"/>
  </si>
  <si>
    <t>KDY240430YHQ-J7-006</t>
  </si>
  <si>
    <r>
      <t>PET</t>
    </r>
    <r>
      <rPr>
        <sz val="11"/>
        <color indexed="8"/>
        <rFont val="宋体"/>
        <family val="3"/>
        <charset val="134"/>
      </rPr>
      <t>低硫膜</t>
    </r>
    <r>
      <rPr>
        <sz val="11"/>
        <color indexed="8"/>
        <rFont val="Arial Narrow"/>
        <family val="2"/>
      </rPr>
      <t>3.5</t>
    </r>
    <r>
      <rPr>
        <sz val="11"/>
        <color indexed="8"/>
        <rFont val="宋体"/>
        <family val="3"/>
        <charset val="134"/>
      </rPr>
      <t>µ</t>
    </r>
    <phoneticPr fontId="36" type="noConversion"/>
  </si>
  <si>
    <t>KDY240430YHQ-J7-007</t>
  </si>
  <si>
    <r>
      <t>316</t>
    </r>
    <r>
      <rPr>
        <sz val="11"/>
        <color indexed="8"/>
        <rFont val="宋体"/>
        <family val="3"/>
        <charset val="134"/>
      </rPr>
      <t>标准物质</t>
    </r>
    <phoneticPr fontId="36" type="noConversion"/>
  </si>
  <si>
    <t>KDY240430YHQ-J7-008</t>
  </si>
  <si>
    <r>
      <t>GSS-5A</t>
    </r>
    <r>
      <rPr>
        <sz val="11"/>
        <color indexed="8"/>
        <rFont val="宋体"/>
        <family val="3"/>
        <charset val="134"/>
      </rPr>
      <t>土壤标准物质</t>
    </r>
    <phoneticPr fontId="36" type="noConversion"/>
  </si>
  <si>
    <t>KDY240430YHQ-J7-009</t>
  </si>
  <si>
    <t>自带覆膜型样品杯</t>
    <phoneticPr fontId="36" type="noConversion"/>
  </si>
  <si>
    <r>
      <rPr>
        <sz val="11"/>
        <color theme="1"/>
        <rFont val="宋体"/>
        <family val="3"/>
        <charset val="134"/>
      </rPr>
      <t>普通</t>
    </r>
    <r>
      <rPr>
        <sz val="11"/>
        <color theme="1"/>
        <rFont val="Arial Narrow"/>
        <family val="2"/>
      </rPr>
      <t xml:space="preserve">6.0u </t>
    </r>
    <r>
      <rPr>
        <sz val="11"/>
        <color theme="1"/>
        <rFont val="宋体"/>
        <family val="3"/>
        <charset val="134"/>
      </rPr>
      <t>Φ</t>
    </r>
    <r>
      <rPr>
        <sz val="11"/>
        <color theme="1"/>
        <rFont val="Arial Narrow"/>
        <family val="2"/>
      </rPr>
      <t>30mm</t>
    </r>
    <phoneticPr fontId="36" type="noConversion"/>
  </si>
  <si>
    <t>KDY240430YHQ-J7-010</t>
  </si>
  <si>
    <t>浪生手腕带</t>
    <phoneticPr fontId="36" type="noConversion"/>
  </si>
  <si>
    <t>KDY240430YHQ-J7-011</t>
  </si>
  <si>
    <t>主机充电器</t>
    <phoneticPr fontId="36" type="noConversion"/>
  </si>
  <si>
    <t>青岛国瑞力恒环保科技有限公司</t>
    <phoneticPr fontId="36" type="noConversion"/>
  </si>
  <si>
    <t>GR-3012BW</t>
    <phoneticPr fontId="36" type="noConversion"/>
  </si>
  <si>
    <t>KDY240430YHQ-J7-012</t>
  </si>
  <si>
    <t>便携防护箱</t>
    <phoneticPr fontId="36" type="noConversion"/>
  </si>
  <si>
    <t>KDY240430YHQ-J7-013</t>
  </si>
  <si>
    <t>取样管</t>
    <phoneticPr fontId="36" type="noConversion"/>
  </si>
  <si>
    <t>KDY240430YHQ-J7-014</t>
  </si>
  <si>
    <t>过滤器</t>
    <phoneticPr fontId="36" type="noConversion"/>
  </si>
  <si>
    <t>KDY240430YHQ-J7-015</t>
  </si>
  <si>
    <t>南通</t>
    <phoneticPr fontId="36" type="noConversion"/>
  </si>
  <si>
    <t>HYI-241116-HYI-J6-001</t>
    <phoneticPr fontId="36" type="noConversion"/>
  </si>
  <si>
    <t>QDJ-241114-HYI-J6-002</t>
    <phoneticPr fontId="36" type="noConversion"/>
  </si>
  <si>
    <t>HTC-1</t>
    <phoneticPr fontId="36" type="noConversion"/>
  </si>
  <si>
    <t>301C-09</t>
  </si>
  <si>
    <t>301C-09</t>
    <phoneticPr fontId="36" type="noConversion"/>
  </si>
  <si>
    <t>已损坏</t>
    <phoneticPr fontId="36" type="noConversion"/>
  </si>
  <si>
    <t xml:space="preserve">烧杯          </t>
  </si>
  <si>
    <t>南通诚记化工</t>
  </si>
  <si>
    <t>常规</t>
  </si>
  <si>
    <t>J-04</t>
  </si>
  <si>
    <t>2</t>
  </si>
  <si>
    <t>J-07</t>
  </si>
  <si>
    <t>4</t>
  </si>
  <si>
    <r>
      <t>MYM-201230-SCL-J6-001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MYM-211014-LJ-J6-002;MYM-220607-MYM-J6-002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HYI-241212-J6-001</t>
    </r>
    <phoneticPr fontId="36" type="noConversion"/>
  </si>
  <si>
    <r>
      <t>MYM-230403-CJF-J6-002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HYI-241216-HYI-J6-002</t>
    </r>
  </si>
  <si>
    <t>卷</t>
  </si>
  <si>
    <t>返还</t>
    <phoneticPr fontId="36" type="noConversion"/>
  </si>
  <si>
    <t>只</t>
    <phoneticPr fontId="36" type="noConversion"/>
  </si>
  <si>
    <t>常规</t>
    <phoneticPr fontId="36" type="noConversion"/>
  </si>
  <si>
    <t>紫外可见光光度计氘灯</t>
    <phoneticPr fontId="36" type="noConversion"/>
  </si>
  <si>
    <r>
      <t>MYM-220218-MYM-J6-002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MYM220714-MYM-J6-003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MYM-221109-CJF-J6-002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MYM-230403-CJF-J6-001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CJF-230926-QYT-J6-001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ZHD-231229-WWY-J6-004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CYQ-240730-LMI-J6-001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CYQ-240918-LMI-J6-003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HYI-241116-HYI-J6-001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HYI-241216-HYI-J6-001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PXQ-250122-PXQ-J6-001</t>
    </r>
    <phoneticPr fontId="36" type="noConversion"/>
  </si>
  <si>
    <t>津岛</t>
    <phoneticPr fontId="36" type="noConversion"/>
  </si>
  <si>
    <t>L6380</t>
    <phoneticPr fontId="36" type="noConversion"/>
  </si>
  <si>
    <t>ZRJ-20250304-PXQ-J7-001</t>
    <phoneticPr fontId="36" type="noConversion"/>
  </si>
  <si>
    <t>只</t>
    <phoneticPr fontId="36" type="noConversion"/>
  </si>
  <si>
    <r>
      <t>MYM-200619-SCL-J6-001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MYM-210401-QJW-J6-005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MYM-210420-QJW-J6-005;MYM-210525-QJW-J6-008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PXQ-250428-PXQ-D-01;</t>
    </r>
    <phoneticPr fontId="36" type="noConversion"/>
  </si>
  <si>
    <t>PXQ-250512-YZH-J2-001</t>
  </si>
  <si>
    <t>PXQ-250515-YZH-J4-001</t>
    <phoneticPr fontId="36" type="noConversion"/>
  </si>
  <si>
    <t>20250515领用1支白色滴定管</t>
    <phoneticPr fontId="36" type="noConversion"/>
  </si>
  <si>
    <r>
      <t>MYM-230403-CJF-J6-003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PXQ-250522-YZH-J6-001</t>
    </r>
    <phoneticPr fontId="36" type="noConversion"/>
  </si>
  <si>
    <r>
      <t>MYM-201109-SCL-J6-003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MYM-210125-SCL-J6-001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MYM-211122-YF-J6-003;PXQ-250522-YZH-J6-002</t>
    </r>
    <phoneticPr fontId="36" type="noConversion"/>
  </si>
  <si>
    <r>
      <t>CYQ-240720-LMI-J6-001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PKF-250613-PXQ-J6-001</t>
    </r>
    <phoneticPr fontId="36" type="noConversion"/>
  </si>
  <si>
    <t>PKF-250603-PXQ-J7-001</t>
  </si>
  <si>
    <r>
      <t>15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</si>
  <si>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MYM-200522-SHY-J6-004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MYM-210901-RL-J6-006;MYM-210927-LJ-J6-002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ZHD-231129-WWY-J6-002</t>
    </r>
    <phoneticPr fontId="36" type="noConversion"/>
  </si>
  <si>
    <t>MYM-210901-RL-J6-005</t>
    <phoneticPr fontId="36" type="noConversion"/>
  </si>
  <si>
    <t>石英比色皿</t>
    <phoneticPr fontId="36" type="noConversion"/>
  </si>
  <si>
    <r>
      <t>10mm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751/722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</si>
  <si>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t>个</t>
    <phoneticPr fontId="36" type="noConversion"/>
  </si>
  <si>
    <t>16ml</t>
    <phoneticPr fontId="36" type="noConversion"/>
  </si>
  <si>
    <t>PXQ-250703-SYY-J4-001</t>
    <phoneticPr fontId="36" type="noConversion"/>
  </si>
  <si>
    <r>
      <rPr>
        <sz val="11"/>
        <color theme="1"/>
        <rFont val="宋体"/>
        <family val="3"/>
        <charset val="134"/>
      </rPr>
      <t>直径</t>
    </r>
    <r>
      <rPr>
        <sz val="11"/>
        <color theme="1"/>
        <rFont val="Arial Narrow"/>
        <family val="2"/>
      </rPr>
      <t>100μm</t>
    </r>
    <r>
      <rPr>
        <sz val="11"/>
        <color theme="1"/>
        <rFont val="宋体"/>
        <family val="3"/>
        <charset val="134"/>
      </rPr>
      <t>，孔径</t>
    </r>
    <r>
      <rPr>
        <sz val="11"/>
        <color theme="1"/>
        <rFont val="Arial Narrow"/>
        <family val="2"/>
      </rPr>
      <t>0.45mm</t>
    </r>
    <phoneticPr fontId="36" type="noConversion"/>
  </si>
  <si>
    <t>L</t>
    <phoneticPr fontId="36" type="noConversion"/>
  </si>
  <si>
    <t>S</t>
    <phoneticPr fontId="36" type="noConversion"/>
  </si>
  <si>
    <t>500g/0.3g</t>
    <phoneticPr fontId="36" type="noConversion"/>
  </si>
  <si>
    <t>15cm</t>
    <phoneticPr fontId="36" type="noConversion"/>
  </si>
  <si>
    <t>枯草杆菌黑色变种芽孢菌片</t>
    <phoneticPr fontId="36" type="noConversion"/>
  </si>
  <si>
    <t>嗜热脂肪芽孢菌片</t>
    <phoneticPr fontId="36" type="noConversion"/>
  </si>
  <si>
    <r>
      <rPr>
        <b/>
        <sz val="11"/>
        <color indexed="8"/>
        <rFont val="宋体"/>
        <family val="3"/>
        <charset val="134"/>
      </rPr>
      <t>入库备注</t>
    </r>
    <phoneticPr fontId="36" type="noConversion"/>
  </si>
  <si>
    <r>
      <rPr>
        <b/>
        <sz val="11"/>
        <color theme="0"/>
        <rFont val="宋体"/>
        <family val="3"/>
        <charset val="134"/>
      </rPr>
      <t>库存</t>
    </r>
    <phoneticPr fontId="36" type="noConversion"/>
  </si>
  <si>
    <r>
      <rPr>
        <sz val="11"/>
        <rFont val="宋体"/>
        <family val="3"/>
        <charset val="134"/>
      </rPr>
      <t>活性炭采样管</t>
    </r>
    <phoneticPr fontId="36" type="noConversion"/>
  </si>
  <si>
    <r>
      <rPr>
        <sz val="11"/>
        <color indexed="8"/>
        <rFont val="宋体"/>
        <family val="3"/>
        <charset val="134"/>
      </rPr>
      <t>纸箱</t>
    </r>
    <phoneticPr fontId="36" type="noConversion"/>
  </si>
  <si>
    <r>
      <rPr>
        <sz val="11"/>
        <rFont val="宋体"/>
        <family val="3"/>
        <charset val="134"/>
      </rPr>
      <t>洁尔灭</t>
    </r>
    <phoneticPr fontId="36" type="noConversion"/>
  </si>
  <si>
    <r>
      <rPr>
        <sz val="11"/>
        <color indexed="8"/>
        <rFont val="宋体"/>
        <family val="3"/>
        <charset val="134"/>
      </rPr>
      <t>纸盒</t>
    </r>
    <phoneticPr fontId="36" type="noConversion"/>
  </si>
  <si>
    <r>
      <rPr>
        <sz val="11"/>
        <color rgb="FF9900FF"/>
        <rFont val="宋体"/>
        <family val="3"/>
        <charset val="134"/>
      </rPr>
      <t>把</t>
    </r>
    <phoneticPr fontId="36" type="noConversion"/>
  </si>
  <si>
    <r>
      <rPr>
        <sz val="11"/>
        <rFont val="宋体"/>
        <family val="3"/>
        <charset val="134"/>
      </rPr>
      <t>铁夹（单臂夹，黑色）</t>
    </r>
    <phoneticPr fontId="36" type="noConversion"/>
  </si>
  <si>
    <r>
      <rPr>
        <sz val="11"/>
        <rFont val="宋体"/>
        <family val="3"/>
        <charset val="134"/>
      </rPr>
      <t>一次性使用无菌注射针（针头）</t>
    </r>
    <phoneticPr fontId="36" type="noConversion"/>
  </si>
  <si>
    <r>
      <rPr>
        <sz val="11"/>
        <rFont val="宋体"/>
        <family val="3"/>
        <charset val="134"/>
      </rPr>
      <t>一次性使用无菌注射器（带针头）</t>
    </r>
    <phoneticPr fontId="36" type="noConversion"/>
  </si>
  <si>
    <r>
      <rPr>
        <sz val="11"/>
        <rFont val="宋体"/>
        <family val="3"/>
        <charset val="134"/>
      </rPr>
      <t>一次性注射器（无黑色胶，无针头）</t>
    </r>
    <phoneticPr fontId="36" type="noConversion"/>
  </si>
  <si>
    <r>
      <rPr>
        <sz val="11"/>
        <rFont val="宋体"/>
        <family val="3"/>
        <charset val="134"/>
      </rPr>
      <t>铁架台</t>
    </r>
    <phoneticPr fontId="36" type="noConversion"/>
  </si>
  <si>
    <r>
      <rPr>
        <sz val="11"/>
        <rFont val="宋体"/>
        <family val="3"/>
        <charset val="134"/>
      </rPr>
      <t>封面</t>
    </r>
    <phoneticPr fontId="36" type="noConversion"/>
  </si>
  <si>
    <r>
      <rPr>
        <sz val="11"/>
        <color indexed="8"/>
        <rFont val="宋体"/>
        <family val="3"/>
        <charset val="134"/>
      </rPr>
      <t>已修改</t>
    </r>
    <phoneticPr fontId="36" type="noConversion"/>
  </si>
  <si>
    <r>
      <rPr>
        <sz val="11"/>
        <color theme="1"/>
        <rFont val="宋体"/>
        <family val="3"/>
        <charset val="134"/>
      </rPr>
      <t>纯水机配件</t>
    </r>
    <phoneticPr fontId="36" type="noConversion"/>
  </si>
  <si>
    <r>
      <rPr>
        <sz val="11"/>
        <rFont val="宋体"/>
        <family val="3"/>
        <charset val="134"/>
      </rPr>
      <t>新洁尔灭消毒液</t>
    </r>
    <phoneticPr fontId="36" type="noConversion"/>
  </si>
  <si>
    <r>
      <rPr>
        <sz val="11"/>
        <color rgb="FF000000"/>
        <rFont val="宋体"/>
        <family val="3"/>
        <charset val="134"/>
      </rPr>
      <t>柜子</t>
    </r>
    <phoneticPr fontId="36" type="noConversion"/>
  </si>
  <si>
    <r>
      <rPr>
        <sz val="11"/>
        <color theme="1"/>
        <rFont val="宋体"/>
        <family val="3"/>
        <charset val="134"/>
      </rPr>
      <t>纸盒</t>
    </r>
    <phoneticPr fontId="36" type="noConversion"/>
  </si>
  <si>
    <r>
      <rPr>
        <sz val="11"/>
        <color theme="1"/>
        <rFont val="宋体"/>
        <family val="3"/>
        <charset val="134"/>
      </rPr>
      <t>垫圈（垫片）</t>
    </r>
    <phoneticPr fontId="36" type="noConversion"/>
  </si>
  <si>
    <r>
      <rPr>
        <sz val="11"/>
        <color theme="1"/>
        <rFont val="宋体"/>
        <family val="3"/>
        <charset val="134"/>
      </rPr>
      <t>中速定性滤纸</t>
    </r>
    <phoneticPr fontId="37" type="noConversion"/>
  </si>
  <si>
    <r>
      <rPr>
        <sz val="11"/>
        <color theme="1"/>
        <rFont val="宋体"/>
        <family val="3"/>
        <charset val="134"/>
      </rPr>
      <t>纸箱</t>
    </r>
    <phoneticPr fontId="36" type="noConversion"/>
  </si>
  <si>
    <r>
      <rPr>
        <sz val="11"/>
        <color theme="1"/>
        <rFont val="宋体"/>
        <family val="3"/>
        <charset val="134"/>
      </rPr>
      <t>北墙角</t>
    </r>
    <phoneticPr fontId="36" type="noConversion"/>
  </si>
  <si>
    <r>
      <rPr>
        <sz val="11"/>
        <color theme="1"/>
        <rFont val="宋体"/>
        <family val="3"/>
        <charset val="134"/>
      </rPr>
      <t>水系过滤头</t>
    </r>
    <phoneticPr fontId="37" type="noConversion"/>
  </si>
  <si>
    <r>
      <rPr>
        <sz val="11"/>
        <color theme="1"/>
        <rFont val="宋体"/>
        <family val="3"/>
        <charset val="134"/>
      </rPr>
      <t>原子荧光泵管</t>
    </r>
    <phoneticPr fontId="36" type="noConversion"/>
  </si>
  <si>
    <r>
      <rPr>
        <sz val="11"/>
        <color theme="1"/>
        <rFont val="宋体"/>
        <family val="3"/>
        <charset val="134"/>
      </rPr>
      <t>海光</t>
    </r>
    <phoneticPr fontId="36" type="noConversion"/>
  </si>
  <si>
    <r>
      <rPr>
        <sz val="11"/>
        <color theme="1"/>
        <rFont val="宋体"/>
        <family val="3"/>
        <charset val="134"/>
      </rPr>
      <t>特氟龙采样袋</t>
    </r>
    <phoneticPr fontId="36" type="noConversion"/>
  </si>
  <si>
    <r>
      <rPr>
        <sz val="11"/>
        <color theme="1"/>
        <rFont val="宋体"/>
        <family val="3"/>
        <charset val="134"/>
      </rPr>
      <t>惠州淳亿科技</t>
    </r>
    <phoneticPr fontId="36" type="noConversion"/>
  </si>
  <si>
    <r>
      <rPr>
        <sz val="11"/>
        <color theme="1"/>
        <rFont val="宋体"/>
        <family val="3"/>
        <charset val="134"/>
      </rPr>
      <t>小纸箱</t>
    </r>
    <phoneticPr fontId="36" type="noConversion"/>
  </si>
  <si>
    <r>
      <rPr>
        <sz val="11"/>
        <color theme="1"/>
        <rFont val="宋体"/>
        <family val="3"/>
        <charset val="134"/>
      </rPr>
      <t>铝箔袋</t>
    </r>
    <phoneticPr fontId="36" type="noConversion"/>
  </si>
  <si>
    <r>
      <rPr>
        <sz val="11"/>
        <color theme="1"/>
        <rFont val="宋体"/>
        <family val="3"/>
        <charset val="134"/>
      </rPr>
      <t>嗅辨袋</t>
    </r>
    <phoneticPr fontId="36" type="noConversion"/>
  </si>
  <si>
    <r>
      <rPr>
        <sz val="11"/>
        <color theme="1"/>
        <rFont val="宋体"/>
        <family val="3"/>
        <charset val="134"/>
      </rPr>
      <t>聚酯袋</t>
    </r>
    <phoneticPr fontId="36" type="noConversion"/>
  </si>
  <si>
    <r>
      <rPr>
        <sz val="11"/>
        <color theme="1"/>
        <rFont val="宋体"/>
        <family val="3"/>
        <charset val="134"/>
      </rPr>
      <t>玻璃纤维滤筒</t>
    </r>
    <phoneticPr fontId="36" type="noConversion"/>
  </si>
  <si>
    <r>
      <rPr>
        <sz val="11"/>
        <color theme="1"/>
        <rFont val="宋体"/>
        <family val="3"/>
        <charset val="134"/>
      </rPr>
      <t>活性炭溶剂解析型采样管</t>
    </r>
    <phoneticPr fontId="36" type="noConversion"/>
  </si>
  <si>
    <r>
      <rPr>
        <sz val="11"/>
        <color theme="1"/>
        <rFont val="宋体"/>
        <family val="3"/>
        <charset val="134"/>
      </rPr>
      <t>硅胶溶剂解析型采样管</t>
    </r>
    <phoneticPr fontId="36" type="noConversion"/>
  </si>
  <si>
    <r>
      <rPr>
        <sz val="11"/>
        <color theme="1"/>
        <rFont val="宋体"/>
        <family val="3"/>
        <charset val="134"/>
      </rPr>
      <t>组合二采样管</t>
    </r>
    <phoneticPr fontId="36" type="noConversion"/>
  </si>
  <si>
    <r>
      <rPr>
        <sz val="11"/>
        <color theme="1"/>
        <rFont val="宋体"/>
        <family val="3"/>
        <charset val="134"/>
      </rPr>
      <t>组合三采样管</t>
    </r>
    <phoneticPr fontId="36" type="noConversion"/>
  </si>
  <si>
    <r>
      <rPr>
        <sz val="11"/>
        <color theme="1"/>
        <rFont val="宋体"/>
        <family val="3"/>
        <charset val="134"/>
      </rPr>
      <t>防护服</t>
    </r>
    <phoneticPr fontId="36" type="noConversion"/>
  </si>
  <si>
    <r>
      <rPr>
        <sz val="11"/>
        <color theme="1"/>
        <rFont val="宋体"/>
        <family val="3"/>
        <charset val="134"/>
      </rPr>
      <t>大纸箱</t>
    </r>
    <phoneticPr fontId="36" type="noConversion"/>
  </si>
  <si>
    <r>
      <rPr>
        <sz val="11"/>
        <color theme="1"/>
        <rFont val="宋体"/>
        <family val="3"/>
        <charset val="134"/>
      </rPr>
      <t>医用橡胶一次性检查手套</t>
    </r>
    <phoneticPr fontId="36" type="noConversion"/>
  </si>
  <si>
    <r>
      <rPr>
        <sz val="11"/>
        <color theme="1"/>
        <rFont val="宋体"/>
        <family val="3"/>
        <charset val="134"/>
      </rPr>
      <t>医用橡胶一次性灭菌手套</t>
    </r>
    <phoneticPr fontId="36" type="noConversion"/>
  </si>
  <si>
    <r>
      <rPr>
        <sz val="11"/>
        <color theme="1"/>
        <rFont val="宋体"/>
        <family val="3"/>
        <charset val="134"/>
      </rPr>
      <t>带电作业用绝缘手套</t>
    </r>
    <phoneticPr fontId="36" type="noConversion"/>
  </si>
  <si>
    <r>
      <rPr>
        <sz val="11"/>
        <color theme="1"/>
        <rFont val="宋体"/>
        <family val="3"/>
        <charset val="134"/>
      </rPr>
      <t>工作救生衣</t>
    </r>
    <phoneticPr fontId="36" type="noConversion"/>
  </si>
  <si>
    <r>
      <rPr>
        <sz val="11"/>
        <color theme="1"/>
        <rFont val="宋体"/>
        <family val="3"/>
        <charset val="134"/>
      </rPr>
      <t>国标安全带</t>
    </r>
    <phoneticPr fontId="36" type="noConversion"/>
  </si>
  <si>
    <r>
      <rPr>
        <sz val="11"/>
        <color theme="1"/>
        <rFont val="宋体"/>
        <family val="3"/>
        <charset val="134"/>
      </rPr>
      <t>滨州安特化纤绳网有限公司</t>
    </r>
    <phoneticPr fontId="36" type="noConversion"/>
  </si>
  <si>
    <r>
      <rPr>
        <sz val="11"/>
        <color theme="1"/>
        <rFont val="宋体"/>
        <family val="3"/>
        <charset val="134"/>
      </rPr>
      <t>安全带</t>
    </r>
    <phoneticPr fontId="36" type="noConversion"/>
  </si>
  <si>
    <r>
      <rPr>
        <sz val="11"/>
        <color theme="1"/>
        <rFont val="宋体"/>
        <family val="3"/>
        <charset val="134"/>
      </rPr>
      <t>警戒带</t>
    </r>
    <phoneticPr fontId="36" type="noConversion"/>
  </si>
  <si>
    <r>
      <rPr>
        <sz val="11"/>
        <color theme="1"/>
        <rFont val="宋体"/>
        <family val="3"/>
        <charset val="134"/>
      </rPr>
      <t>汽车三角警示架</t>
    </r>
    <phoneticPr fontId="36" type="noConversion"/>
  </si>
  <si>
    <r>
      <rPr>
        <sz val="11"/>
        <color theme="1"/>
        <rFont val="宋体"/>
        <family val="3"/>
        <charset val="134"/>
      </rPr>
      <t>日照奥丰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车狮</t>
    </r>
    <phoneticPr fontId="36" type="noConversion"/>
  </si>
  <si>
    <r>
      <rPr>
        <sz val="11"/>
        <color theme="1"/>
        <rFont val="宋体"/>
        <family val="3"/>
        <charset val="134"/>
      </rPr>
      <t>南通宝瑚</t>
    </r>
    <phoneticPr fontId="36" type="noConversion"/>
  </si>
  <si>
    <r>
      <rPr>
        <sz val="11"/>
        <color theme="1"/>
        <rFont val="宋体"/>
        <family val="3"/>
        <charset val="134"/>
      </rPr>
      <t>常德比克曼生物科技</t>
    </r>
    <phoneticPr fontId="36" type="noConversion"/>
  </si>
  <si>
    <r>
      <rPr>
        <sz val="11"/>
        <color theme="1"/>
        <rFont val="宋体"/>
        <family val="3"/>
        <charset val="134"/>
      </rPr>
      <t>硅胶采样管</t>
    </r>
    <phoneticPr fontId="36" type="noConversion"/>
  </si>
  <si>
    <r>
      <rPr>
        <sz val="11"/>
        <color rgb="FF9900FF"/>
        <rFont val="宋体"/>
        <family val="3"/>
        <charset val="134"/>
      </rPr>
      <t>返还</t>
    </r>
    <phoneticPr fontId="36" type="noConversion"/>
  </si>
  <si>
    <r>
      <t>pH</t>
    </r>
    <r>
      <rPr>
        <sz val="11"/>
        <rFont val="宋体"/>
        <family val="3"/>
        <charset val="134"/>
      </rPr>
      <t>复合电极</t>
    </r>
    <phoneticPr fontId="36" type="noConversion"/>
  </si>
  <si>
    <r>
      <rPr>
        <sz val="11"/>
        <rFont val="宋体"/>
        <family val="3"/>
        <charset val="134"/>
      </rPr>
      <t>试剂托盘</t>
    </r>
    <phoneticPr fontId="36" type="noConversion"/>
  </si>
  <si>
    <r>
      <rPr>
        <sz val="11"/>
        <rFont val="宋体"/>
        <family val="3"/>
        <charset val="134"/>
      </rPr>
      <t>双盒防毒口罩</t>
    </r>
    <phoneticPr fontId="36" type="noConversion"/>
  </si>
  <si>
    <r>
      <rPr>
        <sz val="11"/>
        <rFont val="宋体"/>
        <family val="3"/>
        <charset val="134"/>
      </rPr>
      <t>雾化器（鱼缸、假山景观等用）</t>
    </r>
    <phoneticPr fontId="36" type="noConversion"/>
  </si>
  <si>
    <r>
      <rPr>
        <sz val="11"/>
        <color rgb="FF9900FF"/>
        <rFont val="宋体"/>
        <family val="3"/>
        <charset val="134"/>
      </rPr>
      <t>其它</t>
    </r>
  </si>
  <si>
    <r>
      <rPr>
        <sz val="11"/>
        <rFont val="宋体"/>
        <family val="3"/>
        <charset val="134"/>
      </rPr>
      <t>废液桶</t>
    </r>
    <phoneticPr fontId="36" type="noConversion"/>
  </si>
  <si>
    <r>
      <rPr>
        <sz val="11"/>
        <rFont val="宋体"/>
        <family val="3"/>
        <charset val="134"/>
      </rPr>
      <t>温度传感器</t>
    </r>
    <phoneticPr fontId="36" type="noConversion"/>
  </si>
  <si>
    <r>
      <t>3M</t>
    </r>
    <r>
      <rPr>
        <sz val="11"/>
        <rFont val="宋体"/>
        <family val="3"/>
        <charset val="134"/>
      </rPr>
      <t>口罩</t>
    </r>
    <phoneticPr fontId="36" type="noConversion"/>
  </si>
  <si>
    <r>
      <rPr>
        <sz val="11"/>
        <rFont val="宋体"/>
        <family val="3"/>
        <charset val="134"/>
      </rPr>
      <t>木板</t>
    </r>
    <phoneticPr fontId="36" type="noConversion"/>
  </si>
  <si>
    <r>
      <rPr>
        <sz val="11"/>
        <color theme="1"/>
        <rFont val="宋体"/>
        <family val="3"/>
        <charset val="134"/>
      </rPr>
      <t>东南墙角</t>
    </r>
    <phoneticPr fontId="36" type="noConversion"/>
  </si>
  <si>
    <r>
      <rPr>
        <sz val="11"/>
        <rFont val="宋体"/>
        <family val="3"/>
        <charset val="134"/>
      </rPr>
      <t>婴儿手口柔湿巾</t>
    </r>
    <phoneticPr fontId="36" type="noConversion"/>
  </si>
  <si>
    <r>
      <rPr>
        <sz val="11"/>
        <rFont val="宋体"/>
        <family val="3"/>
        <charset val="134"/>
      </rPr>
      <t>丁腈手套</t>
    </r>
    <phoneticPr fontId="37" type="noConversion"/>
  </si>
  <si>
    <r>
      <rPr>
        <sz val="11"/>
        <color indexed="8"/>
        <rFont val="宋体"/>
        <family val="3"/>
        <charset val="134"/>
      </rPr>
      <t>爱马斯</t>
    </r>
    <phoneticPr fontId="36" type="noConversion"/>
  </si>
  <si>
    <r>
      <rPr>
        <sz val="11"/>
        <color rgb="FF9900FF"/>
        <rFont val="宋体"/>
        <family val="3"/>
        <charset val="134"/>
      </rPr>
      <t>盒</t>
    </r>
    <phoneticPr fontId="36" type="noConversion"/>
  </si>
  <si>
    <r>
      <t>75%</t>
    </r>
    <r>
      <rPr>
        <sz val="11"/>
        <rFont val="宋体"/>
        <family val="3"/>
        <charset val="134"/>
      </rPr>
      <t>酒精消毒液</t>
    </r>
    <phoneticPr fontId="36" type="noConversion"/>
  </si>
  <si>
    <r>
      <rPr>
        <sz val="11"/>
        <rFont val="宋体"/>
        <family val="3"/>
        <charset val="134"/>
      </rPr>
      <t>一次性塑料吸管</t>
    </r>
    <phoneticPr fontId="36" type="noConversion"/>
  </si>
  <si>
    <r>
      <rPr>
        <sz val="11"/>
        <rFont val="宋体"/>
        <family val="3"/>
        <charset val="134"/>
      </rPr>
      <t>提纯树脂</t>
    </r>
    <phoneticPr fontId="36" type="noConversion"/>
  </si>
  <si>
    <r>
      <rPr>
        <sz val="11"/>
        <rFont val="宋体"/>
        <family val="3"/>
        <charset val="134"/>
      </rPr>
      <t>危废标签</t>
    </r>
    <phoneticPr fontId="36" type="noConversion"/>
  </si>
  <si>
    <r>
      <rPr>
        <sz val="11"/>
        <rFont val="宋体"/>
        <family val="3"/>
        <charset val="134"/>
      </rPr>
      <t>次氯酸</t>
    </r>
    <phoneticPr fontId="36" type="noConversion"/>
  </si>
  <si>
    <r>
      <rPr>
        <sz val="11"/>
        <color indexed="8"/>
        <rFont val="宋体"/>
        <family val="3"/>
        <charset val="134"/>
      </rPr>
      <t>康威龙</t>
    </r>
    <phoneticPr fontId="36" type="noConversion"/>
  </si>
  <si>
    <r>
      <rPr>
        <sz val="11"/>
        <rFont val="宋体"/>
        <family val="3"/>
        <charset val="134"/>
      </rPr>
      <t>泵油</t>
    </r>
    <phoneticPr fontId="36" type="noConversion"/>
  </si>
  <si>
    <r>
      <rPr>
        <sz val="11"/>
        <rFont val="宋体"/>
        <family val="3"/>
        <charset val="134"/>
      </rPr>
      <t>高效活性炭口罩</t>
    </r>
    <phoneticPr fontId="37" type="noConversion"/>
  </si>
  <si>
    <r>
      <rPr>
        <sz val="11"/>
        <color indexed="8"/>
        <rFont val="宋体"/>
        <family val="3"/>
        <charset val="134"/>
      </rPr>
      <t>以安</t>
    </r>
    <phoneticPr fontId="36" type="noConversion"/>
  </si>
  <si>
    <r>
      <rPr>
        <sz val="11"/>
        <rFont val="宋体"/>
        <family val="3"/>
        <charset val="134"/>
      </rPr>
      <t>封口膜</t>
    </r>
    <phoneticPr fontId="36" type="noConversion"/>
  </si>
  <si>
    <r>
      <rPr>
        <sz val="11"/>
        <rFont val="宋体"/>
        <family val="3"/>
        <charset val="134"/>
      </rPr>
      <t>铜管双卡套</t>
    </r>
    <phoneticPr fontId="36" type="noConversion"/>
  </si>
  <si>
    <r>
      <rPr>
        <sz val="11"/>
        <rFont val="宋体"/>
        <family val="3"/>
        <charset val="134"/>
      </rPr>
      <t>次氯酸钠消毒液</t>
    </r>
    <phoneticPr fontId="36" type="noConversion"/>
  </si>
  <si>
    <r>
      <rPr>
        <sz val="11"/>
        <color indexed="8"/>
        <rFont val="宋体"/>
        <family val="3"/>
        <charset val="134"/>
      </rPr>
      <t>惠卫士</t>
    </r>
    <phoneticPr fontId="36" type="noConversion"/>
  </si>
  <si>
    <r>
      <rPr>
        <sz val="11"/>
        <color theme="1"/>
        <rFont val="宋体"/>
        <family val="3"/>
        <charset val="134"/>
      </rPr>
      <t>门口桌下</t>
    </r>
    <phoneticPr fontId="36" type="noConversion"/>
  </si>
  <si>
    <r>
      <rPr>
        <sz val="11"/>
        <color theme="1"/>
        <rFont val="宋体"/>
        <family val="3"/>
        <charset val="134"/>
      </rPr>
      <t>上海华樵环保设备有限公司</t>
    </r>
    <phoneticPr fontId="36" type="noConversion"/>
  </si>
  <si>
    <r>
      <rPr>
        <sz val="11"/>
        <color rgb="FF9900FF"/>
        <rFont val="宋体"/>
        <family val="3"/>
        <charset val="134"/>
      </rPr>
      <t>其它</t>
    </r>
    <phoneticPr fontId="36" type="noConversion"/>
  </si>
  <si>
    <r>
      <rPr>
        <sz val="11"/>
        <color rgb="FF9900FF"/>
        <rFont val="宋体"/>
        <family val="3"/>
        <charset val="134"/>
      </rPr>
      <t>袋</t>
    </r>
    <phoneticPr fontId="36" type="noConversion"/>
  </si>
  <si>
    <r>
      <rPr>
        <sz val="11"/>
        <rFont val="宋体"/>
        <family val="3"/>
        <charset val="134"/>
      </rPr>
      <t>纳米喷雾杀菌枪</t>
    </r>
    <phoneticPr fontId="36" type="noConversion"/>
  </si>
  <si>
    <r>
      <rPr>
        <sz val="11"/>
        <rFont val="宋体"/>
        <family val="3"/>
        <charset val="134"/>
      </rPr>
      <t>不锈钢数显卡尺</t>
    </r>
    <phoneticPr fontId="36" type="noConversion"/>
  </si>
  <si>
    <r>
      <rPr>
        <sz val="11"/>
        <rFont val="宋体"/>
        <family val="3"/>
        <charset val="134"/>
      </rPr>
      <t>塑料采水瓶</t>
    </r>
    <phoneticPr fontId="37" type="noConversion"/>
  </si>
  <si>
    <r>
      <rPr>
        <sz val="11"/>
        <color rgb="FF9900FF"/>
        <rFont val="宋体"/>
        <family val="3"/>
        <charset val="134"/>
      </rPr>
      <t>箱</t>
    </r>
    <phoneticPr fontId="36" type="noConversion"/>
  </si>
  <si>
    <r>
      <rPr>
        <sz val="11"/>
        <rFont val="宋体"/>
        <family val="3"/>
        <charset val="134"/>
      </rPr>
      <t>小白板</t>
    </r>
    <phoneticPr fontId="36" type="noConversion"/>
  </si>
  <si>
    <r>
      <rPr>
        <sz val="11"/>
        <rFont val="宋体"/>
        <family val="3"/>
        <charset val="134"/>
      </rPr>
      <t>硅胶软管（带管帽）</t>
    </r>
    <phoneticPr fontId="36" type="noConversion"/>
  </si>
  <si>
    <r>
      <rPr>
        <sz val="11"/>
        <rFont val="宋体"/>
        <family val="3"/>
        <charset val="134"/>
      </rPr>
      <t>一次性耐用丁腈手套</t>
    </r>
    <phoneticPr fontId="36" type="noConversion"/>
  </si>
  <si>
    <r>
      <rPr>
        <sz val="11"/>
        <color indexed="8"/>
        <rFont val="宋体"/>
        <family val="3"/>
        <charset val="134"/>
      </rPr>
      <t>赛洛尼</t>
    </r>
    <phoneticPr fontId="36" type="noConversion"/>
  </si>
  <si>
    <r>
      <t>100</t>
    </r>
    <r>
      <rPr>
        <sz val="11"/>
        <color indexed="8"/>
        <rFont val="宋体"/>
        <family val="3"/>
        <charset val="134"/>
      </rPr>
      <t>只</t>
    </r>
    <r>
      <rPr>
        <sz val="11"/>
        <color indexed="8"/>
        <rFont val="Arial Narrow"/>
        <family val="2"/>
      </rPr>
      <t>m</t>
    </r>
    <r>
      <rPr>
        <sz val="11"/>
        <color indexed="8"/>
        <rFont val="宋体"/>
        <family val="3"/>
        <charset val="134"/>
      </rPr>
      <t>码</t>
    </r>
    <phoneticPr fontId="36" type="noConversion"/>
  </si>
  <si>
    <r>
      <t>100</t>
    </r>
    <r>
      <rPr>
        <sz val="11"/>
        <color indexed="8"/>
        <rFont val="宋体"/>
        <family val="3"/>
        <charset val="134"/>
      </rPr>
      <t>只</t>
    </r>
    <r>
      <rPr>
        <sz val="11"/>
        <color indexed="8"/>
        <rFont val="Arial Narrow"/>
        <family val="2"/>
      </rPr>
      <t>s</t>
    </r>
    <r>
      <rPr>
        <sz val="11"/>
        <color indexed="8"/>
        <rFont val="宋体"/>
        <family val="3"/>
        <charset val="134"/>
      </rPr>
      <t>码</t>
    </r>
    <phoneticPr fontId="36" type="noConversion"/>
  </si>
  <si>
    <r>
      <rPr>
        <sz val="11"/>
        <rFont val="宋体"/>
        <family val="3"/>
        <charset val="134"/>
      </rPr>
      <t>心相印牌厨房纸巾</t>
    </r>
    <phoneticPr fontId="36" type="noConversion"/>
  </si>
  <si>
    <r>
      <rPr>
        <sz val="11"/>
        <color indexed="8"/>
        <rFont val="宋体"/>
        <family val="3"/>
        <charset val="134"/>
      </rPr>
      <t>心相印</t>
    </r>
    <phoneticPr fontId="36" type="noConversion"/>
  </si>
  <si>
    <r>
      <rPr>
        <sz val="11"/>
        <color rgb="FF9900FF"/>
        <rFont val="宋体"/>
        <family val="3"/>
        <charset val="134"/>
      </rPr>
      <t>包</t>
    </r>
    <phoneticPr fontId="36" type="noConversion"/>
  </si>
  <si>
    <r>
      <rPr>
        <sz val="11"/>
        <rFont val="宋体"/>
        <family val="3"/>
        <charset val="134"/>
      </rPr>
      <t>气瓶绑带</t>
    </r>
    <phoneticPr fontId="36" type="noConversion"/>
  </si>
  <si>
    <r>
      <rPr>
        <sz val="11"/>
        <color theme="1"/>
        <rFont val="宋体"/>
        <family val="3"/>
        <charset val="134"/>
      </rPr>
      <t>西安</t>
    </r>
    <r>
      <rPr>
        <sz val="11"/>
        <color theme="1"/>
        <rFont val="Arial Narrow"/>
        <family val="2"/>
      </rPr>
      <t>GPNJD</t>
    </r>
    <r>
      <rPr>
        <sz val="11"/>
        <color theme="1"/>
        <rFont val="宋体"/>
        <family val="3"/>
        <charset val="134"/>
      </rPr>
      <t>镜屏机电科技有限公司</t>
    </r>
    <phoneticPr fontId="36" type="noConversion"/>
  </si>
  <si>
    <r>
      <rPr>
        <sz val="11"/>
        <color rgb="FF9900FF"/>
        <rFont val="宋体"/>
        <family val="3"/>
        <charset val="134"/>
      </rPr>
      <t>条</t>
    </r>
    <phoneticPr fontId="36" type="noConversion"/>
  </si>
  <si>
    <r>
      <rPr>
        <sz val="11"/>
        <rFont val="宋体"/>
        <family val="3"/>
        <charset val="134"/>
      </rPr>
      <t>无菌手套</t>
    </r>
    <phoneticPr fontId="36" type="noConversion"/>
  </si>
  <si>
    <r>
      <rPr>
        <sz val="11"/>
        <color indexed="8"/>
        <rFont val="宋体"/>
        <family val="3"/>
        <charset val="134"/>
      </rPr>
      <t>稳健医疗</t>
    </r>
    <phoneticPr fontId="36" type="noConversion"/>
  </si>
  <si>
    <r>
      <rPr>
        <sz val="11"/>
        <rFont val="宋体"/>
        <family val="3"/>
        <charset val="134"/>
      </rPr>
      <t>牛皮纸</t>
    </r>
    <phoneticPr fontId="36" type="noConversion"/>
  </si>
  <si>
    <r>
      <rPr>
        <sz val="11"/>
        <color indexed="8"/>
        <rFont val="宋体"/>
        <family val="3"/>
        <charset val="134"/>
      </rPr>
      <t>盐城智学实验器材</t>
    </r>
    <phoneticPr fontId="36" type="noConversion"/>
  </si>
  <si>
    <r>
      <rPr>
        <sz val="11"/>
        <color theme="1"/>
        <rFont val="宋体"/>
        <family val="3"/>
        <charset val="134"/>
      </rPr>
      <t>乳胶帽</t>
    </r>
    <phoneticPr fontId="36" type="noConversion"/>
  </si>
  <si>
    <r>
      <rPr>
        <sz val="11"/>
        <color theme="1"/>
        <rFont val="宋体"/>
        <family val="3"/>
        <charset val="134"/>
      </rPr>
      <t>垒固</t>
    </r>
    <phoneticPr fontId="36" type="noConversion"/>
  </si>
  <si>
    <r>
      <rPr>
        <sz val="11"/>
        <color theme="1"/>
        <rFont val="宋体"/>
        <family val="3"/>
        <charset val="134"/>
      </rPr>
      <t>封口膜</t>
    </r>
    <phoneticPr fontId="36" type="noConversion"/>
  </si>
  <si>
    <r>
      <rPr>
        <sz val="11"/>
        <color theme="1"/>
        <rFont val="宋体"/>
        <family val="3"/>
        <charset val="134"/>
      </rPr>
      <t>比克曼生物</t>
    </r>
    <phoneticPr fontId="36" type="noConversion"/>
  </si>
  <si>
    <r>
      <rPr>
        <sz val="11"/>
        <color theme="1"/>
        <rFont val="宋体"/>
        <family val="3"/>
        <charset val="134"/>
      </rPr>
      <t>山东安捷高科消毒科技</t>
    </r>
    <phoneticPr fontId="36" type="noConversion"/>
  </si>
  <si>
    <r>
      <rPr>
        <sz val="11"/>
        <color rgb="FF9900FF"/>
        <rFont val="宋体"/>
        <family val="3"/>
        <charset val="134"/>
      </rPr>
      <t>瓶</t>
    </r>
    <phoneticPr fontId="36" type="noConversion"/>
  </si>
  <si>
    <r>
      <rPr>
        <sz val="11"/>
        <color theme="1"/>
        <rFont val="宋体"/>
        <family val="3"/>
        <charset val="134"/>
      </rPr>
      <t>娜而诗旗舰店</t>
    </r>
    <phoneticPr fontId="36" type="noConversion"/>
  </si>
  <si>
    <r>
      <rPr>
        <sz val="11"/>
        <color rgb="FF9900FF"/>
        <rFont val="宋体"/>
        <family val="3"/>
        <charset val="134"/>
      </rPr>
      <t>双</t>
    </r>
    <phoneticPr fontId="36" type="noConversion"/>
  </si>
  <si>
    <r>
      <rPr>
        <sz val="11"/>
        <color theme="1"/>
        <rFont val="宋体"/>
        <family val="3"/>
        <charset val="134"/>
      </rPr>
      <t>无尘帽</t>
    </r>
    <phoneticPr fontId="36" type="noConversion"/>
  </si>
  <si>
    <r>
      <rPr>
        <sz val="11"/>
        <color theme="1"/>
        <rFont val="宋体"/>
        <family val="3"/>
        <charset val="134"/>
      </rPr>
      <t>湖北众友利合</t>
    </r>
    <phoneticPr fontId="36" type="noConversion"/>
  </si>
  <si>
    <r>
      <rPr>
        <sz val="11"/>
        <color theme="1"/>
        <rFont val="宋体"/>
        <family val="3"/>
        <charset val="134"/>
      </rPr>
      <t>气瓶标识牌</t>
    </r>
    <phoneticPr fontId="36" type="noConversion"/>
  </si>
  <si>
    <r>
      <rPr>
        <sz val="11"/>
        <color theme="1"/>
        <rFont val="宋体"/>
        <family val="3"/>
        <charset val="134"/>
      </rPr>
      <t>爱卡堂</t>
    </r>
    <phoneticPr fontId="36" type="noConversion"/>
  </si>
  <si>
    <r>
      <rPr>
        <sz val="11"/>
        <color theme="1"/>
        <rFont val="宋体"/>
        <family val="3"/>
        <charset val="134"/>
      </rPr>
      <t>新泰市亿鑫康医疗</t>
    </r>
    <phoneticPr fontId="36" type="noConversion"/>
  </si>
  <si>
    <r>
      <rPr>
        <sz val="11"/>
        <color rgb="FF9900FF"/>
        <rFont val="宋体"/>
        <family val="3"/>
        <charset val="134"/>
      </rPr>
      <t>桶</t>
    </r>
    <phoneticPr fontId="36" type="noConversion"/>
  </si>
  <si>
    <r>
      <rPr>
        <sz val="11"/>
        <color theme="1"/>
        <rFont val="宋体"/>
        <family val="3"/>
        <charset val="134"/>
      </rPr>
      <t>移液器吸头</t>
    </r>
    <phoneticPr fontId="36" type="noConversion"/>
  </si>
  <si>
    <r>
      <rPr>
        <sz val="11"/>
        <color theme="1"/>
        <rFont val="宋体"/>
        <family val="3"/>
        <charset val="134"/>
      </rPr>
      <t>棱锐</t>
    </r>
    <phoneticPr fontId="36" type="noConversion"/>
  </si>
  <si>
    <r>
      <t>5ml*100</t>
    </r>
    <r>
      <rPr>
        <sz val="11"/>
        <color theme="1"/>
        <rFont val="宋体"/>
        <family val="3"/>
        <charset val="134"/>
      </rPr>
      <t>支</t>
    </r>
    <phoneticPr fontId="36" type="noConversion"/>
  </si>
  <si>
    <r>
      <t>1ml*500</t>
    </r>
    <r>
      <rPr>
        <sz val="11"/>
        <color theme="1"/>
        <rFont val="宋体"/>
        <family val="3"/>
        <charset val="134"/>
      </rPr>
      <t>支</t>
    </r>
    <phoneticPr fontId="36" type="noConversion"/>
  </si>
  <si>
    <r>
      <t>200ul*1000</t>
    </r>
    <r>
      <rPr>
        <sz val="11"/>
        <color theme="1"/>
        <rFont val="宋体"/>
        <family val="3"/>
        <charset val="134"/>
      </rPr>
      <t>支</t>
    </r>
    <phoneticPr fontId="36" type="noConversion"/>
  </si>
  <si>
    <r>
      <rPr>
        <sz val="11"/>
        <color theme="1"/>
        <rFont val="宋体"/>
        <family val="3"/>
        <charset val="134"/>
      </rPr>
      <t>移液器吸头盒</t>
    </r>
    <phoneticPr fontId="36" type="noConversion"/>
  </si>
  <si>
    <r>
      <t>5ml*28</t>
    </r>
    <r>
      <rPr>
        <sz val="11"/>
        <color theme="1"/>
        <rFont val="宋体"/>
        <family val="3"/>
        <charset val="134"/>
      </rPr>
      <t>孔</t>
    </r>
    <phoneticPr fontId="36" type="noConversion"/>
  </si>
  <si>
    <r>
      <t>1ml*100</t>
    </r>
    <r>
      <rPr>
        <sz val="11"/>
        <color theme="1"/>
        <rFont val="宋体"/>
        <family val="3"/>
        <charset val="134"/>
      </rPr>
      <t>孔</t>
    </r>
    <phoneticPr fontId="36" type="noConversion"/>
  </si>
  <si>
    <r>
      <t>200ul*96</t>
    </r>
    <r>
      <rPr>
        <sz val="11"/>
        <color theme="1"/>
        <rFont val="宋体"/>
        <family val="3"/>
        <charset val="134"/>
      </rPr>
      <t>孔</t>
    </r>
    <phoneticPr fontId="36" type="noConversion"/>
  </si>
  <si>
    <r>
      <rPr>
        <sz val="11"/>
        <color theme="1"/>
        <rFont val="宋体"/>
        <family val="3"/>
        <charset val="134"/>
      </rPr>
      <t>超细玻璃纤维滤膜</t>
    </r>
    <phoneticPr fontId="36" type="noConversion"/>
  </si>
  <si>
    <r>
      <rPr>
        <sz val="11"/>
        <color theme="1"/>
        <rFont val="宋体"/>
        <family val="3"/>
        <charset val="134"/>
      </rPr>
      <t>聚凯科创</t>
    </r>
    <phoneticPr fontId="36" type="noConversion"/>
  </si>
  <si>
    <r>
      <rPr>
        <sz val="11"/>
        <color theme="1"/>
        <rFont val="宋体"/>
        <family val="3"/>
        <charset val="134"/>
      </rPr>
      <t>收纳盒</t>
    </r>
    <phoneticPr fontId="36" type="noConversion"/>
  </si>
  <si>
    <r>
      <rPr>
        <sz val="11"/>
        <color theme="1"/>
        <rFont val="宋体"/>
        <family val="3"/>
        <charset val="134"/>
      </rPr>
      <t>温湿度计</t>
    </r>
    <phoneticPr fontId="36" type="noConversion"/>
  </si>
  <si>
    <r>
      <rPr>
        <sz val="11"/>
        <color theme="1"/>
        <rFont val="宋体"/>
        <family val="3"/>
        <charset val="134"/>
      </rPr>
      <t>智瑞达</t>
    </r>
    <phoneticPr fontId="36" type="noConversion"/>
  </si>
  <si>
    <r>
      <rPr>
        <sz val="11"/>
        <color theme="1"/>
        <rFont val="宋体"/>
        <family val="3"/>
        <charset val="134"/>
      </rPr>
      <t>水质大肠菌群检验纸片</t>
    </r>
    <phoneticPr fontId="36" type="noConversion"/>
  </si>
  <si>
    <r>
      <rPr>
        <sz val="11"/>
        <color theme="1"/>
        <rFont val="宋体"/>
        <family val="3"/>
        <charset val="134"/>
      </rPr>
      <t>水质粪Ⅱ型</t>
    </r>
    <r>
      <rPr>
        <sz val="11"/>
        <color theme="1"/>
        <rFont val="Arial Narrow"/>
        <family val="2"/>
      </rPr>
      <t xml:space="preserve"> 5.55mL </t>
    </r>
    <r>
      <rPr>
        <sz val="11"/>
        <color theme="1"/>
        <rFont val="宋体"/>
        <family val="3"/>
        <charset val="134"/>
      </rPr>
      <t>测试片</t>
    </r>
    <phoneticPr fontId="36" type="noConversion"/>
  </si>
  <si>
    <r>
      <t>CN-CA</t>
    </r>
    <r>
      <rPr>
        <sz val="11"/>
        <color theme="1"/>
        <rFont val="宋体"/>
        <family val="3"/>
        <charset val="134"/>
      </rPr>
      <t>滤膜</t>
    </r>
    <phoneticPr fontId="36" type="noConversion"/>
  </si>
  <si>
    <r>
      <rPr>
        <sz val="11"/>
        <color rgb="FF9900FF"/>
        <rFont val="宋体"/>
        <family val="3"/>
        <charset val="134"/>
      </rPr>
      <t>张</t>
    </r>
    <phoneticPr fontId="36" type="noConversion"/>
  </si>
  <si>
    <r>
      <rPr>
        <sz val="11"/>
        <color theme="1"/>
        <rFont val="宋体"/>
        <family val="3"/>
        <charset val="134"/>
      </rPr>
      <t>一次性耐用丁腈手套</t>
    </r>
    <phoneticPr fontId="36" type="noConversion"/>
  </si>
  <si>
    <r>
      <rPr>
        <sz val="11"/>
        <color theme="1"/>
        <rFont val="宋体"/>
        <family val="3"/>
        <charset val="134"/>
      </rPr>
      <t>脱脂棉球</t>
    </r>
    <phoneticPr fontId="36" type="noConversion"/>
  </si>
  <si>
    <r>
      <t>250mm*170mm*70mm</t>
    </r>
    <r>
      <rPr>
        <sz val="11"/>
        <color theme="1"/>
        <rFont val="宋体"/>
        <family val="3"/>
        <charset val="134"/>
      </rPr>
      <t>，网孔</t>
    </r>
    <r>
      <rPr>
        <sz val="11"/>
        <color theme="1"/>
        <rFont val="Arial Narrow"/>
        <family val="2"/>
      </rPr>
      <t>2mm</t>
    </r>
    <phoneticPr fontId="36" type="noConversion"/>
  </si>
  <si>
    <r>
      <rPr>
        <sz val="11"/>
        <color theme="1"/>
        <rFont val="宋体"/>
        <family val="3"/>
        <charset val="134"/>
      </rPr>
      <t>棉拭子</t>
    </r>
    <phoneticPr fontId="36" type="noConversion"/>
  </si>
  <si>
    <r>
      <rPr>
        <sz val="11"/>
        <color theme="1"/>
        <rFont val="宋体"/>
        <family val="3"/>
        <charset val="134"/>
      </rPr>
      <t>醋酸铅试纸</t>
    </r>
    <phoneticPr fontId="36" type="noConversion"/>
  </si>
  <si>
    <r>
      <rPr>
        <sz val="11"/>
        <color theme="1"/>
        <rFont val="宋体"/>
        <family val="3"/>
        <charset val="134"/>
      </rPr>
      <t>碘化钾淀粉试纸</t>
    </r>
    <phoneticPr fontId="36" type="noConversion"/>
  </si>
  <si>
    <r>
      <rPr>
        <sz val="11"/>
        <color theme="1"/>
        <rFont val="宋体"/>
        <family val="3"/>
        <charset val="134"/>
      </rPr>
      <t>塑料滴管</t>
    </r>
    <phoneticPr fontId="36" type="noConversion"/>
  </si>
  <si>
    <r>
      <rPr>
        <sz val="11"/>
        <color theme="1"/>
        <rFont val="宋体"/>
        <family val="3"/>
        <charset val="134"/>
      </rPr>
      <t>棉绳</t>
    </r>
    <phoneticPr fontId="36" type="noConversion"/>
  </si>
  <si>
    <r>
      <rPr>
        <sz val="11"/>
        <color theme="1"/>
        <rFont val="宋体"/>
        <family val="3"/>
        <charset val="134"/>
      </rPr>
      <t>脱脂棉</t>
    </r>
    <phoneticPr fontId="36" type="noConversion"/>
  </si>
  <si>
    <r>
      <rPr>
        <sz val="11"/>
        <color theme="1"/>
        <rFont val="宋体"/>
        <family val="3"/>
        <charset val="134"/>
      </rPr>
      <t>纱布</t>
    </r>
    <phoneticPr fontId="36" type="noConversion"/>
  </si>
  <si>
    <r>
      <rPr>
        <sz val="11"/>
        <color theme="1"/>
        <rFont val="宋体"/>
        <family val="3"/>
        <charset val="134"/>
      </rPr>
      <t>霍加拉特催化剂</t>
    </r>
    <phoneticPr fontId="36" type="noConversion"/>
  </si>
  <si>
    <r>
      <t>50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</si>
  <si>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48</t>
    </r>
    <r>
      <rPr>
        <sz val="11"/>
        <color theme="1"/>
        <rFont val="宋体"/>
        <family val="3"/>
        <charset val="134"/>
      </rPr>
      <t>小时</t>
    </r>
    <phoneticPr fontId="36" type="noConversion"/>
  </si>
  <si>
    <r>
      <t>100</t>
    </r>
    <r>
      <rPr>
        <sz val="11"/>
        <color theme="1"/>
        <rFont val="宋体"/>
        <family val="3"/>
        <charset val="134"/>
      </rPr>
      <t>条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</si>
  <si>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rPr>
        <sz val="11"/>
        <color theme="1"/>
        <rFont val="宋体"/>
        <family val="3"/>
        <charset val="134"/>
      </rPr>
      <t>水质粪</t>
    </r>
    <r>
      <rPr>
        <sz val="11"/>
        <color theme="1"/>
        <rFont val="Arial Narrow"/>
        <family val="2"/>
      </rPr>
      <t>I</t>
    </r>
    <r>
      <rPr>
        <sz val="11"/>
        <color theme="1"/>
        <rFont val="宋体"/>
        <family val="3"/>
        <charset val="134"/>
      </rPr>
      <t>型</t>
    </r>
    <r>
      <rPr>
        <sz val="11"/>
        <color theme="1"/>
        <rFont val="Arial Narrow"/>
        <family val="2"/>
      </rPr>
      <t xml:space="preserve">55.5mL </t>
    </r>
    <r>
      <rPr>
        <sz val="11"/>
        <color theme="1"/>
        <rFont val="宋体"/>
        <family val="3"/>
        <charset val="134"/>
      </rPr>
      <t>测试片</t>
    </r>
    <phoneticPr fontId="36" type="noConversion"/>
  </si>
  <si>
    <r>
      <t>10ml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</si>
  <si>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5ml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</si>
  <si>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3ml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</si>
  <si>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2ml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</si>
  <si>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1ml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</si>
  <si>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1.5mm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70m</t>
    </r>
    <phoneticPr fontId="36" type="noConversion"/>
  </si>
  <si>
    <t>卷</t>
    <phoneticPr fontId="36" type="noConversion"/>
  </si>
  <si>
    <t>500g</t>
    <phoneticPr fontId="36" type="noConversion"/>
  </si>
  <si>
    <t>蒸馏水</t>
    <phoneticPr fontId="36" type="noConversion"/>
  </si>
  <si>
    <t>乳胶手套</t>
    <phoneticPr fontId="36" type="noConversion"/>
  </si>
  <si>
    <t>移液枪头</t>
    <phoneticPr fontId="36" type="noConversion"/>
  </si>
  <si>
    <t>屈臣氏</t>
    <phoneticPr fontId="36" type="noConversion"/>
  </si>
  <si>
    <r>
      <t>4.5L/</t>
    </r>
    <r>
      <rPr>
        <sz val="11"/>
        <color theme="1"/>
        <rFont val="宋体"/>
        <family val="3"/>
        <charset val="134"/>
      </rPr>
      <t>瓶</t>
    </r>
    <phoneticPr fontId="36" type="noConversion"/>
  </si>
  <si>
    <r>
      <t>55cm</t>
    </r>
    <r>
      <rPr>
        <sz val="11"/>
        <color theme="1"/>
        <rFont val="宋体"/>
        <family val="3"/>
        <charset val="134"/>
      </rPr>
      <t>，黑色</t>
    </r>
    <phoneticPr fontId="36" type="noConversion"/>
  </si>
  <si>
    <r>
      <t>10μl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</si>
  <si>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1ml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500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</si>
  <si>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5ml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300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</si>
  <si>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r>
      <t>10ml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100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包</t>
    </r>
    <phoneticPr fontId="36" type="noConversion"/>
  </si>
  <si>
    <t>四层活性炭口罩</t>
    <phoneticPr fontId="36" type="noConversion"/>
  </si>
  <si>
    <t>棉线手套</t>
    <phoneticPr fontId="36" type="noConversion"/>
  </si>
  <si>
    <t>口罩</t>
    <phoneticPr fontId="36" type="noConversion"/>
  </si>
  <si>
    <r>
      <t>800</t>
    </r>
    <r>
      <rPr>
        <sz val="11"/>
        <color theme="1"/>
        <rFont val="宋体"/>
        <family val="3"/>
        <charset val="134"/>
      </rPr>
      <t>型</t>
    </r>
    <phoneticPr fontId="36" type="noConversion"/>
  </si>
  <si>
    <r>
      <t>WF-PJA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50</t>
    </r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</si>
  <si>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t>钛合金电导电极</t>
    <phoneticPr fontId="36" type="noConversion"/>
  </si>
  <si>
    <t>DJS-0.01</t>
    <phoneticPr fontId="36" type="noConversion"/>
  </si>
  <si>
    <t>KDY-250702-PXQ-J7-002</t>
    <phoneticPr fontId="36" type="noConversion"/>
  </si>
  <si>
    <t>PXQ-250702-ZFY-J7-001</t>
    <phoneticPr fontId="36" type="noConversion"/>
  </si>
  <si>
    <t>DD102</t>
    <phoneticPr fontId="36" type="noConversion"/>
  </si>
  <si>
    <t>KDY-250702-PXQ-J7-001</t>
    <phoneticPr fontId="36" type="noConversion"/>
  </si>
  <si>
    <t>具塞衍生瓶</t>
    <phoneticPr fontId="36" type="noConversion"/>
  </si>
  <si>
    <t>具塞萃取瓶</t>
    <phoneticPr fontId="36" type="noConversion"/>
  </si>
  <si>
    <t>50ml</t>
    <phoneticPr fontId="36" type="noConversion"/>
  </si>
  <si>
    <t>盒子</t>
    <phoneticPr fontId="36" type="noConversion"/>
  </si>
  <si>
    <t>盒子</t>
    <phoneticPr fontId="36" type="noConversion"/>
  </si>
  <si>
    <r>
      <t>KDY-250702-PXQ-J4-001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KDY-250707-PXQ-J4-001</t>
    </r>
    <phoneticPr fontId="36" type="noConversion"/>
  </si>
  <si>
    <t>PKF-250624-SYY-J6-002</t>
    <phoneticPr fontId="36" type="noConversion"/>
  </si>
  <si>
    <t>SYY-250703-PXQ-J6-001</t>
    <phoneticPr fontId="36" type="noConversion"/>
  </si>
  <si>
    <t>PXQ-250708-XQN-J6-002</t>
    <phoneticPr fontId="36" type="noConversion"/>
  </si>
  <si>
    <t>J-01</t>
    <phoneticPr fontId="36" type="noConversion"/>
  </si>
  <si>
    <t>J-01</t>
    <phoneticPr fontId="36" type="noConversion"/>
  </si>
  <si>
    <t>冰箱</t>
    <phoneticPr fontId="36" type="noConversion"/>
  </si>
  <si>
    <t>冰箱</t>
    <phoneticPr fontId="36" type="noConversion"/>
  </si>
  <si>
    <t>色觉检查图</t>
    <phoneticPr fontId="36" type="noConversion"/>
  </si>
  <si>
    <t>辽宁科学技术出版社</t>
    <phoneticPr fontId="36" type="noConversion"/>
  </si>
  <si>
    <t>KDY-250708-PXQ-J6-001</t>
    <phoneticPr fontId="36" type="noConversion"/>
  </si>
  <si>
    <t>本</t>
    <phoneticPr fontId="36" type="noConversion"/>
  </si>
  <si>
    <t>KDY-250702-PXQ-J6-010</t>
    <phoneticPr fontId="36" type="noConversion"/>
  </si>
  <si>
    <t>KDY-250702-PXQ-J6-009</t>
    <phoneticPr fontId="36" type="noConversion"/>
  </si>
  <si>
    <t>KDY-250702-PXQ-J6-008</t>
    <phoneticPr fontId="36" type="noConversion"/>
  </si>
  <si>
    <t>KDY-250702-PXQ-J6-007</t>
    <phoneticPr fontId="36" type="noConversion"/>
  </si>
  <si>
    <t>KDY-250702-PXQ-J6-005</t>
    <phoneticPr fontId="36" type="noConversion"/>
  </si>
  <si>
    <t>KDY-250702-PXQ-J6-004</t>
    <phoneticPr fontId="36" type="noConversion"/>
  </si>
  <si>
    <t>KDY-250702-PXQ-J6-002</t>
    <phoneticPr fontId="36" type="noConversion"/>
  </si>
  <si>
    <t>KDY-250702-PXQ-J6-001</t>
    <phoneticPr fontId="36" type="noConversion"/>
  </si>
  <si>
    <t>KDY-250623-PKF-J6-025</t>
    <phoneticPr fontId="36" type="noConversion"/>
  </si>
  <si>
    <t>KDY-250623-PKF-J6-023</t>
    <phoneticPr fontId="36" type="noConversion"/>
  </si>
  <si>
    <t>KDY-250623-PKF-J6-022</t>
    <phoneticPr fontId="36" type="noConversion"/>
  </si>
  <si>
    <t>KDY-250623-PKF-J6-021</t>
    <phoneticPr fontId="36" type="noConversion"/>
  </si>
  <si>
    <t>KDY-250623-PKF-J6-020</t>
    <phoneticPr fontId="36" type="noConversion"/>
  </si>
  <si>
    <t>KDY-250623-PKF-J6-019</t>
    <phoneticPr fontId="36" type="noConversion"/>
  </si>
  <si>
    <t>KDY-250623-PKF-J6-018</t>
    <phoneticPr fontId="36" type="noConversion"/>
  </si>
  <si>
    <t>KDY-250623-PKF-J6-017</t>
    <phoneticPr fontId="36" type="noConversion"/>
  </si>
  <si>
    <t>KDY-250623-PKF-J6-016</t>
    <phoneticPr fontId="36" type="noConversion"/>
  </si>
  <si>
    <t>KDY-250623-PKF-J6-015</t>
    <phoneticPr fontId="36" type="noConversion"/>
  </si>
  <si>
    <t>KDY-250623-PKF-J6-014</t>
    <phoneticPr fontId="36" type="noConversion"/>
  </si>
  <si>
    <t>KDY-250623-PKF-J6-013</t>
    <phoneticPr fontId="36" type="noConversion"/>
  </si>
  <si>
    <t>KDY-250623-PKF-J6-012</t>
    <phoneticPr fontId="36" type="noConversion"/>
  </si>
  <si>
    <t>KDY-250623-PKF-J6-011</t>
    <phoneticPr fontId="36" type="noConversion"/>
  </si>
  <si>
    <t>KDY-250623-PKF-J6-010</t>
    <phoneticPr fontId="36" type="noConversion"/>
  </si>
  <si>
    <t>KDY-250623-PKF-J6-009</t>
    <phoneticPr fontId="36" type="noConversion"/>
  </si>
  <si>
    <t>KDY-250623-PKF-J6-008</t>
    <phoneticPr fontId="36" type="noConversion"/>
  </si>
  <si>
    <t>KDY-250623-PKF-J6-007</t>
    <phoneticPr fontId="36" type="noConversion"/>
  </si>
  <si>
    <t>KDY-250623-PKF-J6-006</t>
    <phoneticPr fontId="36" type="noConversion"/>
  </si>
  <si>
    <t>KDY-250623-PKF-J6-005</t>
    <phoneticPr fontId="36" type="noConversion"/>
  </si>
  <si>
    <t>KDY-250623-PKF-J6-004</t>
    <phoneticPr fontId="36" type="noConversion"/>
  </si>
  <si>
    <t>KDY-250623-PKF-J6-003</t>
    <phoneticPr fontId="36" type="noConversion"/>
  </si>
  <si>
    <t>KDY-250623-PKF-J6-002</t>
    <phoneticPr fontId="36" type="noConversion"/>
  </si>
  <si>
    <t>KDY-250623-PKF-J6-001</t>
    <phoneticPr fontId="36" type="noConversion"/>
  </si>
  <si>
    <t>J-01</t>
    <phoneticPr fontId="36" type="noConversion"/>
  </si>
  <si>
    <r>
      <t>KDY-250702-PXQ-J6-006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PXQ-250703-SYY-J6-001</t>
    </r>
    <phoneticPr fontId="36" type="noConversion"/>
  </si>
  <si>
    <t>J-07</t>
    <phoneticPr fontId="36" type="noConversion"/>
  </si>
  <si>
    <t>J-01</t>
    <phoneticPr fontId="36" type="noConversion"/>
  </si>
  <si>
    <t>J-08</t>
    <phoneticPr fontId="36" type="noConversion"/>
  </si>
  <si>
    <t>J-03</t>
    <phoneticPr fontId="36" type="noConversion"/>
  </si>
  <si>
    <t>露水牌紫外线强度测试卡</t>
    <phoneticPr fontId="36" type="noConversion"/>
  </si>
  <si>
    <t>KDY-250714-SYY-J6-001</t>
    <phoneticPr fontId="36" type="noConversion"/>
  </si>
  <si>
    <t>SYY-250714-LDC-J6-001</t>
    <phoneticPr fontId="36" type="noConversion"/>
  </si>
  <si>
    <t>KDY-250714-SYY-J6-002</t>
  </si>
  <si>
    <t>SYY-250714-LDC-J6-002</t>
  </si>
  <si>
    <t>江堰市夏南生化器械城</t>
    <phoneticPr fontId="36" type="noConversion"/>
  </si>
  <si>
    <t>5ml</t>
    <phoneticPr fontId="36" type="noConversion"/>
  </si>
  <si>
    <t>KDY-250714-SYY-J4-001</t>
    <phoneticPr fontId="36" type="noConversion"/>
  </si>
  <si>
    <t>KDY-250714-SYY-J7-001</t>
    <phoneticPr fontId="36" type="noConversion"/>
  </si>
  <si>
    <t>SYY-250714-PXQ-J7-001</t>
    <phoneticPr fontId="36" type="noConversion"/>
  </si>
  <si>
    <t>北京刚达利</t>
    <phoneticPr fontId="36" type="noConversion"/>
  </si>
  <si>
    <t>KDY-250715-PXQ-J7-001</t>
    <phoneticPr fontId="36" type="noConversion"/>
  </si>
  <si>
    <t>302G-14</t>
    <phoneticPr fontId="36" type="noConversion"/>
  </si>
  <si>
    <t>规格板（弯柄）</t>
    <phoneticPr fontId="36" type="noConversion"/>
  </si>
  <si>
    <t>规格板（直柄）</t>
    <phoneticPr fontId="36" type="noConversion"/>
  </si>
  <si>
    <t>5cm*5cm</t>
    <phoneticPr fontId="36" type="noConversion"/>
  </si>
  <si>
    <t>5cm*10cm</t>
    <phoneticPr fontId="36" type="noConversion"/>
  </si>
  <si>
    <t>10cm*10cm</t>
    <phoneticPr fontId="36" type="noConversion"/>
  </si>
  <si>
    <t>10cm*10cm</t>
    <phoneticPr fontId="36" type="noConversion"/>
  </si>
  <si>
    <t>KDY-250723-SYY-J8-001</t>
    <phoneticPr fontId="36" type="noConversion"/>
  </si>
  <si>
    <t>KDY-250723-SYY-J8-002</t>
  </si>
  <si>
    <t>KDY-250723-SYY-J8-003</t>
  </si>
  <si>
    <t>KDY-250723-SYY-J8-004</t>
  </si>
  <si>
    <t>个</t>
    <phoneticPr fontId="36" type="noConversion"/>
  </si>
  <si>
    <t>SYY-250724-PXQ-J7-001</t>
    <phoneticPr fontId="36" type="noConversion"/>
  </si>
  <si>
    <r>
      <t>KDY-250708-PXQ-J4-002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KDY-250712-PXQ-J4-001</t>
    </r>
    <phoneticPr fontId="36" type="noConversion"/>
  </si>
  <si>
    <r>
      <t>KDY-250704-PXQ-J4-001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KDY-250708-PKF-J4-001</t>
    </r>
    <phoneticPr fontId="36" type="noConversion"/>
  </si>
  <si>
    <t>发烟管</t>
    <phoneticPr fontId="36" type="noConversion"/>
  </si>
  <si>
    <t>苏州露水生物</t>
    <phoneticPr fontId="36" type="noConversion"/>
  </si>
  <si>
    <t>毅畅实业</t>
    <phoneticPr fontId="36" type="noConversion"/>
  </si>
  <si>
    <r>
      <t>100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</si>
  <si>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r>
      <t>20</t>
    </r>
    <r>
      <rPr>
        <sz val="11"/>
        <color theme="1"/>
        <rFont val="宋体"/>
        <family val="3"/>
        <charset val="134"/>
      </rPr>
      <t>支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盒</t>
    </r>
    <phoneticPr fontId="36" type="noConversion"/>
  </si>
  <si>
    <t>高精度智能温度控制仪</t>
    <phoneticPr fontId="36" type="noConversion"/>
  </si>
  <si>
    <t>加热管</t>
    <phoneticPr fontId="36" type="noConversion"/>
  </si>
  <si>
    <t>CHB702-021-0131013</t>
    <phoneticPr fontId="36" type="noConversion"/>
  </si>
  <si>
    <t>220V,1.5kW</t>
    <phoneticPr fontId="36" type="noConversion"/>
  </si>
  <si>
    <t>φ1/8,304</t>
    <phoneticPr fontId="36" type="noConversion"/>
  </si>
  <si>
    <t>个</t>
    <phoneticPr fontId="36" type="noConversion"/>
  </si>
  <si>
    <t>常规</t>
    <phoneticPr fontId="36" type="noConversion"/>
  </si>
  <si>
    <t>常规</t>
    <phoneticPr fontId="36" type="noConversion"/>
  </si>
  <si>
    <t>SYY-250728-ZFY-J7-001</t>
    <phoneticPr fontId="36" type="noConversion"/>
  </si>
  <si>
    <t>6146.1225 spanner 5.5mm</t>
    <phoneticPr fontId="36" type="noConversion"/>
  </si>
  <si>
    <t>20ml</t>
    <phoneticPr fontId="36" type="noConversion"/>
  </si>
  <si>
    <r>
      <rPr>
        <sz val="11"/>
        <rFont val="宋体"/>
        <family val="3"/>
        <charset val="134"/>
      </rPr>
      <t>白色碱式滴定管</t>
    </r>
    <r>
      <rPr>
        <sz val="11"/>
        <rFont val="Arial Narrow"/>
        <family val="2"/>
      </rPr>
      <t>WJ025</t>
    </r>
    <phoneticPr fontId="36" type="noConversion"/>
  </si>
  <si>
    <r>
      <rPr>
        <sz val="11"/>
        <rFont val="宋体"/>
        <family val="3"/>
        <charset val="134"/>
      </rPr>
      <t>棕色碱式滴定管</t>
    </r>
    <r>
      <rPr>
        <sz val="11"/>
        <rFont val="Arial Narrow"/>
        <family val="2"/>
      </rPr>
      <t>WJ026</t>
    </r>
    <phoneticPr fontId="36" type="noConversion"/>
  </si>
  <si>
    <t>KDY-250728-SYY-J7-001</t>
    <phoneticPr fontId="36" type="noConversion"/>
  </si>
  <si>
    <r>
      <t>SYY-250725-ZFY-J7-001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SYY-250728-ZFY-J7-002</t>
    </r>
    <phoneticPr fontId="36" type="noConversion"/>
  </si>
  <si>
    <t>304/306不锈钢卡套球阀Q9/SA</t>
    <phoneticPr fontId="36" type="noConversion"/>
  </si>
  <si>
    <t>SYY-250728-YZH-J7-003</t>
    <phoneticPr fontId="36" type="noConversion"/>
  </si>
  <si>
    <t>SYY-250728-YZH-J7-004</t>
    <phoneticPr fontId="36" type="noConversion"/>
  </si>
  <si>
    <t>SYY-250828-LDC-J6-001</t>
    <phoneticPr fontId="36" type="noConversion"/>
  </si>
  <si>
    <r>
      <t>ZHD-231229-WWY-J4-002</t>
    </r>
    <r>
      <rPr>
        <sz val="11"/>
        <rFont val="宋体"/>
        <family val="3"/>
        <charset val="134"/>
      </rPr>
      <t>、</t>
    </r>
    <r>
      <rPr>
        <sz val="11"/>
        <rFont val="Arial Narrow"/>
        <family val="2"/>
      </rPr>
      <t>SYY-250827-ZFY-J4-001</t>
    </r>
    <phoneticPr fontId="36" type="noConversion"/>
  </si>
  <si>
    <r>
      <t>MYM-191016-SCL-JC06-003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MYM-230313-CJF-J6-003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SYY-250901-YZH-J6-001</t>
    </r>
    <phoneticPr fontId="36" type="noConversion"/>
  </si>
  <si>
    <r>
      <t>WJG-240612-YHG-J6-001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SYY-250902-QDJ-J6-001</t>
    </r>
    <phoneticPr fontId="36" type="noConversion"/>
  </si>
  <si>
    <t>SYY-250904-SYY-J7-001</t>
    <phoneticPr fontId="36" type="noConversion"/>
  </si>
  <si>
    <r>
      <t>WJG-240618-YHG-J6-001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SYY-250905-QDJ-J6-003</t>
    </r>
    <phoneticPr fontId="36" type="noConversion"/>
  </si>
  <si>
    <r>
      <t>CYQ-240918-LMI-J6-001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SYY-250905-SYY-J6-002</t>
    </r>
    <phoneticPr fontId="36" type="noConversion"/>
  </si>
  <si>
    <r>
      <t>MYM-220113-WJS-J7-001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SYY-250904-WYH-J7-002</t>
    </r>
    <phoneticPr fontId="36" type="noConversion"/>
  </si>
  <si>
    <t>无菌手套</t>
    <phoneticPr fontId="36" type="noConversion"/>
  </si>
  <si>
    <t>稳健医疗</t>
    <phoneticPr fontId="36" type="noConversion"/>
  </si>
  <si>
    <t>倾斜式微压计玻璃管</t>
    <phoneticPr fontId="36" type="noConversion"/>
  </si>
  <si>
    <t>KDY-250908-SYY-J7-001</t>
    <phoneticPr fontId="36" type="noConversion"/>
  </si>
  <si>
    <t>YYT-2000B</t>
    <phoneticPr fontId="36" type="noConversion"/>
  </si>
  <si>
    <t>SYY-250908-LDC-J7-001</t>
    <phoneticPr fontId="36" type="noConversion"/>
  </si>
  <si>
    <t>pH复合电极</t>
    <phoneticPr fontId="36" type="noConversion"/>
  </si>
  <si>
    <t>J7</t>
    <phoneticPr fontId="36" type="noConversion"/>
  </si>
  <si>
    <r>
      <rPr>
        <sz val="11"/>
        <color theme="1"/>
        <rFont val="宋体"/>
        <family val="3"/>
        <charset val="134"/>
      </rPr>
      <t>雷磁</t>
    </r>
    <r>
      <rPr>
        <sz val="11"/>
        <color theme="1"/>
        <rFont val="Arial Narrow"/>
        <family val="2"/>
      </rPr>
      <t>E-201F</t>
    </r>
    <phoneticPr fontId="36" type="noConversion"/>
  </si>
  <si>
    <t>KDY-250909-SYY-J7-001</t>
    <phoneticPr fontId="36" type="noConversion"/>
  </si>
  <si>
    <t>个</t>
    <phoneticPr fontId="36" type="noConversion"/>
  </si>
  <si>
    <t>SYY-250909-LDC-J7-001</t>
    <phoneticPr fontId="36" type="noConversion"/>
  </si>
  <si>
    <t>粉尘充电器</t>
    <phoneticPr fontId="36" type="noConversion"/>
  </si>
  <si>
    <t>KDY-250910-SYY-J7-001</t>
    <phoneticPr fontId="36" type="noConversion"/>
  </si>
  <si>
    <t>SYY-250910-LDC-J7-001</t>
    <phoneticPr fontId="36" type="noConversion"/>
  </si>
  <si>
    <t>SYY-250910-YZH-J4-001</t>
    <phoneticPr fontId="36" type="noConversion"/>
  </si>
  <si>
    <t>SGKG（扬州益捷实验仪器有限公司）</t>
    <phoneticPr fontId="36" type="noConversion"/>
  </si>
  <si>
    <r>
      <t>SGRG</t>
    </r>
    <r>
      <rPr>
        <sz val="11"/>
        <color theme="1"/>
        <rFont val="宋体"/>
        <family val="3"/>
        <charset val="134"/>
      </rPr>
      <t>（扬州益捷实验仪器有限公司）</t>
    </r>
    <phoneticPr fontId="36" type="noConversion"/>
  </si>
  <si>
    <t>普析（北京普析通用仪器有限责任公司）</t>
    <phoneticPr fontId="36" type="noConversion"/>
  </si>
  <si>
    <t>成都菲尔斯特仪器有限公司</t>
    <phoneticPr fontId="36" type="noConversion"/>
  </si>
  <si>
    <t>赛洛尼（江苏扬子利得医疗器械有限公司）</t>
    <phoneticPr fontId="36" type="noConversion"/>
  </si>
  <si>
    <t>和泰（曹县和泰卫生材料有限公司)</t>
    <phoneticPr fontId="36" type="noConversion"/>
  </si>
  <si>
    <t>北京鑫四环消毒技术开发有限公司</t>
    <phoneticPr fontId="36" type="noConversion"/>
  </si>
  <si>
    <t>山东新华医疗器械股份有限公司</t>
    <phoneticPr fontId="36" type="noConversion"/>
  </si>
  <si>
    <t>广东达元绿洲食品安全科技股份有限公司</t>
    <phoneticPr fontId="36" type="noConversion"/>
  </si>
  <si>
    <t>上海馨晟试华工科技有限公司</t>
    <phoneticPr fontId="36" type="noConversion"/>
  </si>
  <si>
    <t>华鲁（曹县华鲁卫生材料有限公司）</t>
    <phoneticPr fontId="36" type="noConversion"/>
  </si>
  <si>
    <t>颢清（山东颢清环保科技有限公司）</t>
    <phoneticPr fontId="36" type="noConversion"/>
  </si>
  <si>
    <t>万丰（思丰远大橡胶塑制品有限公司）</t>
  </si>
  <si>
    <t>恒品（浙江航康医疗器械有限公司）</t>
    <phoneticPr fontId="36" type="noConversion"/>
  </si>
  <si>
    <t>湖南比克曼控股有限责任公司</t>
    <phoneticPr fontId="36" type="noConversion"/>
  </si>
  <si>
    <r>
      <rPr>
        <b/>
        <sz val="16"/>
        <color theme="1"/>
        <rFont val="宋体"/>
        <family val="3"/>
        <charset val="134"/>
      </rPr>
      <t>以下为</t>
    </r>
    <r>
      <rPr>
        <b/>
        <sz val="16"/>
        <color theme="1"/>
        <rFont val="Arial Narrow"/>
        <family val="2"/>
      </rPr>
      <t>2025</t>
    </r>
    <r>
      <rPr>
        <sz val="20"/>
        <color theme="1"/>
        <rFont val="宋体"/>
        <family val="3"/>
        <charset val="134"/>
      </rPr>
      <t>年采购专用物耗</t>
    </r>
    <phoneticPr fontId="36" type="noConversion"/>
  </si>
  <si>
    <r>
      <rPr>
        <b/>
        <sz val="16"/>
        <color theme="1"/>
        <rFont val="宋体"/>
        <family val="3"/>
        <charset val="134"/>
      </rPr>
      <t>以下</t>
    </r>
    <r>
      <rPr>
        <b/>
        <sz val="16"/>
        <color theme="1"/>
        <rFont val="Arial Narrow"/>
        <family val="2"/>
      </rPr>
      <t>2025</t>
    </r>
    <r>
      <rPr>
        <sz val="20"/>
        <color theme="1"/>
        <rFont val="宋体"/>
        <family val="3"/>
        <charset val="134"/>
      </rPr>
      <t>年采购玻璃仪器</t>
    </r>
    <phoneticPr fontId="36" type="noConversion"/>
  </si>
  <si>
    <r>
      <rPr>
        <b/>
        <sz val="16"/>
        <color theme="1"/>
        <rFont val="宋体"/>
        <family val="3"/>
        <charset val="134"/>
      </rPr>
      <t>以下</t>
    </r>
    <r>
      <rPr>
        <b/>
        <sz val="16"/>
        <color theme="1"/>
        <rFont val="Arial Narrow"/>
        <family val="2"/>
      </rPr>
      <t>2025</t>
    </r>
    <r>
      <rPr>
        <sz val="20"/>
        <color theme="1"/>
        <rFont val="宋体"/>
        <family val="3"/>
        <charset val="134"/>
      </rPr>
      <t>年采购专用工具</t>
    </r>
    <phoneticPr fontId="36" type="noConversion"/>
  </si>
  <si>
    <r>
      <rPr>
        <b/>
        <sz val="16"/>
        <color theme="1"/>
        <rFont val="宋体"/>
        <family val="3"/>
        <charset val="134"/>
      </rPr>
      <t>以下</t>
    </r>
    <r>
      <rPr>
        <b/>
        <sz val="16"/>
        <color theme="1"/>
        <rFont val="Arial Narrow"/>
        <family val="2"/>
      </rPr>
      <t>2025</t>
    </r>
    <r>
      <rPr>
        <sz val="20"/>
        <color theme="1"/>
        <rFont val="宋体"/>
        <family val="3"/>
        <charset val="134"/>
      </rPr>
      <t>年采购备品配件</t>
    </r>
    <phoneticPr fontId="36" type="noConversion"/>
  </si>
  <si>
    <t>江西松鹤医疗器械有限公司</t>
    <phoneticPr fontId="36" type="noConversion"/>
  </si>
  <si>
    <t>淘宝中玻实验玻璃仪器厂</t>
    <phoneticPr fontId="36" type="noConversion"/>
  </si>
  <si>
    <t>不锈钢消毒筐</t>
    <phoneticPr fontId="36" type="noConversion"/>
  </si>
  <si>
    <t>不锈钢消毒筐制品厂</t>
    <phoneticPr fontId="36" type="noConversion"/>
  </si>
  <si>
    <t>益捷实验耗材有限公司</t>
    <phoneticPr fontId="36" type="noConversion"/>
  </si>
  <si>
    <t>淘工厂</t>
    <phoneticPr fontId="36" type="noConversion"/>
  </si>
  <si>
    <t>常州汇邦电子有限公司</t>
    <phoneticPr fontId="36" type="noConversion"/>
  </si>
  <si>
    <t>东台市富福兴金属制品</t>
    <phoneticPr fontId="36" type="noConversion"/>
  </si>
  <si>
    <r>
      <t>168</t>
    </r>
    <r>
      <rPr>
        <sz val="11"/>
        <color theme="1"/>
        <rFont val="宋体"/>
        <family val="3"/>
        <charset val="134"/>
      </rPr>
      <t>页</t>
    </r>
    <phoneticPr fontId="36" type="noConversion"/>
  </si>
  <si>
    <t>上海耶茂仪器仪表有限公司</t>
    <phoneticPr fontId="36" type="noConversion"/>
  </si>
  <si>
    <t>上海仪电科学仪器股份有限公司</t>
    <phoneticPr fontId="36" type="noConversion"/>
  </si>
  <si>
    <t>沙鹰科学仪器（上海）有限公司</t>
    <phoneticPr fontId="36" type="noConversion"/>
  </si>
  <si>
    <t>京东</t>
    <phoneticPr fontId="36" type="noConversion"/>
  </si>
  <si>
    <t>1.5m</t>
    <phoneticPr fontId="36" type="noConversion"/>
  </si>
  <si>
    <r>
      <t>PXQ-250704-YZH-J6-001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PXQ-250708-YZH-J6-001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SYY-250905-YZH-J6-001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SYY-250926-YZH-J6-001</t>
    </r>
    <phoneticPr fontId="36" type="noConversion"/>
  </si>
  <si>
    <t>KDY-250926-SYY-J6-001</t>
    <phoneticPr fontId="36" type="noConversion"/>
  </si>
  <si>
    <r>
      <rPr>
        <sz val="8"/>
        <color theme="1"/>
        <rFont val="宋体"/>
        <family val="3"/>
        <charset val="134"/>
      </rPr>
      <t>给</t>
    </r>
    <r>
      <rPr>
        <sz val="8"/>
        <color theme="1"/>
        <rFont val="Arial Narrow"/>
        <family val="2"/>
      </rPr>
      <t>YZH</t>
    </r>
    <r>
      <rPr>
        <sz val="8"/>
        <color theme="1"/>
        <rFont val="宋体"/>
        <family val="3"/>
        <charset val="134"/>
      </rPr>
      <t>出库放于</t>
    </r>
    <r>
      <rPr>
        <sz val="8"/>
        <color theme="1"/>
        <rFont val="Arial Narrow"/>
        <family val="2"/>
      </rPr>
      <t>212</t>
    </r>
    <phoneticPr fontId="36" type="noConversion"/>
  </si>
  <si>
    <t>门口桌下</t>
    <phoneticPr fontId="36" type="noConversion"/>
  </si>
  <si>
    <r>
      <rPr>
        <sz val="11"/>
        <color theme="1"/>
        <rFont val="宋体"/>
        <family val="3"/>
        <charset val="134"/>
      </rPr>
      <t>已安装至</t>
    </r>
    <r>
      <rPr>
        <sz val="11"/>
        <color theme="1"/>
        <rFont val="Arial Narrow"/>
        <family val="2"/>
      </rPr>
      <t>212</t>
    </r>
    <r>
      <rPr>
        <sz val="11"/>
        <color theme="1"/>
        <rFont val="宋体"/>
        <family val="3"/>
        <charset val="134"/>
      </rPr>
      <t>编号为</t>
    </r>
    <r>
      <rPr>
        <sz val="11"/>
        <color theme="1"/>
        <rFont val="Arial Narrow"/>
        <family val="2"/>
      </rPr>
      <t>UHTI-L-037</t>
    </r>
    <r>
      <rPr>
        <sz val="11"/>
        <color theme="1"/>
        <rFont val="宋体"/>
        <family val="3"/>
        <charset val="134"/>
      </rPr>
      <t>的紫外可见分光光度计上</t>
    </r>
    <phoneticPr fontId="36" type="noConversion"/>
  </si>
  <si>
    <t>雷磁溶解氧电极</t>
    <phoneticPr fontId="36" type="noConversion"/>
  </si>
  <si>
    <t>DO-957</t>
    <phoneticPr fontId="36" type="noConversion"/>
  </si>
  <si>
    <t>KDY-250801-SYY-J7-001</t>
    <phoneticPr fontId="36" type="noConversion"/>
  </si>
  <si>
    <t>SYY-250801-LDC-J7-001</t>
    <phoneticPr fontId="36" type="noConversion"/>
  </si>
  <si>
    <t>J7</t>
    <phoneticPr fontId="36" type="noConversion"/>
  </si>
  <si>
    <r>
      <t>YZH</t>
    </r>
    <r>
      <rPr>
        <sz val="11"/>
        <color theme="1"/>
        <rFont val="宋体"/>
        <family val="3"/>
        <charset val="134"/>
      </rPr>
      <t>借用退回</t>
    </r>
    <phoneticPr fontId="36" type="noConversion"/>
  </si>
  <si>
    <r>
      <t>MYM-200811-CYX-J6-001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MYM-210426-QJW-J6-002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MYM-211229-WJS-J6-002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MYM-230719-CJF-J6-002;SYY-250918-YZH-001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SYY-251010-SYY-001</t>
    </r>
    <phoneticPr fontId="36" type="noConversion"/>
  </si>
  <si>
    <t>SYY-251011-SYY-J6-001</t>
    <phoneticPr fontId="36" type="noConversion"/>
  </si>
  <si>
    <r>
      <t>MYM-220902-MYM-J6-001.CJF-230807-CJF-J6-001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ZHD-231127-WWY-J6-001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ZHD-231130-WWY-J6-001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ZHD-231228-WWY-J6-001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ZHD-231229-WWY-J6-009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SYY-251011-LDC-J6-002</t>
    </r>
    <phoneticPr fontId="36" type="noConversion"/>
  </si>
  <si>
    <t>称量纸</t>
    <phoneticPr fontId="36" type="noConversion"/>
  </si>
  <si>
    <t>南通诚记化工</t>
    <phoneticPr fontId="36" type="noConversion"/>
  </si>
  <si>
    <t>一次性耐用丁腈手套</t>
    <phoneticPr fontId="36" type="noConversion"/>
  </si>
  <si>
    <t>活性炭采样管</t>
    <phoneticPr fontId="36" type="noConversion"/>
  </si>
  <si>
    <t>盐城尊科</t>
    <phoneticPr fontId="36" type="noConversion"/>
  </si>
  <si>
    <t>SYY-251018-LDC-J8-001</t>
    <phoneticPr fontId="36" type="noConversion"/>
  </si>
  <si>
    <t>SYY-251018-LDC-J8-002</t>
  </si>
  <si>
    <t>SYY-251018-LDC-J8-003</t>
  </si>
  <si>
    <t>SYY-251018-LDC-J8-004</t>
  </si>
  <si>
    <t>牛皮纸</t>
    <phoneticPr fontId="36" type="noConversion"/>
  </si>
  <si>
    <t>盐城智学实验器材</t>
    <phoneticPr fontId="36" type="noConversion"/>
  </si>
  <si>
    <t>1092*787nm</t>
    <phoneticPr fontId="36" type="noConversion"/>
  </si>
  <si>
    <r>
      <t>200</t>
    </r>
    <r>
      <rPr>
        <sz val="11"/>
        <color theme="1"/>
        <rFont val="宋体"/>
        <family val="3"/>
        <charset val="134"/>
      </rPr>
      <t>微升</t>
    </r>
    <phoneticPr fontId="36" type="noConversion"/>
  </si>
  <si>
    <t>ZRJ-251020-SYY-J6-002</t>
  </si>
  <si>
    <t>KDY-251014-SYY-J6-001</t>
    <phoneticPr fontId="36" type="noConversion"/>
  </si>
  <si>
    <t>KDY-251014-SYY-J6-002</t>
    <phoneticPr fontId="36" type="noConversion"/>
  </si>
  <si>
    <t>ZRJ-251020-SYY-J6-001</t>
    <phoneticPr fontId="36" type="noConversion"/>
  </si>
  <si>
    <t>ZRJ-251020-SYY-J6-003</t>
  </si>
  <si>
    <t>ZRJ-251020-SYY-J6-004</t>
  </si>
  <si>
    <t>捆</t>
    <phoneticPr fontId="36" type="noConversion"/>
  </si>
  <si>
    <t>袋</t>
    <phoneticPr fontId="36" type="noConversion"/>
  </si>
  <si>
    <t>旁边纸箱</t>
    <phoneticPr fontId="36" type="noConversion"/>
  </si>
  <si>
    <r>
      <t>303</t>
    </r>
    <r>
      <rPr>
        <sz val="11"/>
        <color theme="1"/>
        <rFont val="宋体"/>
        <family val="3"/>
        <charset val="134"/>
      </rPr>
      <t>室返还</t>
    </r>
    <phoneticPr fontId="36" type="noConversion"/>
  </si>
  <si>
    <t>原子吸收石墨炉附件主板</t>
    <phoneticPr fontId="36" type="noConversion"/>
  </si>
  <si>
    <t>J7</t>
    <phoneticPr fontId="36" type="noConversion"/>
  </si>
  <si>
    <t>赛默飞</t>
    <phoneticPr fontId="36" type="noConversion"/>
  </si>
  <si>
    <t>/</t>
    <phoneticPr fontId="36" type="noConversion"/>
  </si>
  <si>
    <t>ZYJ-251022-SYY-J7-001</t>
    <phoneticPr fontId="36" type="noConversion"/>
  </si>
  <si>
    <t>购置</t>
    <phoneticPr fontId="36" type="noConversion"/>
  </si>
  <si>
    <t>个</t>
    <phoneticPr fontId="36" type="noConversion"/>
  </si>
  <si>
    <t>302G-09</t>
    <phoneticPr fontId="36" type="noConversion"/>
  </si>
  <si>
    <r>
      <t>SYY-250912-YZH-J8-001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SYY-250915-YZH-J8-001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SYY-250918-YZH-J8-001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SYY-251022-YZH-J8-001</t>
    </r>
    <phoneticPr fontId="36" type="noConversion"/>
  </si>
  <si>
    <t>YZH-201022-SYY-J8-001</t>
    <phoneticPr fontId="36" type="noConversion"/>
  </si>
  <si>
    <t>有故障，已换新</t>
    <phoneticPr fontId="36" type="noConversion"/>
  </si>
  <si>
    <t>微量滴定管</t>
    <phoneticPr fontId="36" type="noConversion"/>
  </si>
  <si>
    <t>WYH-251028-LDC-J6-002</t>
  </si>
  <si>
    <t>益捷实验耗材有限公司</t>
    <phoneticPr fontId="36" type="noConversion"/>
  </si>
  <si>
    <r>
      <t>MYM-230417-CJF-J6-001;MYM-230504-CJF-J6-001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MYM-230619-CJF-J6-001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MYM-230719-QYT-J6-001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QYT-230905-CJF-J6-001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ZHD-231228-WWY-J6-002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WYH-251028-LDC-J6-001</t>
    </r>
    <phoneticPr fontId="36" type="noConversion"/>
  </si>
  <si>
    <t>WYH-251030-WYH-J6-001</t>
    <phoneticPr fontId="36" type="noConversion"/>
  </si>
  <si>
    <t>塑料周转筐</t>
    <phoneticPr fontId="36" type="noConversion"/>
  </si>
  <si>
    <t>LYG-190902-MYM-JC06-001</t>
    <phoneticPr fontId="36" type="noConversion"/>
  </si>
  <si>
    <t>MYM-190902-LXC-JC06-002;WYH-251101-LDC-J6-001</t>
    <phoneticPr fontId="36" type="noConversion"/>
  </si>
  <si>
    <t>610*410*200</t>
    <phoneticPr fontId="36" type="noConversion"/>
  </si>
  <si>
    <t>便携采样箱</t>
    <phoneticPr fontId="36" type="noConversion"/>
  </si>
  <si>
    <r>
      <t>GPI-2</t>
    </r>
    <r>
      <rPr>
        <sz val="11"/>
        <color theme="1"/>
        <rFont val="宋体"/>
        <family val="3"/>
        <charset val="134"/>
      </rPr>
      <t>气体净化器</t>
    </r>
    <phoneticPr fontId="36" type="noConversion"/>
  </si>
  <si>
    <t>浙江福立分析仪器股份有限公司</t>
    <phoneticPr fontId="36" type="noConversion"/>
  </si>
  <si>
    <t>KDY-251105-WYH-J6-001</t>
    <phoneticPr fontId="36" type="noConversion"/>
  </si>
  <si>
    <t>盒</t>
    <phoneticPr fontId="36" type="noConversion"/>
  </si>
  <si>
    <t>0512</t>
    <phoneticPr fontId="36" type="noConversion"/>
  </si>
  <si>
    <t>J-02</t>
    <phoneticPr fontId="36" type="noConversion"/>
  </si>
  <si>
    <t>2</t>
    <phoneticPr fontId="36" type="noConversion"/>
  </si>
  <si>
    <t>WYH-251107-YZH-J6-001</t>
    <phoneticPr fontId="36" type="noConversion"/>
  </si>
  <si>
    <t>YHQ-250122-PXQ-J7-001</t>
    <phoneticPr fontId="36" type="noConversion"/>
  </si>
  <si>
    <t>L6312-53</t>
    <phoneticPr fontId="36" type="noConversion"/>
  </si>
  <si>
    <t>GPI-2</t>
  </si>
  <si>
    <t>砂纸</t>
  </si>
  <si>
    <t>QDJ-251107-WYH-J6-001</t>
    <phoneticPr fontId="36" type="noConversion"/>
  </si>
  <si>
    <t>湖北丰普研磨科技有限公司</t>
  </si>
  <si>
    <r>
      <rPr>
        <sz val="11"/>
        <color theme="1"/>
        <rFont val="宋体"/>
        <family val="3"/>
        <charset val="134"/>
      </rPr>
      <t>从</t>
    </r>
    <r>
      <rPr>
        <sz val="11"/>
        <color theme="1"/>
        <rFont val="Arial Narrow"/>
        <family val="2"/>
      </rPr>
      <t>312</t>
    </r>
    <r>
      <rPr>
        <sz val="11"/>
        <color theme="1"/>
        <rFont val="宋体"/>
        <family val="3"/>
        <charset val="134"/>
      </rPr>
      <t>找到的，然后入库</t>
    </r>
    <phoneticPr fontId="36" type="noConversion"/>
  </si>
  <si>
    <t>片</t>
    <phoneticPr fontId="36" type="noConversion"/>
  </si>
  <si>
    <t>0513</t>
    <phoneticPr fontId="36" type="noConversion"/>
  </si>
  <si>
    <t>0514</t>
    <phoneticPr fontId="36" type="noConversion"/>
  </si>
  <si>
    <t>气管接头</t>
    <phoneticPr fontId="36" type="noConversion"/>
  </si>
  <si>
    <t>KDY-251110-WYH-J6-001</t>
    <phoneticPr fontId="36" type="noConversion"/>
  </si>
  <si>
    <t>个</t>
    <phoneticPr fontId="36" type="noConversion"/>
  </si>
  <si>
    <t>0515</t>
    <phoneticPr fontId="36" type="noConversion"/>
  </si>
  <si>
    <t>迷你微小型接头快速快插直通</t>
    <phoneticPr fontId="36" type="noConversion"/>
  </si>
  <si>
    <t>KDY-251110-WYH-J6-002</t>
    <phoneticPr fontId="36" type="noConversion"/>
  </si>
  <si>
    <r>
      <rPr>
        <sz val="11"/>
        <color theme="1"/>
        <rFont val="宋体"/>
        <family val="3"/>
        <charset val="134"/>
      </rPr>
      <t>变径</t>
    </r>
    <r>
      <rPr>
        <sz val="11"/>
        <color theme="1"/>
        <rFont val="Arial Narrow"/>
        <family val="2"/>
      </rPr>
      <t>6</t>
    </r>
    <r>
      <rPr>
        <sz val="11"/>
        <color theme="1"/>
        <rFont val="宋体"/>
        <family val="3"/>
        <charset val="134"/>
      </rPr>
      <t>转</t>
    </r>
    <r>
      <rPr>
        <sz val="11"/>
        <color theme="1"/>
        <rFont val="Arial Narrow"/>
        <family val="2"/>
      </rPr>
      <t>5mm</t>
    </r>
    <phoneticPr fontId="36" type="noConversion"/>
  </si>
  <si>
    <r>
      <t>PU</t>
    </r>
    <r>
      <rPr>
        <sz val="11"/>
        <color theme="1"/>
        <rFont val="宋体"/>
        <family val="3"/>
        <charset val="134"/>
      </rPr>
      <t>气管软管</t>
    </r>
    <phoneticPr fontId="37" type="noConversion"/>
  </si>
  <si>
    <t>KDY-251110-WYH-J6-003</t>
    <phoneticPr fontId="36" type="noConversion"/>
  </si>
  <si>
    <t>蓝色</t>
    <phoneticPr fontId="36" type="noConversion"/>
  </si>
  <si>
    <t>瓶盖</t>
    <phoneticPr fontId="37" type="noConversion"/>
  </si>
  <si>
    <t>个</t>
    <phoneticPr fontId="36" type="noConversion"/>
  </si>
  <si>
    <t>301C-08</t>
    <phoneticPr fontId="36" type="noConversion"/>
  </si>
  <si>
    <t>301C-08</t>
    <phoneticPr fontId="36" type="noConversion"/>
  </si>
  <si>
    <t>301G-08</t>
    <phoneticPr fontId="36" type="noConversion"/>
  </si>
  <si>
    <t>柜子内</t>
    <phoneticPr fontId="36" type="noConversion"/>
  </si>
  <si>
    <t>ZRJ-251111-WYH-J6-002</t>
    <phoneticPr fontId="36" type="noConversion"/>
  </si>
  <si>
    <t>卡式三合一带保险丝</t>
    <phoneticPr fontId="37" type="noConversion"/>
  </si>
  <si>
    <t>WYH-251111-WYH-J6-005</t>
    <phoneticPr fontId="36" type="noConversion"/>
  </si>
  <si>
    <t>品字插座（UV专用）</t>
    <phoneticPr fontId="37" type="noConversion"/>
  </si>
  <si>
    <t>SYY-251021-YZH-J8-001;WYH-251111-YZH-J8-006</t>
    <phoneticPr fontId="36" type="noConversion"/>
  </si>
  <si>
    <r>
      <t>YZH</t>
    </r>
    <r>
      <rPr>
        <sz val="11"/>
        <color theme="1"/>
        <rFont val="宋体"/>
        <family val="3"/>
        <charset val="134"/>
      </rPr>
      <t>借用</t>
    </r>
    <r>
      <rPr>
        <sz val="11"/>
        <color theme="1"/>
        <rFont val="Arial Narrow"/>
        <family val="2"/>
      </rPr>
      <t>;YZH</t>
    </r>
    <r>
      <rPr>
        <sz val="11"/>
        <color theme="1"/>
        <rFont val="宋体"/>
        <family val="2"/>
        <charset val="134"/>
      </rPr>
      <t>出库拿走</t>
    </r>
    <phoneticPr fontId="36" type="noConversion"/>
  </si>
  <si>
    <r>
      <t>WYH-251111-YZH-J8-007</t>
    </r>
    <r>
      <rPr>
        <sz val="11"/>
        <color theme="1"/>
        <rFont val="等线"/>
        <family val="2"/>
        <charset val="134"/>
      </rPr>
      <t>；</t>
    </r>
    <r>
      <rPr>
        <sz val="11"/>
        <color theme="1"/>
        <rFont val="Arial Narrow"/>
        <family val="2"/>
      </rPr>
      <t>WYH-251111-WYH-J8-008</t>
    </r>
    <phoneticPr fontId="36" type="noConversion"/>
  </si>
  <si>
    <t>WYH-251111-YZH-J8-009</t>
  </si>
  <si>
    <t>WYH-251111-YZH-J8-010</t>
    <phoneticPr fontId="36" type="noConversion"/>
  </si>
  <si>
    <t>WYH-251111-YZH-J8-011</t>
    <phoneticPr fontId="36" type="noConversion"/>
  </si>
  <si>
    <t>WYH-251111-YZH-J8-014</t>
  </si>
  <si>
    <t>WYH-251111-YZH-J8-015</t>
  </si>
  <si>
    <t>WYH-251111-YZH-J8-016</t>
  </si>
  <si>
    <r>
      <t>MYM-190715-SCL-JC06-002</t>
    </r>
    <r>
      <rPr>
        <sz val="11"/>
        <color indexed="8"/>
        <rFont val="宋体"/>
        <family val="3"/>
        <charset val="134"/>
      </rPr>
      <t>；</t>
    </r>
    <r>
      <rPr>
        <sz val="11"/>
        <color indexed="8"/>
        <rFont val="Arial Narrow"/>
        <family val="2"/>
      </rPr>
      <t>MYM-190716-SYP-JC06-001</t>
    </r>
    <r>
      <rPr>
        <sz val="11"/>
        <color indexed="8"/>
        <rFont val="宋体"/>
        <family val="3"/>
        <charset val="134"/>
      </rPr>
      <t>；</t>
    </r>
    <r>
      <rPr>
        <sz val="11"/>
        <color indexed="8"/>
        <rFont val="Arial Narrow"/>
        <family val="2"/>
      </rPr>
      <t>MYM-201208-KAP-J6-001</t>
    </r>
    <r>
      <rPr>
        <sz val="11"/>
        <color rgb="FF000000"/>
        <rFont val="等线"/>
        <family val="2"/>
        <charset val="134"/>
      </rPr>
      <t>；</t>
    </r>
    <r>
      <rPr>
        <sz val="11"/>
        <color indexed="8"/>
        <rFont val="Arial Narrow"/>
        <family val="2"/>
      </rPr>
      <t>WYH-251111-YZH-J6-017</t>
    </r>
    <phoneticPr fontId="36" type="noConversion"/>
  </si>
  <si>
    <t>WYH-251111-YZH-J8-003</t>
    <phoneticPr fontId="36" type="noConversion"/>
  </si>
  <si>
    <t>YZH-251111-WYH-J8-004</t>
  </si>
  <si>
    <r>
      <t>YZH</t>
    </r>
    <r>
      <rPr>
        <sz val="11"/>
        <color theme="1"/>
        <rFont val="宋体"/>
        <family val="2"/>
        <charset val="134"/>
      </rPr>
      <t>借用返还</t>
    </r>
    <phoneticPr fontId="36" type="noConversion"/>
  </si>
  <si>
    <t>212C-09</t>
    <phoneticPr fontId="36" type="noConversion"/>
  </si>
  <si>
    <t>WYH-2501112-WYH-J7-001</t>
    <phoneticPr fontId="36" type="noConversion"/>
  </si>
  <si>
    <r>
      <rPr>
        <sz val="11"/>
        <color theme="1"/>
        <rFont val="宋体"/>
        <family val="3"/>
        <charset val="134"/>
      </rPr>
      <t>于</t>
    </r>
    <r>
      <rPr>
        <sz val="11"/>
        <color theme="1"/>
        <rFont val="Arial Narrow"/>
        <family val="2"/>
      </rPr>
      <t>251107</t>
    </r>
    <r>
      <rPr>
        <sz val="11"/>
        <color theme="1"/>
        <rFont val="宋体"/>
        <family val="3"/>
        <charset val="134"/>
      </rPr>
      <t>日从</t>
    </r>
    <r>
      <rPr>
        <sz val="11"/>
        <color theme="1"/>
        <rFont val="Arial Narrow"/>
        <family val="2"/>
      </rPr>
      <t>L118</t>
    </r>
    <r>
      <rPr>
        <sz val="11"/>
        <color theme="1"/>
        <rFont val="宋体"/>
        <family val="3"/>
        <charset val="134"/>
      </rPr>
      <t>仪器上更换下来，后续将其更换于</t>
    </r>
    <r>
      <rPr>
        <sz val="11"/>
        <color theme="1"/>
        <rFont val="Arial Narrow"/>
        <family val="2"/>
      </rPr>
      <t>L377</t>
    </r>
    <r>
      <rPr>
        <sz val="11"/>
        <color theme="1"/>
        <rFont val="宋体"/>
        <family val="3"/>
        <charset val="134"/>
      </rPr>
      <t>上，从</t>
    </r>
    <r>
      <rPr>
        <sz val="11"/>
        <color theme="1"/>
        <rFont val="Arial Narrow"/>
        <family val="2"/>
      </rPr>
      <t>L377</t>
    </r>
    <r>
      <rPr>
        <sz val="11"/>
        <color theme="1"/>
        <rFont val="宋体"/>
        <family val="3"/>
        <charset val="134"/>
      </rPr>
      <t>上换下来的存于</t>
    </r>
    <r>
      <rPr>
        <sz val="11"/>
        <color theme="1"/>
        <rFont val="Arial Narrow"/>
        <family val="2"/>
      </rPr>
      <t>212C-09</t>
    </r>
    <phoneticPr fontId="36" type="noConversion"/>
  </si>
  <si>
    <t>抽屉内</t>
    <phoneticPr fontId="36" type="noConversion"/>
  </si>
  <si>
    <t>0518</t>
    <phoneticPr fontId="36" type="noConversion"/>
  </si>
  <si>
    <t>KDY-251112-WYH-J6-002</t>
    <phoneticPr fontId="36" type="noConversion"/>
  </si>
  <si>
    <t>WYH-251112-YZH-J6-003</t>
    <phoneticPr fontId="36" type="noConversion"/>
  </si>
  <si>
    <t>QDJ-251115-WYH-J7-001</t>
    <phoneticPr fontId="36" type="noConversion"/>
  </si>
  <si>
    <t>302G-14</t>
  </si>
  <si>
    <t>302G-14</t>
    <phoneticPr fontId="36" type="noConversion"/>
  </si>
  <si>
    <t>WYH-2501115-ZRJ-J7-003</t>
    <phoneticPr fontId="36" type="noConversion"/>
  </si>
  <si>
    <t>紫外钨灯灯泡</t>
  </si>
  <si>
    <r>
      <t>2025.11.15</t>
    </r>
    <r>
      <rPr>
        <sz val="11"/>
        <color theme="1"/>
        <rFont val="宋体"/>
        <family val="3"/>
        <charset val="134"/>
      </rPr>
      <t>日出库于</t>
    </r>
    <r>
      <rPr>
        <sz val="11"/>
        <color theme="1"/>
        <rFont val="Arial Narrow"/>
        <family val="3"/>
        <charset val="134"/>
      </rPr>
      <t>ZRJ</t>
    </r>
    <r>
      <rPr>
        <sz val="11"/>
        <color theme="1"/>
        <rFont val="宋体"/>
        <family val="3"/>
        <charset val="134"/>
      </rPr>
      <t>放置于</t>
    </r>
    <r>
      <rPr>
        <sz val="11"/>
        <color theme="1"/>
        <rFont val="Arial Narrow"/>
        <family val="3"/>
        <charset val="134"/>
      </rPr>
      <t>212C-09</t>
    </r>
    <r>
      <rPr>
        <sz val="11"/>
        <color theme="1"/>
        <rFont val="宋体"/>
        <family val="3"/>
        <charset val="134"/>
      </rPr>
      <t>抽屉内</t>
    </r>
    <phoneticPr fontId="36" type="noConversion"/>
  </si>
  <si>
    <t>WYH-251117-WYH-J8-001</t>
    <phoneticPr fontId="36" type="noConversion"/>
  </si>
  <si>
    <t>WYH-251117-WYH-J8-002</t>
  </si>
  <si>
    <t>WYH-251117-WYH-J8-003</t>
  </si>
  <si>
    <t>WYH-251117-WYH-J8-004</t>
  </si>
  <si>
    <t>WYH-251117-WYH-J8-005</t>
  </si>
  <si>
    <t>WYH-251117-WYH-J8-006</t>
  </si>
  <si>
    <t>WYH-251117-WYH-J8-007</t>
  </si>
  <si>
    <t>WYH-251117-WYH-J8-008</t>
  </si>
  <si>
    <t>WYH-251117-WYH-J8-009</t>
  </si>
  <si>
    <t>WYH-251117-WYH-J8-010</t>
  </si>
  <si>
    <t>WYH-251117-WYH-J8-011</t>
  </si>
  <si>
    <t>WYH-251117-WYH-J8-012</t>
  </si>
  <si>
    <r>
      <rPr>
        <sz val="11"/>
        <color theme="1"/>
        <rFont val="等线"/>
        <family val="2"/>
        <charset val="134"/>
      </rPr>
      <t>2025.11.17出库并放置于</t>
    </r>
    <r>
      <rPr>
        <sz val="11"/>
        <color theme="1"/>
        <rFont val="Arial Narrow"/>
        <family val="2"/>
      </rPr>
      <t>205C-17</t>
    </r>
    <phoneticPr fontId="36" type="noConversion"/>
  </si>
  <si>
    <t>WYH-251117-WYH-J8-013</t>
    <phoneticPr fontId="36" type="noConversion"/>
  </si>
  <si>
    <r>
      <rPr>
        <sz val="11"/>
        <color theme="1"/>
        <rFont val="等线"/>
        <family val="2"/>
        <charset val="134"/>
      </rPr>
      <t>2025.11.17出库并放置于</t>
    </r>
    <r>
      <rPr>
        <sz val="11"/>
        <color theme="1"/>
        <rFont val="Arial Narrow"/>
        <family val="2"/>
      </rPr>
      <t>301C-09</t>
    </r>
    <phoneticPr fontId="36" type="noConversion"/>
  </si>
  <si>
    <r>
      <t>2025.11.11</t>
    </r>
    <r>
      <rPr>
        <b/>
        <sz val="11"/>
        <color theme="1"/>
        <rFont val="等线"/>
        <family val="2"/>
        <charset val="134"/>
      </rPr>
      <t>出库1把于YZH，YZH</t>
    </r>
    <r>
      <rPr>
        <b/>
        <sz val="11"/>
        <color theme="1"/>
        <rFont val="宋体"/>
        <family val="2"/>
        <charset val="134"/>
      </rPr>
      <t>放置于</t>
    </r>
    <r>
      <rPr>
        <b/>
        <sz val="11"/>
        <color theme="1"/>
        <rFont val="Arial Narrow"/>
        <family val="2"/>
      </rPr>
      <t>304C-01</t>
    </r>
    <phoneticPr fontId="36" type="noConversion"/>
  </si>
  <si>
    <r>
      <rPr>
        <b/>
        <sz val="11"/>
        <color theme="1"/>
        <rFont val="Arial Narrow"/>
        <family val="2"/>
      </rPr>
      <t>2025.11.11</t>
    </r>
    <r>
      <rPr>
        <b/>
        <sz val="11"/>
        <color theme="1"/>
        <rFont val="宋体"/>
        <family val="2"/>
        <charset val="134"/>
      </rPr>
      <t>一个尖头镊子出库于</t>
    </r>
    <r>
      <rPr>
        <b/>
        <sz val="11"/>
        <color theme="1"/>
        <rFont val="Arial Narrow"/>
        <family val="2"/>
      </rPr>
      <t>YZH</t>
    </r>
    <r>
      <rPr>
        <b/>
        <sz val="11"/>
        <color theme="1"/>
        <rFont val="宋体"/>
        <family val="2"/>
        <charset val="134"/>
      </rPr>
      <t>（存于</t>
    </r>
    <r>
      <rPr>
        <b/>
        <sz val="11"/>
        <color theme="1"/>
        <rFont val="Arial Narrow"/>
        <family val="2"/>
      </rPr>
      <t>304C-01</t>
    </r>
    <r>
      <rPr>
        <b/>
        <sz val="11"/>
        <color theme="1"/>
        <rFont val="宋体"/>
        <family val="2"/>
        <charset val="134"/>
      </rPr>
      <t>）、</t>
    </r>
    <r>
      <rPr>
        <b/>
        <sz val="11"/>
        <color theme="1"/>
        <rFont val="Arial Narrow"/>
        <family val="2"/>
      </rPr>
      <t>2025.11.11</t>
    </r>
    <r>
      <rPr>
        <b/>
        <sz val="11"/>
        <color theme="1"/>
        <rFont val="宋体"/>
        <family val="2"/>
        <charset val="134"/>
      </rPr>
      <t>一大一小镊子出库于</t>
    </r>
    <r>
      <rPr>
        <b/>
        <sz val="11"/>
        <color theme="1"/>
        <rFont val="Arial Narrow"/>
        <family val="2"/>
      </rPr>
      <t>WYH</t>
    </r>
    <r>
      <rPr>
        <b/>
        <sz val="11"/>
        <color theme="1"/>
        <rFont val="宋体"/>
        <family val="2"/>
        <charset val="134"/>
      </rPr>
      <t>（存于</t>
    </r>
    <r>
      <rPr>
        <b/>
        <sz val="11"/>
        <color theme="1"/>
        <rFont val="Arial Narrow"/>
        <family val="2"/>
      </rPr>
      <t>301C-09</t>
    </r>
    <r>
      <rPr>
        <b/>
        <sz val="11"/>
        <color theme="1"/>
        <rFont val="宋体"/>
        <family val="2"/>
        <charset val="134"/>
      </rPr>
      <t>）</t>
    </r>
    <phoneticPr fontId="36" type="noConversion"/>
  </si>
  <si>
    <t>WYH-251111-YZH-J8-013</t>
    <phoneticPr fontId="36" type="noConversion"/>
  </si>
  <si>
    <t>WYH-251111-YZH-J8-012</t>
    <phoneticPr fontId="36" type="noConversion"/>
  </si>
  <si>
    <r>
      <t>2025.11.11</t>
    </r>
    <r>
      <rPr>
        <b/>
        <sz val="11"/>
        <color theme="1"/>
        <rFont val="等线"/>
        <family val="2"/>
        <charset val="134"/>
      </rPr>
      <t>出库1个于YZH，YZH</t>
    </r>
    <r>
      <rPr>
        <b/>
        <sz val="11"/>
        <color theme="1"/>
        <rFont val="宋体"/>
        <family val="2"/>
        <charset val="134"/>
      </rPr>
      <t>放置于</t>
    </r>
    <r>
      <rPr>
        <b/>
        <sz val="11"/>
        <color theme="1"/>
        <rFont val="Arial Narrow"/>
        <family val="2"/>
      </rPr>
      <t>304C-01</t>
    </r>
    <phoneticPr fontId="36" type="noConversion"/>
  </si>
  <si>
    <t>纸盒内</t>
    <phoneticPr fontId="36" type="noConversion"/>
  </si>
  <si>
    <r>
      <t>251111</t>
    </r>
    <r>
      <rPr>
        <b/>
        <sz val="11"/>
        <color theme="1"/>
        <rFont val="宋体"/>
        <family val="2"/>
        <charset val="134"/>
      </rPr>
      <t>出库了一大一小</t>
    </r>
    <r>
      <rPr>
        <b/>
        <sz val="11"/>
        <color theme="1"/>
        <rFont val="等线"/>
        <family val="2"/>
        <charset val="134"/>
      </rPr>
      <t>，</t>
    </r>
    <r>
      <rPr>
        <b/>
        <sz val="11"/>
        <color theme="1"/>
        <rFont val="Arial Narrow"/>
        <family val="2"/>
      </rPr>
      <t>YZH</t>
    </r>
    <r>
      <rPr>
        <b/>
        <sz val="11"/>
        <color theme="1"/>
        <rFont val="等线"/>
        <family val="2"/>
        <charset val="134"/>
      </rPr>
      <t>存于304</t>
    </r>
    <r>
      <rPr>
        <b/>
        <sz val="11"/>
        <color theme="1"/>
        <rFont val="Arial Narrow"/>
        <family val="2"/>
      </rPr>
      <t>C-01</t>
    </r>
    <phoneticPr fontId="36" type="noConversion"/>
  </si>
  <si>
    <r>
      <t>251111</t>
    </r>
    <r>
      <rPr>
        <b/>
        <sz val="11"/>
        <color theme="1"/>
        <rFont val="宋体"/>
        <family val="2"/>
        <charset val="134"/>
      </rPr>
      <t>出库了一大一小</t>
    </r>
    <r>
      <rPr>
        <b/>
        <sz val="11"/>
        <color theme="1"/>
        <rFont val="Arial Narrow"/>
        <family val="2"/>
      </rPr>
      <t>,YZH</t>
    </r>
    <r>
      <rPr>
        <b/>
        <sz val="11"/>
        <color theme="1"/>
        <rFont val="等线"/>
        <family val="2"/>
        <charset val="134"/>
      </rPr>
      <t>存于</t>
    </r>
    <r>
      <rPr>
        <b/>
        <sz val="11"/>
        <color theme="1"/>
        <rFont val="Arial Narrow"/>
        <family val="2"/>
      </rPr>
      <t>304C-01</t>
    </r>
    <phoneticPr fontId="36" type="noConversion"/>
  </si>
  <si>
    <r>
      <t>251111</t>
    </r>
    <r>
      <rPr>
        <b/>
        <sz val="11"/>
        <color theme="1"/>
        <rFont val="宋体"/>
        <family val="2"/>
        <charset val="134"/>
      </rPr>
      <t>出库,</t>
    </r>
    <r>
      <rPr>
        <b/>
        <sz val="11"/>
        <color theme="1"/>
        <rFont val="Arial Narrow"/>
        <family val="2"/>
      </rPr>
      <t>YZH</t>
    </r>
    <r>
      <rPr>
        <b/>
        <sz val="11"/>
        <color theme="1"/>
        <rFont val="等线"/>
        <family val="2"/>
        <charset val="134"/>
      </rPr>
      <t>存于</t>
    </r>
    <r>
      <rPr>
        <b/>
        <sz val="11"/>
        <color theme="1"/>
        <rFont val="Arial Narrow"/>
        <family val="2"/>
      </rPr>
      <t>304C-01</t>
    </r>
    <phoneticPr fontId="36" type="noConversion"/>
  </si>
  <si>
    <t>WYH-251118-WYH-J6-001</t>
    <phoneticPr fontId="36" type="noConversion"/>
  </si>
  <si>
    <t>0519</t>
    <phoneticPr fontId="36" type="noConversion"/>
  </si>
  <si>
    <t>WYH-251118-WYH-J6-002</t>
    <phoneticPr fontId="36" type="noConversion"/>
  </si>
  <si>
    <t>1</t>
    <phoneticPr fontId="36" type="noConversion"/>
  </si>
  <si>
    <t>302C-06</t>
    <phoneticPr fontId="36" type="noConversion"/>
  </si>
  <si>
    <t>ICP-MS 3#盒</t>
    <phoneticPr fontId="36" type="noConversion"/>
  </si>
  <si>
    <r>
      <t>ICP-MS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2#盒</t>
    </r>
    <phoneticPr fontId="37" type="noConversion"/>
  </si>
  <si>
    <r>
      <rPr>
        <b/>
        <sz val="11"/>
        <color theme="1"/>
        <rFont val="宋体"/>
        <family val="3"/>
        <charset val="134"/>
      </rPr>
      <t>与</t>
    </r>
    <r>
      <rPr>
        <b/>
        <sz val="11"/>
        <color theme="1"/>
        <rFont val="Arial Narrow"/>
        <family val="2"/>
      </rPr>
      <t>ICP-MS</t>
    </r>
    <r>
      <rPr>
        <b/>
        <sz val="11"/>
        <color theme="1"/>
        <rFont val="宋体"/>
        <family val="3"/>
        <charset val="134"/>
      </rPr>
      <t>采样锥配套使用</t>
    </r>
    <phoneticPr fontId="36" type="noConversion"/>
  </si>
  <si>
    <t>WYH-251119-ZRJ-J7-001</t>
  </si>
  <si>
    <r>
      <t>QDJ-251115-WYH-J7-002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Arial Narrow"/>
        <family val="2"/>
      </rPr>
      <t>WYH-251119-ZRJ-J7-002</t>
    </r>
    <phoneticPr fontId="36" type="noConversion"/>
  </si>
  <si>
    <r>
      <t>2025.11.19</t>
    </r>
    <r>
      <rPr>
        <sz val="11"/>
        <color theme="1"/>
        <rFont val="宋体"/>
        <family val="3"/>
        <charset val="134"/>
      </rPr>
      <t>日出库没用上，又给返回到柜子里面了</t>
    </r>
    <phoneticPr fontId="36" type="noConversion"/>
  </si>
  <si>
    <t>摄像头防水罩（防水防雨）</t>
    <phoneticPr fontId="36" type="noConversion"/>
  </si>
  <si>
    <r>
      <t>LJA-200314-MYM-J4-001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Arial Narrow"/>
        <family val="2"/>
      </rPr>
      <t>WYH-251119-WYH-J4-003</t>
    </r>
    <phoneticPr fontId="36" type="noConversion"/>
  </si>
  <si>
    <t>WYH-251119-WYH-J4-004</t>
    <phoneticPr fontId="36" type="noConversion"/>
  </si>
  <si>
    <r>
      <t>MYM-220613-MYM-J4-001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WYH-251119-WYH-J4-005</t>
    </r>
    <phoneticPr fontId="36" type="noConversion"/>
  </si>
  <si>
    <t>DEXIN</t>
    <phoneticPr fontId="36" type="noConversion"/>
  </si>
  <si>
    <t>13*6cm</t>
    <phoneticPr fontId="36" type="noConversion"/>
  </si>
  <si>
    <r>
      <t>10</t>
    </r>
    <r>
      <rPr>
        <sz val="11"/>
        <rFont val="宋体"/>
        <family val="3"/>
        <charset val="134"/>
      </rPr>
      <t>寸裁缝剪</t>
    </r>
    <phoneticPr fontId="36" type="noConversion"/>
  </si>
  <si>
    <t>剪刀(中号）</t>
    <phoneticPr fontId="36" type="noConversion"/>
  </si>
  <si>
    <r>
      <t>QDJ-211221-MYM-J6-002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WYH-251119-WYH-J6-006</t>
    </r>
    <phoneticPr fontId="36" type="noConversion"/>
  </si>
  <si>
    <r>
      <rPr>
        <sz val="11"/>
        <color theme="1"/>
        <rFont val="宋体"/>
        <family val="3"/>
        <charset val="134"/>
      </rPr>
      <t>原先</t>
    </r>
    <r>
      <rPr>
        <sz val="11"/>
        <color theme="1"/>
        <rFont val="Arial Narrow"/>
        <family val="2"/>
      </rPr>
      <t>23</t>
    </r>
    <r>
      <rPr>
        <sz val="11"/>
        <color theme="1"/>
        <rFont val="宋体"/>
        <family val="3"/>
        <charset val="134"/>
      </rPr>
      <t>副，</t>
    </r>
    <r>
      <rPr>
        <sz val="11"/>
        <color theme="1"/>
        <rFont val="Arial Narrow"/>
        <family val="2"/>
      </rPr>
      <t>2025.11.19</t>
    </r>
    <r>
      <rPr>
        <sz val="11"/>
        <color theme="1"/>
        <rFont val="宋体"/>
        <family val="3"/>
        <charset val="134"/>
      </rPr>
      <t>日返还入库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3"/>
        <charset val="134"/>
      </rPr>
      <t>副</t>
    </r>
    <phoneticPr fontId="36" type="noConversion"/>
  </si>
  <si>
    <t>WYH-251119-WYH-J6-007</t>
    <phoneticPr fontId="36" type="noConversion"/>
  </si>
  <si>
    <t>WYH-251119-WYH-J8-008</t>
    <phoneticPr fontId="36" type="noConversion"/>
  </si>
  <si>
    <r>
      <rPr>
        <b/>
        <sz val="11"/>
        <color theme="1"/>
        <rFont val="宋体"/>
        <family val="3"/>
        <charset val="134"/>
      </rPr>
      <t>原有</t>
    </r>
    <r>
      <rPr>
        <b/>
        <sz val="11"/>
        <color theme="1"/>
        <rFont val="Arial Narrow"/>
        <family val="2"/>
      </rPr>
      <t>1</t>
    </r>
    <r>
      <rPr>
        <b/>
        <sz val="11"/>
        <color theme="1"/>
        <rFont val="宋体"/>
        <family val="3"/>
        <charset val="134"/>
      </rPr>
      <t>把，</t>
    </r>
    <r>
      <rPr>
        <b/>
        <sz val="11"/>
        <color theme="1"/>
        <rFont val="Arial Narrow"/>
        <family val="2"/>
      </rPr>
      <t>2025.11.19</t>
    </r>
    <r>
      <rPr>
        <b/>
        <sz val="11"/>
        <color theme="1"/>
        <rFont val="宋体"/>
        <family val="3"/>
        <charset val="134"/>
      </rPr>
      <t>入库</t>
    </r>
    <r>
      <rPr>
        <b/>
        <sz val="11"/>
        <color theme="1"/>
        <rFont val="Arial Narrow"/>
        <family val="2"/>
      </rPr>
      <t>1</t>
    </r>
    <r>
      <rPr>
        <b/>
        <sz val="11"/>
        <color theme="1"/>
        <rFont val="宋体"/>
        <family val="3"/>
        <charset val="134"/>
      </rPr>
      <t>把，当日又出库</t>
    </r>
    <r>
      <rPr>
        <b/>
        <sz val="11"/>
        <color theme="1"/>
        <rFont val="Arial Narrow"/>
        <family val="2"/>
      </rPr>
      <t>2</t>
    </r>
    <r>
      <rPr>
        <b/>
        <sz val="11"/>
        <color theme="1"/>
        <rFont val="宋体"/>
        <family val="3"/>
        <charset val="134"/>
      </rPr>
      <t>把，均放置在</t>
    </r>
    <r>
      <rPr>
        <b/>
        <sz val="11"/>
        <color theme="1"/>
        <rFont val="Arial Narrow"/>
        <family val="2"/>
      </rPr>
      <t>301C-09</t>
    </r>
    <phoneticPr fontId="36" type="noConversion"/>
  </si>
  <si>
    <t>WYH-251119-WYH-J8-009</t>
    <phoneticPr fontId="36" type="noConversion"/>
  </si>
  <si>
    <t>FULI</t>
    <phoneticPr fontId="36" type="noConversion"/>
  </si>
  <si>
    <r>
      <t>4*112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FLJ180-014B</t>
    </r>
    <phoneticPr fontId="36" type="noConversion"/>
  </si>
  <si>
    <t>WYH-251119-WYH-J7-011</t>
    <phoneticPr fontId="36" type="noConversion"/>
  </si>
  <si>
    <t>个</t>
    <phoneticPr fontId="36" type="noConversion"/>
  </si>
  <si>
    <t>常规</t>
    <phoneticPr fontId="36" type="noConversion"/>
  </si>
  <si>
    <t>内衬管（原机拆下）</t>
    <phoneticPr fontId="36" type="noConversion"/>
  </si>
  <si>
    <t>WYH-251119-YZH-J7-012</t>
    <phoneticPr fontId="36" type="noConversion"/>
  </si>
  <si>
    <t>WYH-251119-WYH-J7-013</t>
    <phoneticPr fontId="36" type="noConversion"/>
  </si>
  <si>
    <t>球形冷凝管</t>
    <phoneticPr fontId="36" type="noConversion"/>
  </si>
  <si>
    <t>200mm</t>
    <phoneticPr fontId="36" type="noConversion"/>
  </si>
  <si>
    <t>WYH-251119-WYH-J6-014</t>
    <phoneticPr fontId="36" type="noConversion"/>
  </si>
  <si>
    <t>J-02</t>
    <phoneticPr fontId="36" type="noConversion"/>
  </si>
  <si>
    <t>5</t>
    <phoneticPr fontId="36" type="noConversion"/>
  </si>
  <si>
    <t>WYH-251119-WYH-J6-015</t>
    <phoneticPr fontId="36" type="noConversion"/>
  </si>
  <si>
    <t>黑色架子上</t>
    <phoneticPr fontId="36" type="noConversion"/>
  </si>
  <si>
    <r>
      <t>250mL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24/29</t>
    </r>
    <phoneticPr fontId="36" type="noConversion"/>
  </si>
  <si>
    <t>平底烧瓶</t>
    <phoneticPr fontId="36" type="noConversion"/>
  </si>
  <si>
    <t>WYH-251119-WYH-J6-016</t>
    <phoneticPr fontId="36" type="noConversion"/>
  </si>
  <si>
    <r>
      <rPr>
        <b/>
        <sz val="11"/>
        <color theme="1"/>
        <rFont val="宋体"/>
        <family val="3"/>
        <charset val="134"/>
      </rPr>
      <t>原先</t>
    </r>
    <r>
      <rPr>
        <b/>
        <sz val="11"/>
        <color theme="1"/>
        <rFont val="Arial Narrow"/>
        <family val="2"/>
      </rPr>
      <t>13</t>
    </r>
    <r>
      <rPr>
        <b/>
        <sz val="11"/>
        <color theme="1"/>
        <rFont val="宋体"/>
        <family val="3"/>
        <charset val="134"/>
      </rPr>
      <t>支，</t>
    </r>
    <r>
      <rPr>
        <b/>
        <sz val="11"/>
        <color theme="1"/>
        <rFont val="Arial Narrow"/>
        <family val="2"/>
      </rPr>
      <t>2025.11.19</t>
    </r>
    <r>
      <rPr>
        <b/>
        <sz val="11"/>
        <color theme="1"/>
        <rFont val="宋体"/>
        <family val="3"/>
        <charset val="134"/>
      </rPr>
      <t>日返还入库</t>
    </r>
    <r>
      <rPr>
        <b/>
        <sz val="11"/>
        <color theme="1"/>
        <rFont val="Arial Narrow"/>
        <family val="2"/>
      </rPr>
      <t>2</t>
    </r>
    <r>
      <rPr>
        <b/>
        <sz val="11"/>
        <color theme="1"/>
        <rFont val="宋体"/>
        <family val="3"/>
        <charset val="134"/>
      </rPr>
      <t>支</t>
    </r>
    <phoneticPr fontId="36" type="noConversion"/>
  </si>
  <si>
    <r>
      <t>24V DC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 Narrow"/>
        <family val="2"/>
      </rPr>
      <t>DP125</t>
    </r>
    <phoneticPr fontId="36" type="noConversion"/>
  </si>
  <si>
    <t>310G-09</t>
    <phoneticPr fontId="36" type="noConversion"/>
  </si>
  <si>
    <r>
      <t>LYG-200224-MYM-JC06-001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WYH-251119-WYH-017</t>
    </r>
    <phoneticPr fontId="36" type="noConversion"/>
  </si>
  <si>
    <r>
      <rPr>
        <b/>
        <sz val="11"/>
        <color theme="1"/>
        <rFont val="宋体"/>
        <family val="3"/>
        <charset val="134"/>
      </rPr>
      <t>原库存</t>
    </r>
    <r>
      <rPr>
        <b/>
        <sz val="11"/>
        <color theme="1"/>
        <rFont val="Arial Narrow"/>
        <family val="2"/>
      </rPr>
      <t>9.55</t>
    </r>
    <r>
      <rPr>
        <b/>
        <sz val="11"/>
        <color theme="1"/>
        <rFont val="宋体"/>
        <family val="3"/>
        <charset val="134"/>
      </rPr>
      <t>箱，</t>
    </r>
    <r>
      <rPr>
        <b/>
        <sz val="11"/>
        <color theme="1"/>
        <rFont val="Arial Narrow"/>
        <family val="2"/>
      </rPr>
      <t>2025.11.19</t>
    </r>
    <r>
      <rPr>
        <b/>
        <sz val="11"/>
        <color theme="1"/>
        <rFont val="宋体"/>
        <family val="3"/>
        <charset val="134"/>
      </rPr>
      <t>返还入库</t>
    </r>
    <r>
      <rPr>
        <b/>
        <sz val="11"/>
        <color theme="1"/>
        <rFont val="Arial Narrow"/>
        <family val="2"/>
      </rPr>
      <t>2.991</t>
    </r>
    <r>
      <rPr>
        <b/>
        <sz val="11"/>
        <color theme="1"/>
        <rFont val="宋体"/>
        <family val="3"/>
        <charset val="134"/>
      </rPr>
      <t>箱</t>
    </r>
    <phoneticPr fontId="36" type="noConversion"/>
  </si>
  <si>
    <r>
      <t>2025.11.19</t>
    </r>
    <r>
      <rPr>
        <sz val="11"/>
        <color theme="1"/>
        <rFont val="宋体"/>
        <family val="3"/>
        <charset val="134"/>
      </rPr>
      <t>日出库核销</t>
    </r>
    <phoneticPr fontId="36" type="noConversion"/>
  </si>
  <si>
    <t>310G-02</t>
    <phoneticPr fontId="36" type="noConversion"/>
  </si>
  <si>
    <t>WYH-251119-YZH-J7-010</t>
    <phoneticPr fontId="36" type="noConversion"/>
  </si>
  <si>
    <r>
      <t>2025.11.19</t>
    </r>
    <r>
      <rPr>
        <sz val="11"/>
        <color theme="1"/>
        <rFont val="宋体"/>
        <family val="2"/>
        <charset val="134"/>
      </rPr>
      <t>出库于</t>
    </r>
    <r>
      <rPr>
        <sz val="11"/>
        <color theme="1"/>
        <rFont val="Arial Narrow"/>
        <family val="2"/>
      </rPr>
      <t>YZH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Arial Narrow"/>
        <family val="2"/>
      </rPr>
      <t>YZH</t>
    </r>
    <r>
      <rPr>
        <sz val="11"/>
        <color theme="1"/>
        <rFont val="宋体"/>
        <family val="2"/>
        <charset val="134"/>
      </rPr>
      <t>放置于</t>
    </r>
    <r>
      <rPr>
        <sz val="11"/>
        <color theme="1"/>
        <rFont val="Arial Narrow"/>
        <family val="2"/>
      </rPr>
      <t>304</t>
    </r>
    <r>
      <rPr>
        <sz val="11"/>
        <color theme="1"/>
        <rFont val="宋体"/>
        <family val="2"/>
        <charset val="134"/>
      </rPr>
      <t>柜子的塑料箱子里</t>
    </r>
    <phoneticPr fontId="36" type="noConversion"/>
  </si>
  <si>
    <r>
      <rPr>
        <sz val="11"/>
        <color theme="1"/>
        <rFont val="宋体"/>
        <family val="2"/>
        <charset val="134"/>
      </rPr>
      <t>原有</t>
    </r>
    <r>
      <rPr>
        <sz val="11"/>
        <color theme="1"/>
        <rFont val="Arial Narrow"/>
        <family val="2"/>
      </rPr>
      <t>18</t>
    </r>
    <r>
      <rPr>
        <sz val="11"/>
        <color theme="1"/>
        <rFont val="宋体"/>
        <family val="2"/>
        <charset val="134"/>
      </rPr>
      <t>支，</t>
    </r>
    <r>
      <rPr>
        <sz val="11"/>
        <color theme="1"/>
        <rFont val="Arial Narrow"/>
        <family val="2"/>
      </rPr>
      <t>20251119</t>
    </r>
    <r>
      <rPr>
        <sz val="11"/>
        <color theme="1"/>
        <rFont val="等线"/>
        <family val="2"/>
        <charset val="134"/>
      </rPr>
      <t>返还</t>
    </r>
    <r>
      <rPr>
        <sz val="11"/>
        <color theme="1"/>
        <rFont val="宋体"/>
        <family val="2"/>
        <charset val="134"/>
      </rPr>
      <t>入库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2"/>
        <charset val="134"/>
      </rPr>
      <t>支</t>
    </r>
    <phoneticPr fontId="36" type="noConversion"/>
  </si>
  <si>
    <t>三长一短</t>
    <phoneticPr fontId="36" type="noConversion"/>
  </si>
  <si>
    <t>扳手套装</t>
    <phoneticPr fontId="36" type="noConversion"/>
  </si>
  <si>
    <t>亚马逊扳手套装</t>
    <phoneticPr fontId="36" type="noConversion"/>
  </si>
  <si>
    <t>折叠十字轮胎拆卸工具</t>
    <phoneticPr fontId="36" type="noConversion"/>
  </si>
  <si>
    <t>ZRJ-251120-SYO-J8-001</t>
    <phoneticPr fontId="36" type="noConversion"/>
  </si>
  <si>
    <t>ZRJ-251120-SYO-J8-002</t>
  </si>
  <si>
    <t>ZRJ-251120-SYO-J8-003</t>
  </si>
  <si>
    <t>把</t>
    <phoneticPr fontId="36" type="noConversion"/>
  </si>
  <si>
    <t>烟台市绿林工具</t>
    <phoneticPr fontId="36" type="noConversion"/>
  </si>
  <si>
    <t>亚马逊</t>
    <phoneticPr fontId="36" type="noConversion"/>
  </si>
  <si>
    <t>SHEFFIELD</t>
    <phoneticPr fontId="36" type="noConversion"/>
  </si>
  <si>
    <r>
      <t>12</t>
    </r>
    <r>
      <rPr>
        <sz val="10"/>
        <color theme="1"/>
        <rFont val="宋体"/>
        <family val="3"/>
        <charset val="134"/>
      </rPr>
      <t>把</t>
    </r>
    <phoneticPr fontId="36" type="noConversion"/>
  </si>
  <si>
    <r>
      <t>5</t>
    </r>
    <r>
      <rPr>
        <sz val="10"/>
        <color theme="1"/>
        <rFont val="宋体"/>
        <family val="3"/>
        <charset val="134"/>
      </rPr>
      <t>把</t>
    </r>
    <phoneticPr fontId="36" type="noConversion"/>
  </si>
  <si>
    <t>17-19-21-23mm</t>
    <phoneticPr fontId="36" type="noConversion"/>
  </si>
  <si>
    <r>
      <rPr>
        <sz val="11"/>
        <color theme="1"/>
        <rFont val="宋体"/>
        <family val="3"/>
        <charset val="134"/>
      </rPr>
      <t>小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3"/>
        <charset val="134"/>
      </rPr>
      <t>大</t>
    </r>
    <r>
      <rPr>
        <sz val="11"/>
        <color theme="1"/>
        <rFont val="Arial Narrow"/>
        <family val="2"/>
      </rPr>
      <t>2</t>
    </r>
    <phoneticPr fontId="36" type="noConversion"/>
  </si>
  <si>
    <t>WYH-251122-YZH-J4-001</t>
    <phoneticPr fontId="36" type="noConversion"/>
  </si>
  <si>
    <r>
      <t>2025.11.19</t>
    </r>
    <r>
      <rPr>
        <sz val="11"/>
        <color theme="1"/>
        <rFont val="宋体"/>
        <family val="3"/>
        <charset val="134"/>
      </rPr>
      <t>日返还入库</t>
    </r>
    <r>
      <rPr>
        <sz val="11"/>
        <color theme="1"/>
        <rFont val="Arial Narrow"/>
        <family val="2"/>
      </rPr>
      <t>6</t>
    </r>
    <r>
      <rPr>
        <sz val="11"/>
        <color theme="1"/>
        <rFont val="宋体"/>
        <family val="3"/>
        <charset val="134"/>
      </rPr>
      <t>个</t>
    </r>
    <phoneticPr fontId="36" type="noConversion"/>
  </si>
  <si>
    <t>WYH-251122-YZH-J6-002</t>
    <phoneticPr fontId="36" type="noConversion"/>
  </si>
  <si>
    <t>WYH-251122-YZH-J6-003</t>
  </si>
  <si>
    <t>WYH-251122-YZH-J6-004</t>
  </si>
  <si>
    <t>WYH-251122-YZH-J6-005</t>
  </si>
  <si>
    <t>WYH-251122-WYH-J6-006</t>
    <phoneticPr fontId="36" type="noConversion"/>
  </si>
  <si>
    <t>WYH-251122-WYH-J6-007</t>
    <phoneticPr fontId="36" type="noConversion"/>
  </si>
  <si>
    <t>WYH-251122-WYH-J6-008</t>
  </si>
  <si>
    <t>WYH-251122-WYH-J6-009</t>
  </si>
  <si>
    <t>WYH-251122-WYH-J6-010</t>
    <phoneticPr fontId="36" type="noConversion"/>
  </si>
  <si>
    <t>WYH-251122-WYH-J6-011</t>
  </si>
  <si>
    <t>WYH-251122-WYH-J6-012</t>
  </si>
  <si>
    <t>WYH-251122-WYH-J7-013</t>
    <phoneticPr fontId="36" type="noConversion"/>
  </si>
  <si>
    <t>WYH-251115-WYH-J7-004</t>
    <phoneticPr fontId="36" type="noConversion"/>
  </si>
  <si>
    <t>Vision Station</t>
  </si>
  <si>
    <t>ZC-H15-SH/AC 24W</t>
  </si>
  <si>
    <t>全玻璃注射器（有轴无套）</t>
    <phoneticPr fontId="36" type="noConversion"/>
  </si>
  <si>
    <r>
      <rPr>
        <sz val="11"/>
        <rFont val="宋体"/>
        <family val="3"/>
        <charset val="134"/>
      </rPr>
      <t>蓝盖</t>
    </r>
    <r>
      <rPr>
        <sz val="11"/>
        <rFont val="Arial Narrow"/>
        <family val="2"/>
      </rPr>
      <t>10</t>
    </r>
    <r>
      <rPr>
        <sz val="11"/>
        <rFont val="宋体"/>
        <family val="3"/>
        <charset val="134"/>
      </rPr>
      <t>黄盖</t>
    </r>
    <r>
      <rPr>
        <sz val="11"/>
        <rFont val="Arial Narrow"/>
        <family val="2"/>
      </rPr>
      <t>1</t>
    </r>
    <phoneticPr fontId="36" type="noConversion"/>
  </si>
  <si>
    <t>水勺</t>
    <phoneticPr fontId="36" type="noConversion"/>
  </si>
  <si>
    <t>得力</t>
    <phoneticPr fontId="36" type="noConversion"/>
  </si>
  <si>
    <t>红色</t>
    <phoneticPr fontId="36" type="noConversion"/>
  </si>
  <si>
    <t>黄色</t>
    <phoneticPr fontId="36" type="noConversion"/>
  </si>
  <si>
    <t>华晨</t>
    <phoneticPr fontId="36" type="noConversion"/>
  </si>
  <si>
    <t>尖头塑料离心管</t>
    <phoneticPr fontId="36" type="noConversion"/>
  </si>
  <si>
    <t>成都新津</t>
  </si>
  <si>
    <t>成都新津</t>
    <phoneticPr fontId="36" type="noConversion"/>
  </si>
  <si>
    <t>透明塑料储物格</t>
    <phoneticPr fontId="36" type="noConversion"/>
  </si>
  <si>
    <t>宜家</t>
    <phoneticPr fontId="36" type="noConversion"/>
  </si>
  <si>
    <r>
      <t>G7</t>
    </r>
    <r>
      <rPr>
        <sz val="11"/>
        <color theme="1"/>
        <rFont val="宋体"/>
        <family val="3"/>
        <charset val="134"/>
      </rPr>
      <t>箱</t>
    </r>
    <phoneticPr fontId="36" type="noConversion"/>
  </si>
  <si>
    <t>压力蒸汽灭菌标准生物测试包</t>
    <phoneticPr fontId="36" type="noConversion"/>
  </si>
  <si>
    <t>棱锐</t>
    <phoneticPr fontId="36" type="noConversion"/>
  </si>
  <si>
    <t>6724-1505</t>
    <phoneticPr fontId="36" type="noConversion"/>
  </si>
  <si>
    <t>扳手</t>
    <phoneticPr fontId="36" type="noConversion"/>
  </si>
  <si>
    <t>透明刮油板</t>
    <phoneticPr fontId="36" type="noConversion"/>
  </si>
  <si>
    <t>ICP-MS 4#盒</t>
    <phoneticPr fontId="36" type="noConversion"/>
  </si>
  <si>
    <t>防水防尘插头</t>
    <phoneticPr fontId="36" type="noConversion"/>
  </si>
  <si>
    <t>WYH-251124-YZH-J6-001</t>
    <phoneticPr fontId="36" type="noConversion"/>
  </si>
  <si>
    <r>
      <t>MYM-191014-LY-JC-06-003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MYM-210128-SCL-J6-001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MYM-220217-MYM-J6-001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Arial Narrow"/>
        <family val="2"/>
      </rPr>
      <t>MYM-230524-CJF-J6-002</t>
    </r>
    <r>
      <rPr>
        <sz val="11"/>
        <color theme="1"/>
        <rFont val="宋体"/>
        <family val="3"/>
        <charset val="134"/>
      </rPr>
      <t/>
    </r>
    <phoneticPr fontId="36" type="noConversion"/>
  </si>
  <si>
    <t>WYH-251124-WYH-J6-002</t>
    <phoneticPr fontId="36" type="noConversion"/>
  </si>
  <si>
    <r>
      <t>2025.11.25</t>
    </r>
    <r>
      <rPr>
        <sz val="11"/>
        <color theme="1"/>
        <rFont val="宋体"/>
        <family val="3"/>
        <charset val="134"/>
      </rPr>
      <t>日出库核销</t>
    </r>
    <phoneticPr fontId="36" type="noConversion"/>
  </si>
  <si>
    <t>WYH-251124-WYH-J6-003</t>
    <phoneticPr fontId="36" type="noConversion"/>
  </si>
  <si>
    <r>
      <t>2025.11.24</t>
    </r>
    <r>
      <rPr>
        <b/>
        <sz val="11"/>
        <color theme="1"/>
        <rFont val="宋体"/>
        <family val="3"/>
        <charset val="134"/>
      </rPr>
      <t>日返还入库了一个</t>
    </r>
    <r>
      <rPr>
        <b/>
        <sz val="11"/>
        <color theme="1"/>
        <rFont val="Arial Narrow"/>
        <family val="2"/>
      </rPr>
      <t>20</t>
    </r>
    <r>
      <rPr>
        <b/>
        <sz val="11"/>
        <color theme="1"/>
        <rFont val="宋体"/>
        <family val="3"/>
        <charset val="134"/>
      </rPr>
      <t>目筛子</t>
    </r>
    <phoneticPr fontId="36" type="noConversion"/>
  </si>
  <si>
    <t>WYH-251124-WYH-J6-004</t>
    <phoneticPr fontId="36" type="noConversion"/>
  </si>
  <si>
    <r>
      <t>2025.11.19</t>
    </r>
    <r>
      <rPr>
        <b/>
        <sz val="11"/>
        <color theme="1"/>
        <rFont val="宋体"/>
        <family val="3"/>
        <charset val="134"/>
      </rPr>
      <t>日盘点无</t>
    </r>
    <r>
      <rPr>
        <b/>
        <sz val="11"/>
        <color theme="1"/>
        <rFont val="Arial Narrow"/>
        <family val="2"/>
      </rPr>
      <t>100</t>
    </r>
    <r>
      <rPr>
        <b/>
        <sz val="11"/>
        <color theme="1"/>
        <rFont val="宋体"/>
        <family val="3"/>
        <charset val="134"/>
      </rPr>
      <t>目筛，因而出库</t>
    </r>
    <r>
      <rPr>
        <b/>
        <sz val="11"/>
        <color theme="1"/>
        <rFont val="Arial Narrow"/>
        <family val="2"/>
      </rPr>
      <t>100</t>
    </r>
    <r>
      <rPr>
        <b/>
        <sz val="11"/>
        <color theme="1"/>
        <rFont val="宋体"/>
        <family val="3"/>
        <charset val="134"/>
      </rPr>
      <t>目筛进行核销</t>
    </r>
    <phoneticPr fontId="36" type="noConversion"/>
  </si>
  <si>
    <t>气质联用仪灯丝</t>
  </si>
  <si>
    <t>1R120404-1940</t>
    <phoneticPr fontId="36" type="noConversion"/>
  </si>
  <si>
    <t>KDY-251126-SYO-J7-001</t>
  </si>
  <si>
    <t>SYO-251126-YZH-J7-002</t>
    <phoneticPr fontId="36" type="noConversion"/>
  </si>
  <si>
    <t>SYO-251201-YZH-J8-002</t>
  </si>
  <si>
    <t>SYO-251201-YZH-J8-001</t>
  </si>
  <si>
    <t>YZH-251215-SYO-J8-001</t>
    <phoneticPr fontId="36" type="noConversion"/>
  </si>
  <si>
    <t>YZH-251215-SYO-J8-002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</si>
</sst>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000"/>
    <numFmt numFmtId="178" formatCode="0_ "/>
    <numFmt numFmtId="179" formatCode="000000"/>
    <numFmt numFmtId="180" formatCode="0_);[Red]\(0\)"/>
  </numFmts>
  <fonts count="9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color indexed="9"/>
      <name val="宋体"/>
      <family val="3"/>
      <charset val="134"/>
    </font>
    <font>
      <sz val="12"/>
      <color rgb="FF0000FF"/>
      <name val="Tahoma"/>
      <family val="2"/>
    </font>
    <font>
      <sz val="11"/>
      <color rgb="FF0000FF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2"/>
      <color rgb="FF0000FF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9900FF"/>
      <name val="Arial Narrow"/>
      <family val="2"/>
    </font>
    <font>
      <sz val="11"/>
      <color rgb="FF0000FF"/>
      <name val="Arial Narrow"/>
      <family val="2"/>
    </font>
    <font>
      <sz val="11"/>
      <color indexed="8"/>
      <name val="Arial Narrow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rgb="FF0000FF"/>
      <name val="Arial Narrow"/>
      <family val="2"/>
    </font>
    <font>
      <sz val="11"/>
      <color rgb="FF0070C0"/>
      <name val="Arial Narrow"/>
      <family val="2"/>
    </font>
    <font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1"/>
      <color rgb="FFFA7D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rgb="FF9900FF"/>
      <name val="宋体"/>
      <family val="3"/>
      <charset val="134"/>
    </font>
    <font>
      <sz val="11"/>
      <color rgb="FF9900FF"/>
      <name val="宋体"/>
      <family val="3"/>
      <charset val="134"/>
      <scheme val="minor"/>
    </font>
    <font>
      <b/>
      <sz val="11"/>
      <color rgb="FF9900FF"/>
      <name val="Arial Narrow"/>
      <family val="2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 Narrow"/>
      <family val="2"/>
    </font>
    <font>
      <sz val="10"/>
      <color indexed="8"/>
      <name val="宋体"/>
      <family val="3"/>
      <charset val="134"/>
    </font>
    <font>
      <sz val="10"/>
      <color indexed="8"/>
      <name val="Arial Narrow"/>
      <family val="2"/>
    </font>
    <font>
      <sz val="9"/>
      <name val="宋体"/>
      <family val="3"/>
      <charset val="134"/>
    </font>
    <font>
      <b/>
      <sz val="16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rgb="FFFF0000"/>
      <name val="宋体"/>
      <family val="3"/>
      <charset val="134"/>
    </font>
    <font>
      <b/>
      <sz val="11"/>
      <name val="Arial Narrow"/>
      <family val="2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10"/>
      <color rgb="FF9900FF"/>
      <name val="Arial Narrow"/>
      <family val="2"/>
    </font>
    <font>
      <sz val="10"/>
      <color rgb="FF9900FF"/>
      <name val="宋体"/>
      <family val="3"/>
      <charset val="134"/>
    </font>
    <font>
      <b/>
      <sz val="11"/>
      <color rgb="FF9900FF"/>
      <name val="宋体"/>
      <family val="3"/>
      <charset val="134"/>
    </font>
    <font>
      <b/>
      <sz val="11"/>
      <color indexed="8"/>
      <name val="Arial Narrow"/>
      <family val="2"/>
    </font>
    <font>
      <b/>
      <sz val="11"/>
      <color indexed="8"/>
      <name val="宋体"/>
      <family val="3"/>
      <charset val="134"/>
    </font>
    <font>
      <b/>
      <sz val="11"/>
      <color theme="0"/>
      <name val="Arial Narrow"/>
      <family val="2"/>
    </font>
    <font>
      <b/>
      <sz val="11"/>
      <color theme="0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color rgb="FF9900FF"/>
      <name val="Arial Narrow"/>
      <family val="2"/>
    </font>
    <font>
      <b/>
      <sz val="16"/>
      <color rgb="FF0000FF"/>
      <name val="Arial Narrow"/>
      <family val="2"/>
    </font>
    <font>
      <sz val="16"/>
      <color theme="1"/>
      <name val="Arial Narrow"/>
      <family val="2"/>
    </font>
    <font>
      <b/>
      <sz val="16"/>
      <color rgb="FF0000FF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Arial Narrow"/>
      <family val="2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Arial Narrow"/>
      <family val="3"/>
      <charset val="134"/>
    </font>
    <font>
      <sz val="11"/>
      <color rgb="FF0000FF"/>
      <name val="宋体"/>
      <family val="3"/>
      <charset val="134"/>
    </font>
    <font>
      <sz val="11"/>
      <color theme="1"/>
      <name val="Arial Narrow"/>
      <family val="3"/>
      <charset val="134"/>
    </font>
    <font>
      <sz val="20"/>
      <color theme="1"/>
      <name val="宋体"/>
      <family val="3"/>
      <charset val="134"/>
    </font>
    <font>
      <b/>
      <sz val="16"/>
      <color theme="1"/>
      <name val="Arial Narrow"/>
      <family val="3"/>
      <charset val="134"/>
    </font>
    <font>
      <sz val="8"/>
      <color theme="1"/>
      <name val="宋体"/>
      <family val="3"/>
      <charset val="134"/>
    </font>
    <font>
      <sz val="8"/>
      <color theme="1"/>
      <name val="Arial Narrow"/>
      <family val="2"/>
    </font>
    <font>
      <sz val="11"/>
      <color theme="1"/>
      <name val="宋体"/>
      <family val="2"/>
      <charset val="134"/>
    </font>
    <font>
      <b/>
      <sz val="11"/>
      <color theme="1"/>
      <name val="宋体"/>
      <family val="2"/>
      <charset val="134"/>
    </font>
    <font>
      <b/>
      <sz val="11"/>
      <color theme="1"/>
      <name val="Arial Narrow"/>
      <family val="2"/>
      <charset val="134"/>
    </font>
    <font>
      <sz val="11"/>
      <color theme="1"/>
      <name val="等线"/>
      <family val="2"/>
      <charset val="134"/>
    </font>
    <font>
      <b/>
      <sz val="11"/>
      <color theme="1"/>
      <name val="等线"/>
      <family val="2"/>
      <charset val="134"/>
    </font>
    <font>
      <sz val="11"/>
      <color rgb="FF000000"/>
      <name val="等线"/>
      <family val="2"/>
      <charset val="134"/>
    </font>
    <font>
      <sz val="11"/>
      <color theme="1"/>
      <name val="Arial Narrow"/>
      <family val="2"/>
      <charset val="134"/>
    </font>
    <font>
      <sz val="10"/>
      <color theme="1"/>
      <name val="宋体"/>
      <family val="2"/>
      <charset val="134"/>
    </font>
    <font>
      <sz val="11"/>
      <name val="Arial Narrow"/>
      <family val="3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7D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8"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5" fillId="0" borderId="0">
      <alignment vertical="center"/>
    </xf>
    <xf numFmtId="0" fontId="20" fillId="2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5" fillId="16" borderId="15" applyNumberFormat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25" fillId="16" borderId="15" applyNumberFormat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24" fillId="16" borderId="13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4" fillId="13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5" fillId="33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1" fillId="34" borderId="13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1" fillId="34" borderId="13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2" fillId="0" borderId="0"/>
    <xf numFmtId="0" fontId="23" fillId="15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5" fillId="12" borderId="11" applyNumberFormat="0" applyFont="0" applyAlignment="0" applyProtection="0">
      <alignment vertical="center"/>
    </xf>
    <xf numFmtId="0" fontId="35" fillId="12" borderId="11" applyNumberFormat="0" applyFont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3" borderId="1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16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5" fillId="0" borderId="0">
      <alignment vertical="center"/>
    </xf>
    <xf numFmtId="0" fontId="7" fillId="0" borderId="10" applyNumberFormat="0" applyFill="0" applyAlignment="0" applyProtection="0">
      <alignment vertical="center"/>
    </xf>
  </cellStyleXfs>
  <cellXfs count="349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>
      <alignment vertical="center"/>
    </xf>
    <xf numFmtId="0" fontId="5" fillId="2" borderId="0" xfId="37" applyFill="1" applyAlignment="1" applyProtection="1"/>
    <xf numFmtId="0" fontId="6" fillId="4" borderId="1" xfId="37" applyFont="1" applyFill="1" applyBorder="1" applyAlignment="1" applyProtection="1"/>
    <xf numFmtId="0" fontId="3" fillId="5" borderId="1" xfId="0" applyFont="1" applyFill="1" applyBorder="1" applyAlignment="1">
      <alignment horizontal="center"/>
    </xf>
    <xf numFmtId="0" fontId="6" fillId="5" borderId="1" xfId="37" applyFont="1" applyFill="1" applyBorder="1" applyAlignment="1" applyProtection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10" fillId="0" borderId="4" xfId="0" applyFont="1" applyBorder="1" applyAlignment="1" applyProtection="1">
      <alignment horizontal="left" vertical="center" shrinkToFit="1"/>
      <protection locked="0"/>
    </xf>
    <xf numFmtId="0" fontId="12" fillId="0" borderId="4" xfId="0" applyFont="1" applyBorder="1" applyAlignment="1">
      <alignment horizontal="left" vertical="center" shrinkToFit="1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left" vertical="center" shrinkToFit="1"/>
      <protection locked="0"/>
    </xf>
    <xf numFmtId="0" fontId="10" fillId="6" borderId="4" xfId="0" applyFont="1" applyFill="1" applyBorder="1" applyAlignment="1" applyProtection="1">
      <alignment horizontal="left" vertical="center" shrinkToFit="1"/>
      <protection locked="0"/>
    </xf>
    <xf numFmtId="0" fontId="10" fillId="0" borderId="4" xfId="61" applyFont="1" applyBorder="1" applyAlignment="1" applyProtection="1">
      <alignment horizontal="left" vertical="center" shrinkToFit="1"/>
      <protection locked="0"/>
    </xf>
    <xf numFmtId="0" fontId="13" fillId="6" borderId="4" xfId="0" applyFont="1" applyFill="1" applyBorder="1" applyAlignment="1" applyProtection="1">
      <alignment horizontal="left" vertical="center" shrinkToFit="1"/>
      <protection locked="0"/>
    </xf>
    <xf numFmtId="0" fontId="17" fillId="0" borderId="4" xfId="0" applyFont="1" applyBorder="1" applyAlignment="1" applyProtection="1">
      <alignment horizontal="left" vertical="center" shrinkToFit="1"/>
      <protection locked="0"/>
    </xf>
    <xf numFmtId="0" fontId="10" fillId="0" borderId="4" xfId="86" applyFont="1" applyBorder="1" applyAlignment="1" applyProtection="1">
      <alignment horizontal="left" vertical="center" shrinkToFit="1"/>
      <protection locked="0"/>
    </xf>
    <xf numFmtId="0" fontId="10" fillId="0" borderId="4" xfId="7" applyFont="1" applyBorder="1" applyAlignment="1" applyProtection="1">
      <alignment horizontal="left" vertical="center" shrinkToFit="1"/>
      <protection locked="0"/>
    </xf>
    <xf numFmtId="0" fontId="13" fillId="6" borderId="4" xfId="86" applyFont="1" applyFill="1" applyBorder="1" applyAlignment="1" applyProtection="1">
      <alignment horizontal="left" vertical="center" shrinkToFit="1"/>
      <protection locked="0"/>
    </xf>
    <xf numFmtId="0" fontId="13" fillId="0" borderId="4" xfId="86" applyFont="1" applyBorder="1" applyAlignment="1" applyProtection="1">
      <alignment horizontal="left" vertical="center" shrinkToFit="1"/>
      <protection locked="0"/>
    </xf>
    <xf numFmtId="0" fontId="10" fillId="6" borderId="4" xfId="7" applyFont="1" applyFill="1" applyBorder="1" applyAlignment="1" applyProtection="1">
      <alignment horizontal="left" vertical="center" shrinkToFit="1"/>
      <protection locked="0"/>
    </xf>
    <xf numFmtId="0" fontId="10" fillId="6" borderId="4" xfId="86" applyFont="1" applyFill="1" applyBorder="1" applyAlignment="1" applyProtection="1">
      <alignment horizontal="left" vertical="center" shrinkToFit="1"/>
      <protection locked="0"/>
    </xf>
    <xf numFmtId="0" fontId="9" fillId="6" borderId="4" xfId="0" applyFont="1" applyFill="1" applyBorder="1" applyAlignment="1" applyProtection="1">
      <alignment horizontal="left" vertical="center" shrinkToFit="1"/>
      <protection locked="0"/>
    </xf>
    <xf numFmtId="0" fontId="17" fillId="6" borderId="4" xfId="0" applyFont="1" applyFill="1" applyBorder="1" applyAlignment="1" applyProtection="1">
      <alignment horizontal="left" vertical="center" shrinkToFit="1"/>
      <protection locked="0"/>
    </xf>
    <xf numFmtId="0" fontId="16" fillId="6" borderId="4" xfId="86" applyFont="1" applyFill="1" applyBorder="1" applyAlignment="1" applyProtection="1">
      <alignment horizontal="left" vertical="center" shrinkToFit="1"/>
      <protection locked="0"/>
    </xf>
    <xf numFmtId="0" fontId="11" fillId="0" borderId="4" xfId="0" applyFont="1" applyBorder="1" applyAlignment="1" applyProtection="1">
      <alignment horizontal="left" vertical="center" shrinkToFi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4" fillId="0" borderId="0" xfId="0" applyFont="1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 shrinkToFit="1"/>
      <protection locked="0"/>
    </xf>
    <xf numFmtId="0" fontId="4" fillId="0" borderId="0" xfId="0" applyFont="1" applyProtection="1">
      <alignment vertical="center"/>
      <protection locked="0"/>
    </xf>
    <xf numFmtId="177" fontId="9" fillId="0" borderId="4" xfId="0" applyNumberFormat="1" applyFont="1" applyBorder="1" applyAlignment="1" applyProtection="1">
      <alignment horizontal="left" vertical="center" shrinkToFit="1"/>
      <protection locked="0"/>
    </xf>
    <xf numFmtId="0" fontId="8" fillId="0" borderId="4" xfId="0" applyFont="1" applyBorder="1" applyAlignment="1" applyProtection="1">
      <alignment horizontal="left" vertical="center" shrinkToFit="1"/>
      <protection locked="0"/>
    </xf>
    <xf numFmtId="0" fontId="11" fillId="6" borderId="4" xfId="0" applyFont="1" applyFill="1" applyBorder="1" applyAlignment="1" applyProtection="1">
      <alignment horizontal="left" vertical="center" shrinkToFit="1"/>
      <protection locked="0"/>
    </xf>
    <xf numFmtId="176" fontId="11" fillId="0" borderId="4" xfId="0" applyNumberFormat="1" applyFont="1" applyBorder="1" applyAlignment="1" applyProtection="1">
      <alignment horizontal="left" vertical="center" shrinkToFit="1"/>
      <protection locked="0"/>
    </xf>
    <xf numFmtId="176" fontId="11" fillId="6" borderId="4" xfId="0" applyNumberFormat="1" applyFont="1" applyFill="1" applyBorder="1" applyAlignment="1" applyProtection="1">
      <alignment horizontal="left" vertical="center" shrinkToFit="1"/>
      <protection locked="0"/>
    </xf>
    <xf numFmtId="0" fontId="16" fillId="0" borderId="4" xfId="0" applyFont="1" applyBorder="1" applyAlignment="1" applyProtection="1">
      <alignment horizontal="left" vertical="center" shrinkToFit="1"/>
      <protection locked="0"/>
    </xf>
    <xf numFmtId="176" fontId="13" fillId="6" borderId="4" xfId="0" applyNumberFormat="1" applyFont="1" applyFill="1" applyBorder="1" applyAlignment="1" applyProtection="1">
      <alignment horizontal="left" vertical="center" shrinkToFit="1"/>
      <protection locked="0"/>
    </xf>
    <xf numFmtId="178" fontId="10" fillId="6" borderId="4" xfId="0" applyNumberFormat="1" applyFont="1" applyFill="1" applyBorder="1" applyAlignment="1" applyProtection="1">
      <alignment horizontal="left" vertical="center" shrinkToFit="1"/>
      <protection locked="0"/>
    </xf>
    <xf numFmtId="178" fontId="13" fillId="6" borderId="4" xfId="0" applyNumberFormat="1" applyFont="1" applyFill="1" applyBorder="1" applyAlignment="1" applyProtection="1">
      <alignment horizontal="left" vertical="center" shrinkToFit="1"/>
      <protection locked="0"/>
    </xf>
    <xf numFmtId="176" fontId="10" fillId="6" borderId="4" xfId="0" applyNumberFormat="1" applyFont="1" applyFill="1" applyBorder="1" applyAlignment="1" applyProtection="1">
      <alignment horizontal="left" vertical="center" shrinkToFit="1"/>
      <protection locked="0"/>
    </xf>
    <xf numFmtId="0" fontId="18" fillId="6" borderId="4" xfId="0" applyFont="1" applyFill="1" applyBorder="1" applyAlignment="1" applyProtection="1">
      <alignment horizontal="left" vertical="center" shrinkToFit="1"/>
      <protection locked="0"/>
    </xf>
    <xf numFmtId="0" fontId="8" fillId="0" borderId="0" xfId="0" applyFont="1" applyAlignment="1" applyProtection="1">
      <alignment horizontal="left" shrinkToFit="1"/>
      <protection locked="0"/>
    </xf>
    <xf numFmtId="0" fontId="9" fillId="0" borderId="0" xfId="0" applyFont="1" applyAlignment="1" applyProtection="1">
      <alignment horizontal="left" vertical="center" shrinkToFit="1"/>
      <protection locked="0"/>
    </xf>
    <xf numFmtId="0" fontId="46" fillId="0" borderId="0" xfId="0" applyFont="1" applyProtection="1">
      <alignment vertical="center"/>
      <protection locked="0"/>
    </xf>
    <xf numFmtId="0" fontId="49" fillId="0" borderId="4" xfId="0" applyFont="1" applyBorder="1" applyAlignment="1" applyProtection="1">
      <alignment horizontal="left" vertical="center" shrinkToFit="1"/>
      <protection locked="0"/>
    </xf>
    <xf numFmtId="0" fontId="5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53" fillId="0" borderId="0" xfId="0" applyFont="1" applyAlignment="1">
      <alignment horizontal="center" vertical="center" shrinkToFit="1"/>
    </xf>
    <xf numFmtId="0" fontId="9" fillId="0" borderId="4" xfId="0" applyFont="1" applyBorder="1" applyAlignment="1" applyProtection="1">
      <alignment vertical="center" shrinkToFit="1"/>
      <protection locked="0"/>
    </xf>
    <xf numFmtId="0" fontId="49" fillId="0" borderId="4" xfId="0" applyFont="1" applyBorder="1" applyAlignment="1" applyProtection="1">
      <alignment vertical="center" shrinkToFit="1"/>
      <protection locked="0"/>
    </xf>
    <xf numFmtId="0" fontId="9" fillId="0" borderId="0" xfId="0" applyFont="1" applyAlignment="1" applyProtection="1">
      <alignment horizontal="center" vertical="center" shrinkToFit="1"/>
      <protection locked="0"/>
    </xf>
    <xf numFmtId="0" fontId="56" fillId="0" borderId="5" xfId="0" applyFont="1" applyBorder="1">
      <alignment vertical="center"/>
    </xf>
    <xf numFmtId="0" fontId="56" fillId="0" borderId="5" xfId="0" applyFont="1" applyBorder="1" applyAlignment="1">
      <alignment vertical="center" shrinkToFit="1"/>
    </xf>
    <xf numFmtId="0" fontId="54" fillId="0" borderId="2" xfId="0" applyFont="1" applyBorder="1" applyAlignment="1">
      <alignment horizontal="center" vertical="center" shrinkToFit="1"/>
    </xf>
    <xf numFmtId="0" fontId="9" fillId="0" borderId="0" xfId="0" applyFo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 shrinkToFit="1"/>
      <protection locked="0"/>
    </xf>
    <xf numFmtId="0" fontId="8" fillId="0" borderId="4" xfId="0" applyFont="1" applyBorder="1" applyAlignment="1" applyProtection="1">
      <alignment horizontal="left" shrinkToFit="1"/>
      <protection locked="0"/>
    </xf>
    <xf numFmtId="0" fontId="59" fillId="0" borderId="4" xfId="0" applyFont="1" applyBorder="1" applyAlignment="1" applyProtection="1">
      <alignment horizontal="left" vertical="center" shrinkToFit="1"/>
      <protection locked="0"/>
    </xf>
    <xf numFmtId="0" fontId="45" fillId="0" borderId="5" xfId="0" applyFont="1" applyBorder="1">
      <alignment vertical="center"/>
    </xf>
    <xf numFmtId="0" fontId="15" fillId="0" borderId="7" xfId="0" applyFont="1" applyBorder="1" applyAlignment="1">
      <alignment vertical="center" wrapText="1"/>
    </xf>
    <xf numFmtId="0" fontId="54" fillId="0" borderId="6" xfId="0" applyFont="1" applyBorder="1">
      <alignment vertical="center"/>
    </xf>
    <xf numFmtId="0" fontId="54" fillId="0" borderId="7" xfId="0" applyFont="1" applyBorder="1">
      <alignment vertical="center"/>
    </xf>
    <xf numFmtId="0" fontId="56" fillId="0" borderId="6" xfId="0" applyFont="1" applyBorder="1" applyAlignment="1">
      <alignment vertical="center" shrinkToFit="1"/>
    </xf>
    <xf numFmtId="0" fontId="15" fillId="0" borderId="6" xfId="0" applyFont="1" applyBorder="1" applyAlignment="1">
      <alignment vertical="center" shrinkToFit="1"/>
    </xf>
    <xf numFmtId="0" fontId="56" fillId="0" borderId="7" xfId="0" applyFont="1" applyBorder="1" applyAlignment="1">
      <alignment vertical="center" shrinkToFit="1"/>
    </xf>
    <xf numFmtId="0" fontId="15" fillId="0" borderId="6" xfId="0" applyFont="1" applyBorder="1">
      <alignment vertical="center"/>
    </xf>
    <xf numFmtId="0" fontId="56" fillId="0" borderId="7" xfId="0" applyFont="1" applyBorder="1">
      <alignment vertical="center"/>
    </xf>
    <xf numFmtId="0" fontId="53" fillId="0" borderId="0" xfId="0" applyFont="1">
      <alignment vertical="center"/>
    </xf>
    <xf numFmtId="0" fontId="4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0" xfId="0" applyFont="1" applyAlignment="1"/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7" fillId="0" borderId="0" xfId="0" applyFont="1" applyAlignment="1">
      <alignment horizontal="center" vertical="center"/>
    </xf>
    <xf numFmtId="0" fontId="69" fillId="0" borderId="0" xfId="0" applyFont="1">
      <alignment vertical="center"/>
    </xf>
    <xf numFmtId="0" fontId="68" fillId="0" borderId="0" xfId="0" applyFont="1" applyAlignment="1">
      <alignment horizontal="right" vertical="center"/>
    </xf>
    <xf numFmtId="0" fontId="68" fillId="0" borderId="0" xfId="0" applyFont="1" applyAlignment="1">
      <alignment horizontal="center" vertical="center"/>
    </xf>
    <xf numFmtId="0" fontId="11" fillId="0" borderId="0" xfId="0" applyFon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42" fillId="0" borderId="4" xfId="0" applyFont="1" applyBorder="1" applyAlignment="1" applyProtection="1">
      <alignment horizontal="left" vertical="center" shrinkToFit="1"/>
      <protection locked="0"/>
    </xf>
    <xf numFmtId="0" fontId="66" fillId="0" borderId="0" xfId="0" applyFont="1" applyAlignment="1">
      <alignment horizontal="center" vertical="center"/>
    </xf>
    <xf numFmtId="0" fontId="40" fillId="0" borderId="4" xfId="0" applyFont="1" applyBorder="1" applyAlignment="1" applyProtection="1">
      <alignment vertical="center" shrinkToFit="1"/>
      <protection locked="0"/>
    </xf>
    <xf numFmtId="0" fontId="40" fillId="0" borderId="0" xfId="0" applyFont="1" applyAlignment="1" applyProtection="1">
      <alignment horizontal="left" vertical="center" shrinkToFit="1"/>
      <protection locked="0"/>
    </xf>
    <xf numFmtId="0" fontId="40" fillId="0" borderId="4" xfId="0" applyFont="1" applyBorder="1" applyAlignment="1" applyProtection="1">
      <alignment horizontal="left" vertical="center" shrinkToFit="1"/>
      <protection locked="0"/>
    </xf>
    <xf numFmtId="0" fontId="43" fillId="0" borderId="4" xfId="0" applyFont="1" applyBorder="1" applyAlignment="1" applyProtection="1">
      <alignment horizontal="left" vertical="center" shrinkToFit="1"/>
      <protection locked="0"/>
    </xf>
    <xf numFmtId="0" fontId="41" fillId="0" borderId="4" xfId="0" applyFont="1" applyBorder="1" applyAlignment="1" applyProtection="1">
      <alignment horizontal="left" vertical="center" shrinkToFit="1"/>
      <protection locked="0"/>
    </xf>
    <xf numFmtId="0" fontId="40" fillId="0" borderId="4" xfId="77" applyFont="1" applyBorder="1" applyAlignment="1" applyProtection="1">
      <alignment vertical="center" wrapText="1"/>
      <protection locked="0"/>
    </xf>
    <xf numFmtId="0" fontId="39" fillId="9" borderId="4" xfId="0" applyFont="1" applyFill="1" applyBorder="1" applyAlignment="1" applyProtection="1">
      <alignment horizontal="left" vertical="center" shrinkToFit="1"/>
      <protection locked="0"/>
    </xf>
    <xf numFmtId="0" fontId="40" fillId="0" borderId="4" xfId="77" applyFont="1" applyBorder="1" applyAlignment="1" applyProtection="1">
      <alignment horizontal="left" vertical="center" shrinkToFi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68" fillId="0" borderId="0" xfId="0" applyFont="1" applyAlignment="1">
      <alignment horizontal="center" vertical="center" wrapText="1" shrinkToFit="1"/>
    </xf>
    <xf numFmtId="0" fontId="8" fillId="0" borderId="4" xfId="0" applyFont="1" applyBorder="1" applyAlignment="1" applyProtection="1">
      <alignment horizontal="left" vertical="center" wrapText="1" shrinkToFit="1"/>
      <protection locked="0"/>
    </xf>
    <xf numFmtId="0" fontId="9" fillId="0" borderId="4" xfId="0" applyFont="1" applyBorder="1" applyAlignment="1" applyProtection="1">
      <alignment horizontal="left" vertical="center" wrapText="1" shrinkToFit="1"/>
      <protection locked="0"/>
    </xf>
    <xf numFmtId="0" fontId="9" fillId="0" borderId="0" xfId="0" applyFont="1" applyAlignment="1" applyProtection="1">
      <alignment vertical="center" wrapText="1" shrinkToFit="1"/>
      <protection locked="0"/>
    </xf>
    <xf numFmtId="0" fontId="53" fillId="0" borderId="0" xfId="0" applyFont="1" applyAlignment="1">
      <alignment horizontal="left" vertical="center"/>
    </xf>
    <xf numFmtId="0" fontId="73" fillId="0" borderId="4" xfId="0" applyFont="1" applyBorder="1" applyAlignment="1" applyProtection="1">
      <alignment horizontal="left" vertical="center"/>
      <protection locked="0"/>
    </xf>
    <xf numFmtId="0" fontId="68" fillId="0" borderId="0" xfId="0" applyFont="1" applyAlignment="1">
      <alignment horizontal="center" vertical="center" shrinkToFit="1"/>
    </xf>
    <xf numFmtId="0" fontId="54" fillId="0" borderId="4" xfId="0" applyFont="1" applyBorder="1" applyAlignment="1" applyProtection="1">
      <alignment horizontal="left" vertical="center" shrinkToFit="1"/>
      <protection locked="0"/>
    </xf>
    <xf numFmtId="0" fontId="9" fillId="0" borderId="0" xfId="0" applyFont="1" applyAlignment="1" applyProtection="1">
      <alignment vertical="center" shrinkToFit="1"/>
      <protection locked="0"/>
    </xf>
    <xf numFmtId="0" fontId="74" fillId="0" borderId="4" xfId="77" applyFont="1" applyBorder="1" applyAlignment="1" applyProtection="1">
      <alignment horizontal="left" vertical="center" shrinkToFit="1"/>
      <protection locked="0"/>
    </xf>
    <xf numFmtId="0" fontId="40" fillId="0" borderId="4" xfId="77" applyFont="1" applyBorder="1" applyAlignment="1" applyProtection="1">
      <alignment horizontal="center" vertical="center" shrinkToFit="1"/>
      <protection locked="0"/>
    </xf>
    <xf numFmtId="0" fontId="74" fillId="0" borderId="4" xfId="77" applyFont="1" applyBorder="1" applyAlignment="1" applyProtection="1">
      <alignment vertical="center" shrinkToFit="1"/>
      <protection locked="0"/>
    </xf>
    <xf numFmtId="0" fontId="40" fillId="0" borderId="4" xfId="77" applyFont="1" applyBorder="1" applyAlignment="1" applyProtection="1">
      <alignment vertical="center" shrinkToFit="1"/>
      <protection locked="0"/>
    </xf>
    <xf numFmtId="0" fontId="74" fillId="0" borderId="4" xfId="77" applyFont="1" applyBorder="1" applyAlignment="1" applyProtection="1">
      <alignment horizontal="center" vertical="center" shrinkToFit="1"/>
      <protection locked="0"/>
    </xf>
    <xf numFmtId="49" fontId="74" fillId="0" borderId="4" xfId="77" applyNumberFormat="1" applyFont="1" applyBorder="1" applyAlignment="1" applyProtection="1">
      <alignment horizontal="left" vertical="center" shrinkToFit="1"/>
      <protection locked="0"/>
    </xf>
    <xf numFmtId="0" fontId="42" fillId="4" borderId="4" xfId="77" applyFont="1" applyFill="1" applyBorder="1" applyAlignment="1" applyProtection="1">
      <alignment horizontal="center" vertical="center" shrinkToFit="1"/>
      <protection locked="0"/>
    </xf>
    <xf numFmtId="0" fontId="40" fillId="4" borderId="4" xfId="77" applyFont="1" applyFill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left" vertical="center" shrinkToFit="1"/>
      <protection locked="0"/>
    </xf>
    <xf numFmtId="49" fontId="40" fillId="0" borderId="4" xfId="77" applyNumberFormat="1" applyFont="1" applyBorder="1" applyAlignment="1" applyProtection="1">
      <alignment horizontal="left" vertical="center" shrinkToFit="1"/>
      <protection locked="0"/>
    </xf>
    <xf numFmtId="0" fontId="74" fillId="0" borderId="0" xfId="77" applyFont="1" applyAlignment="1" applyProtection="1">
      <alignment horizontal="left" vertical="center" shrinkToFit="1"/>
      <protection locked="0"/>
    </xf>
    <xf numFmtId="179" fontId="74" fillId="0" borderId="4" xfId="77" applyNumberFormat="1" applyFont="1" applyBorder="1" applyAlignment="1" applyProtection="1">
      <alignment horizontal="left" vertical="center" shrinkToFit="1"/>
      <protection locked="0"/>
    </xf>
    <xf numFmtId="0" fontId="35" fillId="0" borderId="4" xfId="77" applyBorder="1" applyAlignment="1" applyProtection="1">
      <alignment horizontal="left" vertical="center" shrinkToFit="1"/>
      <protection locked="0"/>
    </xf>
    <xf numFmtId="0" fontId="40" fillId="0" borderId="0" xfId="77" applyFont="1" applyAlignment="1" applyProtection="1">
      <alignment horizontal="left" vertical="center" shrinkToFit="1"/>
      <protection locked="0"/>
    </xf>
    <xf numFmtId="0" fontId="35" fillId="0" borderId="4" xfId="0" applyFont="1" applyBorder="1" applyAlignment="1" applyProtection="1">
      <alignment horizontal="left" vertical="center" shrinkToFit="1"/>
      <protection locked="0"/>
    </xf>
    <xf numFmtId="0" fontId="75" fillId="6" borderId="4" xfId="77" applyFont="1" applyFill="1" applyBorder="1" applyAlignment="1" applyProtection="1">
      <alignment horizontal="left" vertical="center" shrinkToFit="1"/>
      <protection locked="0"/>
    </xf>
    <xf numFmtId="180" fontId="74" fillId="0" borderId="4" xfId="77" applyNumberFormat="1" applyFont="1" applyBorder="1" applyAlignment="1" applyProtection="1">
      <alignment horizontal="left" vertical="center" shrinkToFit="1"/>
      <protection locked="0"/>
    </xf>
    <xf numFmtId="0" fontId="74" fillId="6" borderId="4" xfId="77" applyFont="1" applyFill="1" applyBorder="1" applyAlignment="1" applyProtection="1">
      <alignment vertical="center" shrinkToFit="1"/>
      <protection locked="0"/>
    </xf>
    <xf numFmtId="0" fontId="74" fillId="6" borderId="4" xfId="77" applyFont="1" applyFill="1" applyBorder="1" applyAlignment="1" applyProtection="1">
      <alignment horizontal="left" vertical="center" shrinkToFit="1"/>
      <protection locked="0"/>
    </xf>
    <xf numFmtId="49" fontId="0" fillId="0" borderId="4" xfId="0" applyNumberFormat="1" applyBorder="1" applyAlignment="1" applyProtection="1">
      <alignment horizontal="left" vertical="center" shrinkToFit="1"/>
      <protection locked="0"/>
    </xf>
    <xf numFmtId="0" fontId="0" fillId="0" borderId="4" xfId="0" applyBorder="1" applyAlignment="1" applyProtection="1">
      <alignment vertical="center" shrinkToFit="1"/>
      <protection locked="0"/>
    </xf>
    <xf numFmtId="49" fontId="53" fillId="0" borderId="0" xfId="0" applyNumberFormat="1" applyFont="1" applyAlignment="1">
      <alignment horizontal="center" vertical="center"/>
    </xf>
    <xf numFmtId="49" fontId="54" fillId="0" borderId="4" xfId="0" applyNumberFormat="1" applyFont="1" applyBorder="1" applyAlignment="1">
      <alignment horizontal="center" vertical="center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54" fillId="0" borderId="6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 applyProtection="1">
      <alignment horizontal="center" vertical="center" shrinkToFit="1"/>
      <protection locked="0"/>
    </xf>
    <xf numFmtId="0" fontId="10" fillId="6" borderId="4" xfId="0" applyFont="1" applyFill="1" applyBorder="1" applyAlignment="1" applyProtection="1">
      <alignment horizontal="center" vertical="center" shrinkToFit="1"/>
      <protection locked="0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0" fontId="17" fillId="0" borderId="4" xfId="0" applyFont="1" applyBorder="1" applyAlignment="1" applyProtection="1">
      <alignment horizontal="center" vertical="center" shrinkToFit="1"/>
      <protection locked="0"/>
    </xf>
    <xf numFmtId="0" fontId="56" fillId="0" borderId="5" xfId="0" applyFont="1" applyBorder="1" applyAlignment="1">
      <alignment horizontal="left" vertical="center"/>
    </xf>
    <xf numFmtId="0" fontId="9" fillId="6" borderId="4" xfId="0" applyFont="1" applyFill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40" fillId="0" borderId="4" xfId="0" applyFont="1" applyBorder="1" applyAlignment="1" applyProtection="1">
      <alignment horizontal="center" vertical="center" shrinkToFit="1"/>
      <protection locked="0"/>
    </xf>
    <xf numFmtId="0" fontId="13" fillId="6" borderId="4" xfId="0" applyFont="1" applyFill="1" applyBorder="1" applyAlignment="1" applyProtection="1">
      <alignment horizontal="center" vertical="center" shrinkToFit="1"/>
      <protection locked="0"/>
    </xf>
    <xf numFmtId="0" fontId="54" fillId="0" borderId="7" xfId="0" applyFont="1" applyBorder="1" applyAlignment="1">
      <alignment horizontal="center" vertical="center"/>
    </xf>
    <xf numFmtId="0" fontId="12" fillId="6" borderId="4" xfId="0" applyFont="1" applyFill="1" applyBorder="1" applyAlignment="1" applyProtection="1">
      <alignment horizontal="left" vertical="center" shrinkToFit="1"/>
      <protection locked="0"/>
    </xf>
    <xf numFmtId="49" fontId="9" fillId="6" borderId="4" xfId="0" applyNumberFormat="1" applyFont="1" applyFill="1" applyBorder="1" applyAlignment="1" applyProtection="1">
      <alignment horizontal="center" vertical="center" shrinkToFit="1"/>
      <protection locked="0"/>
    </xf>
    <xf numFmtId="0" fontId="8" fillId="6" borderId="4" xfId="0" applyFont="1" applyFill="1" applyBorder="1" applyAlignment="1" applyProtection="1">
      <alignment horizontal="left" vertical="center" shrinkToFit="1"/>
      <protection locked="0"/>
    </xf>
    <xf numFmtId="0" fontId="8" fillId="6" borderId="4" xfId="0" applyFont="1" applyFill="1" applyBorder="1" applyAlignment="1" applyProtection="1">
      <alignment horizontal="left" vertical="center" wrapText="1" shrinkToFit="1"/>
      <protection locked="0"/>
    </xf>
    <xf numFmtId="0" fontId="8" fillId="6" borderId="0" xfId="0" applyFont="1" applyFill="1" applyAlignment="1" applyProtection="1">
      <alignment horizontal="left" shrinkToFit="1"/>
      <protection locked="0"/>
    </xf>
    <xf numFmtId="0" fontId="12" fillId="0" borderId="2" xfId="0" applyFont="1" applyBorder="1" applyAlignment="1" applyProtection="1">
      <alignment horizontal="left" vertical="center" shrinkToFit="1"/>
      <protection locked="0"/>
    </xf>
    <xf numFmtId="0" fontId="9" fillId="0" borderId="18" xfId="0" applyFont="1" applyBorder="1" applyProtection="1">
      <alignment vertical="center"/>
      <protection locked="0"/>
    </xf>
    <xf numFmtId="0" fontId="9" fillId="0" borderId="4" xfId="0" applyFont="1" applyBorder="1" applyProtection="1">
      <alignment vertical="center"/>
      <protection locked="0"/>
    </xf>
    <xf numFmtId="0" fontId="9" fillId="0" borderId="19" xfId="0" applyFont="1" applyBorder="1" applyAlignment="1" applyProtection="1">
      <alignment horizontal="left" vertical="center" shrinkToFit="1"/>
      <protection locked="0"/>
    </xf>
    <xf numFmtId="0" fontId="9" fillId="0" borderId="2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left" vertical="center"/>
      <protection locked="0"/>
    </xf>
    <xf numFmtId="0" fontId="40" fillId="0" borderId="4" xfId="0" applyFont="1" applyBorder="1" applyProtection="1">
      <alignment vertical="center"/>
      <protection locked="0"/>
    </xf>
    <xf numFmtId="0" fontId="78" fillId="0" borderId="4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79" fillId="0" borderId="4" xfId="0" applyFont="1" applyBorder="1" applyAlignment="1" applyProtection="1">
      <alignment horizontal="left" vertical="center" shrinkToFit="1"/>
      <protection locked="0"/>
    </xf>
    <xf numFmtId="0" fontId="0" fillId="0" borderId="0" xfId="0" applyAlignment="1" applyProtection="1">
      <protection locked="0"/>
    </xf>
    <xf numFmtId="0" fontId="56" fillId="0" borderId="5" xfId="0" applyFont="1" applyBorder="1" applyAlignment="1">
      <alignment horizontal="center" vertical="center"/>
    </xf>
    <xf numFmtId="177" fontId="49" fillId="0" borderId="4" xfId="0" applyNumberFormat="1" applyFont="1" applyBorder="1" applyAlignment="1" applyProtection="1">
      <alignment horizontal="left" vertical="center" shrinkToFit="1"/>
      <protection locked="0"/>
    </xf>
    <xf numFmtId="177" fontId="9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10" fillId="39" borderId="4" xfId="0" applyFont="1" applyFill="1" applyBorder="1" applyAlignment="1" applyProtection="1">
      <alignment horizontal="left" vertical="center" shrinkToFit="1"/>
      <protection locked="0"/>
    </xf>
    <xf numFmtId="0" fontId="11" fillId="39" borderId="4" xfId="0" applyFont="1" applyFill="1" applyBorder="1" applyAlignment="1" applyProtection="1">
      <alignment horizontal="left" vertical="center" shrinkToFit="1"/>
      <protection locked="0"/>
    </xf>
    <xf numFmtId="0" fontId="12" fillId="39" borderId="4" xfId="0" applyFont="1" applyFill="1" applyBorder="1" applyAlignment="1" applyProtection="1">
      <alignment horizontal="left" vertical="center" shrinkToFit="1"/>
      <protection locked="0"/>
    </xf>
    <xf numFmtId="0" fontId="9" fillId="39" borderId="4" xfId="0" applyFont="1" applyFill="1" applyBorder="1" applyAlignment="1" applyProtection="1">
      <alignment horizontal="left" vertical="center" shrinkToFit="1"/>
      <protection locked="0"/>
    </xf>
    <xf numFmtId="0" fontId="13" fillId="39" borderId="4" xfId="0" applyFont="1" applyFill="1" applyBorder="1" applyAlignment="1" applyProtection="1">
      <alignment horizontal="left" vertical="center" shrinkToFit="1"/>
      <protection locked="0"/>
    </xf>
    <xf numFmtId="0" fontId="9" fillId="39" borderId="4" xfId="0" applyFont="1" applyFill="1" applyBorder="1" applyAlignment="1" applyProtection="1">
      <alignment horizontal="center" vertical="center" shrinkToFit="1"/>
      <protection locked="0"/>
    </xf>
    <xf numFmtId="49" fontId="9" fillId="39" borderId="4" xfId="0" applyNumberFormat="1" applyFont="1" applyFill="1" applyBorder="1" applyAlignment="1" applyProtection="1">
      <alignment horizontal="center" vertical="center" shrinkToFit="1"/>
      <protection locked="0"/>
    </xf>
    <xf numFmtId="0" fontId="13" fillId="39" borderId="4" xfId="0" applyFont="1" applyFill="1" applyBorder="1" applyAlignment="1" applyProtection="1">
      <alignment horizontal="center" vertical="center" shrinkToFit="1"/>
      <protection locked="0"/>
    </xf>
    <xf numFmtId="0" fontId="8" fillId="39" borderId="4" xfId="0" applyFont="1" applyFill="1" applyBorder="1" applyAlignment="1" applyProtection="1">
      <alignment horizontal="left" vertical="center" shrinkToFit="1"/>
      <protection locked="0"/>
    </xf>
    <xf numFmtId="0" fontId="8" fillId="39" borderId="0" xfId="0" applyFont="1" applyFill="1" applyAlignment="1" applyProtection="1">
      <alignment horizontal="left" shrinkToFit="1"/>
      <protection locked="0"/>
    </xf>
    <xf numFmtId="0" fontId="17" fillId="39" borderId="4" xfId="0" applyFont="1" applyFill="1" applyBorder="1" applyAlignment="1" applyProtection="1">
      <alignment horizontal="left" vertical="center" shrinkToFit="1"/>
      <protection locked="0"/>
    </xf>
    <xf numFmtId="0" fontId="9" fillId="39" borderId="0" xfId="0" applyFont="1" applyFill="1" applyAlignment="1" applyProtection="1">
      <alignment horizontal="left" vertical="center" shrinkToFit="1"/>
      <protection locked="0"/>
    </xf>
    <xf numFmtId="0" fontId="9" fillId="39" borderId="4" xfId="0" applyFont="1" applyFill="1" applyBorder="1" applyAlignment="1" applyProtection="1">
      <alignment vertical="center" shrinkToFit="1"/>
      <protection locked="0"/>
    </xf>
    <xf numFmtId="0" fontId="49" fillId="39" borderId="4" xfId="0" applyFont="1" applyFill="1" applyBorder="1" applyAlignment="1" applyProtection="1">
      <alignment vertical="center" shrinkToFit="1"/>
      <protection locked="0"/>
    </xf>
    <xf numFmtId="0" fontId="49" fillId="39" borderId="4" xfId="0" applyFont="1" applyFill="1" applyBorder="1" applyAlignment="1" applyProtection="1">
      <alignment horizontal="left" vertical="center" shrinkToFit="1"/>
      <protection locked="0"/>
    </xf>
    <xf numFmtId="0" fontId="59" fillId="39" borderId="4" xfId="0" applyFont="1" applyFill="1" applyBorder="1" applyAlignment="1" applyProtection="1">
      <alignment horizontal="left" vertical="center" shrinkToFit="1"/>
      <protection locked="0"/>
    </xf>
    <xf numFmtId="0" fontId="10" fillId="39" borderId="4" xfId="0" applyFont="1" applyFill="1" applyBorder="1" applyAlignment="1" applyProtection="1">
      <alignment horizontal="center" vertical="center" shrinkToFit="1"/>
      <protection locked="0"/>
    </xf>
    <xf numFmtId="0" fontId="10" fillId="39" borderId="4" xfId="86" applyFont="1" applyFill="1" applyBorder="1" applyAlignment="1" applyProtection="1">
      <alignment horizontal="left" vertical="center" shrinkToFit="1"/>
      <protection locked="0"/>
    </xf>
    <xf numFmtId="0" fontId="9" fillId="39" borderId="4" xfId="0" applyFont="1" applyFill="1" applyBorder="1" applyProtection="1">
      <alignment vertical="center"/>
      <protection locked="0"/>
    </xf>
    <xf numFmtId="0" fontId="9" fillId="39" borderId="4" xfId="0" applyFont="1" applyFill="1" applyBorder="1" applyAlignment="1" applyProtection="1">
      <alignment horizontal="left" vertical="center"/>
      <protection locked="0"/>
    </xf>
    <xf numFmtId="0" fontId="9" fillId="39" borderId="4" xfId="0" applyFont="1" applyFill="1" applyBorder="1" applyAlignment="1" applyProtection="1">
      <alignment horizontal="center" vertical="center"/>
      <protection locked="0"/>
    </xf>
    <xf numFmtId="0" fontId="12" fillId="39" borderId="2" xfId="0" applyFont="1" applyFill="1" applyBorder="1" applyAlignment="1" applyProtection="1">
      <alignment horizontal="left" vertical="center" shrinkToFit="1"/>
      <protection locked="0"/>
    </xf>
    <xf numFmtId="0" fontId="9" fillId="39" borderId="0" xfId="0" applyFont="1" applyFill="1" applyProtection="1">
      <alignment vertical="center"/>
      <protection locked="0"/>
    </xf>
    <xf numFmtId="0" fontId="54" fillId="39" borderId="4" xfId="0" applyFont="1" applyFill="1" applyBorder="1" applyAlignment="1" applyProtection="1">
      <alignment horizontal="left" vertical="center" shrinkToFit="1"/>
      <protection locked="0"/>
    </xf>
    <xf numFmtId="178" fontId="13" fillId="39" borderId="4" xfId="0" applyNumberFormat="1" applyFont="1" applyFill="1" applyBorder="1" applyAlignment="1" applyProtection="1">
      <alignment horizontal="left" vertical="center" shrinkToFit="1"/>
      <protection locked="0"/>
    </xf>
    <xf numFmtId="176" fontId="11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9" fillId="39" borderId="18" xfId="0" applyFont="1" applyFill="1" applyBorder="1" applyProtection="1">
      <alignment vertical="center"/>
      <protection locked="0"/>
    </xf>
    <xf numFmtId="0" fontId="9" fillId="39" borderId="19" xfId="0" applyFont="1" applyFill="1" applyBorder="1" applyAlignment="1" applyProtection="1">
      <alignment horizontal="left" vertical="center" shrinkToFit="1"/>
      <protection locked="0"/>
    </xf>
    <xf numFmtId="0" fontId="9" fillId="39" borderId="2" xfId="0" applyFont="1" applyFill="1" applyBorder="1" applyAlignment="1" applyProtection="1">
      <alignment horizontal="left" vertical="center" shrinkToFit="1"/>
      <protection locked="0"/>
    </xf>
    <xf numFmtId="0" fontId="9" fillId="39" borderId="2" xfId="0" applyFont="1" applyFill="1" applyBorder="1" applyProtection="1">
      <alignment vertical="center"/>
      <protection locked="0"/>
    </xf>
    <xf numFmtId="0" fontId="9" fillId="39" borderId="7" xfId="0" applyFont="1" applyFill="1" applyBorder="1" applyAlignment="1" applyProtection="1">
      <alignment horizontal="left" vertical="center" shrinkToFit="1"/>
      <protection locked="0"/>
    </xf>
    <xf numFmtId="0" fontId="9" fillId="39" borderId="0" xfId="0" applyFont="1" applyFill="1" applyAlignment="1" applyProtection="1">
      <alignment horizontal="left" vertical="center"/>
      <protection locked="0"/>
    </xf>
    <xf numFmtId="0" fontId="9" fillId="39" borderId="8" xfId="0" applyFont="1" applyFill="1" applyBorder="1" applyProtection="1">
      <alignment vertical="center"/>
      <protection locked="0"/>
    </xf>
    <xf numFmtId="0" fontId="9" fillId="39" borderId="8" xfId="0" applyFont="1" applyFill="1" applyBorder="1" applyAlignment="1" applyProtection="1">
      <alignment vertical="center" shrinkToFit="1"/>
      <protection locked="0"/>
    </xf>
    <xf numFmtId="0" fontId="9" fillId="39" borderId="0" xfId="0" applyFont="1" applyFill="1" applyAlignment="1" applyProtection="1">
      <alignment horizontal="center" vertical="center" shrinkToFit="1"/>
      <protection locked="0"/>
    </xf>
    <xf numFmtId="49" fontId="13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40" fillId="39" borderId="4" xfId="0" applyFont="1" applyFill="1" applyBorder="1" applyAlignment="1" applyProtection="1">
      <alignment horizontal="left" vertical="center" shrinkToFit="1"/>
      <protection locked="0"/>
    </xf>
    <xf numFmtId="177" fontId="9" fillId="40" borderId="4" xfId="0" applyNumberFormat="1" applyFont="1" applyFill="1" applyBorder="1" applyAlignment="1" applyProtection="1">
      <alignment horizontal="left" vertical="center" shrinkToFit="1"/>
      <protection locked="0"/>
    </xf>
    <xf numFmtId="0" fontId="10" fillId="40" borderId="4" xfId="0" applyFont="1" applyFill="1" applyBorder="1" applyAlignment="1" applyProtection="1">
      <alignment horizontal="left" vertical="center" shrinkToFit="1"/>
      <protection locked="0"/>
    </xf>
    <xf numFmtId="0" fontId="11" fillId="40" borderId="4" xfId="0" applyFont="1" applyFill="1" applyBorder="1" applyAlignment="1" applyProtection="1">
      <alignment horizontal="left" vertical="center" shrinkToFit="1"/>
      <protection locked="0"/>
    </xf>
    <xf numFmtId="0" fontId="12" fillId="40" borderId="4" xfId="0" applyFont="1" applyFill="1" applyBorder="1" applyAlignment="1" applyProtection="1">
      <alignment horizontal="left" vertical="center" shrinkToFit="1"/>
      <protection locked="0"/>
    </xf>
    <xf numFmtId="0" fontId="13" fillId="40" borderId="4" xfId="0" applyFont="1" applyFill="1" applyBorder="1" applyAlignment="1" applyProtection="1">
      <alignment horizontal="left" vertical="center" shrinkToFit="1"/>
      <protection locked="0"/>
    </xf>
    <xf numFmtId="0" fontId="9" fillId="40" borderId="4" xfId="0" applyFont="1" applyFill="1" applyBorder="1" applyAlignment="1" applyProtection="1">
      <alignment horizontal="left" vertical="center" shrinkToFit="1"/>
      <protection locked="0"/>
    </xf>
    <xf numFmtId="0" fontId="10" fillId="40" borderId="4" xfId="86" applyFont="1" applyFill="1" applyBorder="1" applyAlignment="1" applyProtection="1">
      <alignment horizontal="left" vertical="center" shrinkToFit="1"/>
      <protection locked="0"/>
    </xf>
    <xf numFmtId="0" fontId="10" fillId="40" borderId="4" xfId="0" applyFont="1" applyFill="1" applyBorder="1" applyAlignment="1" applyProtection="1">
      <alignment horizontal="center" vertical="center" shrinkToFit="1"/>
      <protection locked="0"/>
    </xf>
    <xf numFmtId="49" fontId="9" fillId="40" borderId="4" xfId="0" applyNumberFormat="1" applyFont="1" applyFill="1" applyBorder="1" applyAlignment="1" applyProtection="1">
      <alignment horizontal="center" vertical="center" shrinkToFit="1"/>
      <protection locked="0"/>
    </xf>
    <xf numFmtId="0" fontId="8" fillId="40" borderId="4" xfId="0" applyFont="1" applyFill="1" applyBorder="1" applyAlignment="1" applyProtection="1">
      <alignment horizontal="left" vertical="center" shrinkToFit="1"/>
      <protection locked="0"/>
    </xf>
    <xf numFmtId="0" fontId="8" fillId="40" borderId="4" xfId="0" applyFont="1" applyFill="1" applyBorder="1" applyAlignment="1" applyProtection="1">
      <alignment horizontal="left" vertical="center" wrapText="1" shrinkToFit="1"/>
      <protection locked="0"/>
    </xf>
    <xf numFmtId="0" fontId="8" fillId="40" borderId="0" xfId="0" applyFont="1" applyFill="1" applyAlignment="1" applyProtection="1">
      <alignment horizontal="left" shrinkToFit="1"/>
      <protection locked="0"/>
    </xf>
    <xf numFmtId="176" fontId="11" fillId="40" borderId="4" xfId="0" applyNumberFormat="1" applyFont="1" applyFill="1" applyBorder="1" applyAlignment="1" applyProtection="1">
      <alignment horizontal="left" vertical="center" shrinkToFit="1"/>
      <protection locked="0"/>
    </xf>
    <xf numFmtId="0" fontId="9" fillId="40" borderId="4" xfId="0" applyFont="1" applyFill="1" applyBorder="1" applyAlignment="1" applyProtection="1">
      <alignment horizontal="left" vertical="center" wrapText="1" shrinkToFit="1"/>
      <protection locked="0"/>
    </xf>
    <xf numFmtId="0" fontId="42" fillId="40" borderId="4" xfId="0" applyFont="1" applyFill="1" applyBorder="1" applyAlignment="1" applyProtection="1">
      <alignment horizontal="left" vertical="center" shrinkToFit="1"/>
      <protection locked="0"/>
    </xf>
    <xf numFmtId="0" fontId="41" fillId="40" borderId="4" xfId="0" applyFont="1" applyFill="1" applyBorder="1" applyAlignment="1" applyProtection="1">
      <alignment horizontal="left" vertical="center" shrinkToFit="1"/>
      <protection locked="0"/>
    </xf>
    <xf numFmtId="0" fontId="49" fillId="40" borderId="4" xfId="0" applyFont="1" applyFill="1" applyBorder="1" applyAlignment="1" applyProtection="1">
      <alignment horizontal="left" vertical="center" shrinkToFit="1"/>
      <protection locked="0"/>
    </xf>
    <xf numFmtId="0" fontId="43" fillId="40" borderId="4" xfId="0" applyFont="1" applyFill="1" applyBorder="1" applyAlignment="1" applyProtection="1">
      <alignment horizontal="left" vertical="center" shrinkToFit="1"/>
      <protection locked="0"/>
    </xf>
    <xf numFmtId="0" fontId="9" fillId="40" borderId="4" xfId="0" applyFont="1" applyFill="1" applyBorder="1" applyAlignment="1" applyProtection="1">
      <alignment horizontal="center" vertical="center" shrinkToFit="1"/>
      <protection locked="0"/>
    </xf>
    <xf numFmtId="0" fontId="9" fillId="40" borderId="0" xfId="0" applyFont="1" applyFill="1" applyAlignment="1" applyProtection="1">
      <alignment horizontal="left" vertical="center" shrinkToFit="1"/>
      <protection locked="0"/>
    </xf>
    <xf numFmtId="0" fontId="40" fillId="40" borderId="0" xfId="0" applyFont="1" applyFill="1" applyAlignment="1" applyProtection="1">
      <alignment horizontal="left" vertical="center"/>
      <protection locked="0"/>
    </xf>
    <xf numFmtId="0" fontId="40" fillId="40" borderId="4" xfId="0" applyFont="1" applyFill="1" applyBorder="1" applyAlignment="1" applyProtection="1">
      <alignment horizontal="left" vertical="center" shrinkToFit="1"/>
      <protection locked="0"/>
    </xf>
    <xf numFmtId="177" fontId="9" fillId="41" borderId="4" xfId="0" applyNumberFormat="1" applyFont="1" applyFill="1" applyBorder="1" applyAlignment="1" applyProtection="1">
      <alignment horizontal="left" vertical="center" shrinkToFit="1"/>
      <protection locked="0"/>
    </xf>
    <xf numFmtId="0" fontId="11" fillId="41" borderId="4" xfId="0" applyFont="1" applyFill="1" applyBorder="1" applyAlignment="1" applyProtection="1">
      <alignment horizontal="left" vertical="center" shrinkToFit="1"/>
      <protection locked="0"/>
    </xf>
    <xf numFmtId="0" fontId="12" fillId="41" borderId="4" xfId="0" applyFont="1" applyFill="1" applyBorder="1" applyAlignment="1" applyProtection="1">
      <alignment horizontal="left" vertical="center" shrinkToFit="1"/>
      <protection locked="0"/>
    </xf>
    <xf numFmtId="0" fontId="9" fillId="41" borderId="4" xfId="0" applyFont="1" applyFill="1" applyBorder="1" applyAlignment="1" applyProtection="1">
      <alignment horizontal="left" vertical="center" shrinkToFit="1"/>
      <protection locked="0"/>
    </xf>
    <xf numFmtId="0" fontId="43" fillId="41" borderId="4" xfId="0" applyFont="1" applyFill="1" applyBorder="1" applyAlignment="1" applyProtection="1">
      <alignment horizontal="left" vertical="center" shrinkToFit="1"/>
      <protection locked="0"/>
    </xf>
    <xf numFmtId="0" fontId="49" fillId="0" borderId="4" xfId="0" applyFont="1" applyBorder="1" applyProtection="1">
      <alignment vertical="center"/>
      <protection locked="0"/>
    </xf>
    <xf numFmtId="0" fontId="11" fillId="39" borderId="2" xfId="0" applyFont="1" applyFill="1" applyBorder="1" applyAlignment="1" applyProtection="1">
      <alignment horizontal="left" vertical="center" shrinkToFit="1"/>
      <protection locked="0"/>
    </xf>
    <xf numFmtId="0" fontId="40" fillId="39" borderId="4" xfId="77" applyFont="1" applyFill="1" applyBorder="1" applyAlignment="1" applyProtection="1">
      <alignment vertical="center" wrapText="1"/>
      <protection locked="0"/>
    </xf>
    <xf numFmtId="0" fontId="40" fillId="41" borderId="4" xfId="0" applyFont="1" applyFill="1" applyBorder="1" applyProtection="1">
      <alignment vertical="center"/>
      <protection locked="0"/>
    </xf>
    <xf numFmtId="0" fontId="9" fillId="41" borderId="4" xfId="0" applyFont="1" applyFill="1" applyBorder="1" applyProtection="1">
      <alignment vertical="center"/>
      <protection locked="0"/>
    </xf>
    <xf numFmtId="0" fontId="9" fillId="41" borderId="4" xfId="0" applyFont="1" applyFill="1" applyBorder="1" applyAlignment="1" applyProtection="1">
      <alignment horizontal="left" vertical="center"/>
      <protection locked="0"/>
    </xf>
    <xf numFmtId="0" fontId="10" fillId="41" borderId="4" xfId="0" applyFont="1" applyFill="1" applyBorder="1" applyAlignment="1" applyProtection="1">
      <alignment horizontal="center" vertical="center" shrinkToFit="1"/>
      <protection locked="0"/>
    </xf>
    <xf numFmtId="0" fontId="9" fillId="41" borderId="4" xfId="0" applyFont="1" applyFill="1" applyBorder="1" applyAlignment="1" applyProtection="1">
      <alignment horizontal="center" vertical="center"/>
      <protection locked="0"/>
    </xf>
    <xf numFmtId="0" fontId="9" fillId="41" borderId="0" xfId="0" applyFont="1" applyFill="1" applyProtection="1">
      <alignment vertical="center"/>
      <protection locked="0"/>
    </xf>
    <xf numFmtId="0" fontId="9" fillId="39" borderId="4" xfId="0" applyFont="1" applyFill="1" applyBorder="1" applyAlignment="1" applyProtection="1">
      <alignment horizontal="left" vertical="center" wrapText="1" shrinkToFit="1"/>
      <protection locked="0"/>
    </xf>
    <xf numFmtId="0" fontId="8" fillId="39" borderId="4" xfId="0" applyFont="1" applyFill="1" applyBorder="1" applyAlignment="1" applyProtection="1">
      <alignment horizontal="left" vertical="center" wrapText="1" shrinkToFit="1"/>
      <protection locked="0"/>
    </xf>
    <xf numFmtId="178" fontId="10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11" fillId="39" borderId="4" xfId="0" applyFont="1" applyFill="1" applyBorder="1" applyAlignment="1" applyProtection="1">
      <alignment vertical="center" shrinkToFit="1"/>
      <protection locked="0"/>
    </xf>
    <xf numFmtId="0" fontId="13" fillId="39" borderId="4" xfId="86" applyFont="1" applyFill="1" applyBorder="1" applyAlignment="1" applyProtection="1">
      <alignment horizontal="left" vertical="center" shrinkToFit="1"/>
      <protection locked="0"/>
    </xf>
    <xf numFmtId="176" fontId="13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41" fillId="39" borderId="4" xfId="0" applyFont="1" applyFill="1" applyBorder="1" applyAlignment="1" applyProtection="1">
      <alignment horizontal="left" vertical="center" shrinkToFit="1"/>
      <protection locked="0"/>
    </xf>
    <xf numFmtId="0" fontId="43" fillId="39" borderId="4" xfId="0" applyFont="1" applyFill="1" applyBorder="1" applyAlignment="1" applyProtection="1">
      <alignment horizontal="left" vertical="center" shrinkToFit="1"/>
      <protection locked="0"/>
    </xf>
    <xf numFmtId="0" fontId="40" fillId="39" borderId="4" xfId="77" applyFont="1" applyFill="1" applyBorder="1" applyAlignment="1" applyProtection="1">
      <alignment horizontal="center" vertical="center" shrinkToFit="1"/>
      <protection locked="0"/>
    </xf>
    <xf numFmtId="0" fontId="40" fillId="39" borderId="4" xfId="77" applyFont="1" applyFill="1" applyBorder="1" applyAlignment="1" applyProtection="1">
      <alignment vertical="center" shrinkToFit="1"/>
      <protection locked="0"/>
    </xf>
    <xf numFmtId="0" fontId="40" fillId="39" borderId="4" xfId="0" applyFont="1" applyFill="1" applyBorder="1" applyAlignment="1" applyProtection="1">
      <alignment vertical="center" shrinkToFit="1"/>
      <protection locked="0"/>
    </xf>
    <xf numFmtId="0" fontId="42" fillId="39" borderId="4" xfId="0" applyFont="1" applyFill="1" applyBorder="1" applyAlignment="1" applyProtection="1">
      <alignment horizontal="left" vertical="center" shrinkToFit="1"/>
      <protection locked="0"/>
    </xf>
    <xf numFmtId="0" fontId="82" fillId="0" borderId="0" xfId="0" applyFont="1" applyProtection="1">
      <alignment vertical="center"/>
      <protection locked="0"/>
    </xf>
    <xf numFmtId="178" fontId="10" fillId="40" borderId="4" xfId="0" applyNumberFormat="1" applyFont="1" applyFill="1" applyBorder="1" applyAlignment="1" applyProtection="1">
      <alignment horizontal="left" vertical="center" shrinkToFit="1"/>
      <protection locked="0"/>
    </xf>
    <xf numFmtId="0" fontId="40" fillId="40" borderId="4" xfId="0" applyFont="1" applyFill="1" applyBorder="1" applyProtection="1">
      <alignment vertical="center"/>
      <protection locked="0"/>
    </xf>
    <xf numFmtId="0" fontId="9" fillId="40" borderId="4" xfId="0" applyFont="1" applyFill="1" applyBorder="1" applyProtection="1">
      <alignment vertical="center"/>
      <protection locked="0"/>
    </xf>
    <xf numFmtId="0" fontId="9" fillId="40" borderId="4" xfId="0" applyFont="1" applyFill="1" applyBorder="1" applyAlignment="1" applyProtection="1">
      <alignment horizontal="left" vertical="center"/>
      <protection locked="0"/>
    </xf>
    <xf numFmtId="0" fontId="9" fillId="40" borderId="4" xfId="0" applyFont="1" applyFill="1" applyBorder="1" applyAlignment="1" applyProtection="1">
      <alignment horizontal="center" vertical="center"/>
      <protection locked="0"/>
    </xf>
    <xf numFmtId="0" fontId="9" fillId="40" borderId="0" xfId="0" applyFont="1" applyFill="1" applyProtection="1">
      <alignment vertical="center"/>
      <protection locked="0"/>
    </xf>
    <xf numFmtId="0" fontId="49" fillId="40" borderId="4" xfId="0" applyFont="1" applyFill="1" applyBorder="1" applyProtection="1">
      <alignment vertical="center"/>
      <protection locked="0"/>
    </xf>
    <xf numFmtId="0" fontId="40" fillId="40" borderId="4" xfId="0" applyFont="1" applyFill="1" applyBorder="1" applyAlignment="1" applyProtection="1">
      <alignment horizontal="center" vertical="center"/>
      <protection locked="0"/>
    </xf>
    <xf numFmtId="0" fontId="40" fillId="40" borderId="4" xfId="77" applyFont="1" applyFill="1" applyBorder="1" applyAlignment="1" applyProtection="1">
      <alignment vertical="center" wrapText="1"/>
      <protection locked="0"/>
    </xf>
    <xf numFmtId="0" fontId="80" fillId="40" borderId="4" xfId="0" applyFont="1" applyFill="1" applyBorder="1" applyAlignment="1" applyProtection="1">
      <alignment horizontal="left" vertical="center" shrinkToFit="1"/>
      <protection locked="0"/>
    </xf>
    <xf numFmtId="0" fontId="79" fillId="40" borderId="4" xfId="0" applyFont="1" applyFill="1" applyBorder="1" applyAlignment="1" applyProtection="1">
      <alignment horizontal="left" vertical="center" shrinkToFit="1"/>
      <protection locked="0"/>
    </xf>
    <xf numFmtId="0" fontId="40" fillId="39" borderId="4" xfId="0" applyFont="1" applyFill="1" applyBorder="1" applyProtection="1">
      <alignment vertical="center"/>
      <protection locked="0"/>
    </xf>
    <xf numFmtId="0" fontId="80" fillId="0" borderId="4" xfId="0" applyFont="1" applyBorder="1" applyAlignment="1" applyProtection="1">
      <alignment vertical="center" shrinkToFit="1"/>
      <protection locked="0"/>
    </xf>
    <xf numFmtId="177" fontId="9" fillId="6" borderId="4" xfId="0" applyNumberFormat="1" applyFont="1" applyFill="1" applyBorder="1" applyAlignment="1" applyProtection="1">
      <alignment horizontal="left" vertical="center" shrinkToFit="1"/>
      <protection locked="0"/>
    </xf>
    <xf numFmtId="49" fontId="9" fillId="40" borderId="7" xfId="0" applyNumberFormat="1" applyFont="1" applyFill="1" applyBorder="1" applyAlignment="1" applyProtection="1">
      <alignment horizontal="left" vertical="center"/>
      <protection locked="0"/>
    </xf>
    <xf numFmtId="0" fontId="9" fillId="40" borderId="7" xfId="0" applyFont="1" applyFill="1" applyBorder="1" applyAlignment="1" applyProtection="1">
      <alignment horizontal="left" vertical="center"/>
      <protection locked="0"/>
    </xf>
    <xf numFmtId="0" fontId="9" fillId="40" borderId="5" xfId="0" applyFont="1" applyFill="1" applyBorder="1" applyProtection="1">
      <alignment vertical="center"/>
      <protection locked="0"/>
    </xf>
    <xf numFmtId="0" fontId="9" fillId="40" borderId="5" xfId="0" applyFont="1" applyFill="1" applyBorder="1" applyAlignment="1" applyProtection="1">
      <alignment horizontal="left" vertical="center"/>
      <protection locked="0"/>
    </xf>
    <xf numFmtId="0" fontId="43" fillId="40" borderId="4" xfId="0" applyFont="1" applyFill="1" applyBorder="1" applyAlignment="1" applyProtection="1">
      <alignment horizontal="left" vertical="center"/>
      <protection locked="0"/>
    </xf>
    <xf numFmtId="49" fontId="9" fillId="40" borderId="4" xfId="0" applyNumberFormat="1" applyFont="1" applyFill="1" applyBorder="1" applyAlignment="1" applyProtection="1">
      <alignment horizontal="center" vertical="center"/>
      <protection locked="0"/>
    </xf>
    <xf numFmtId="0" fontId="12" fillId="40" borderId="4" xfId="0" applyFont="1" applyFill="1" applyBorder="1" applyProtection="1">
      <alignment vertical="center"/>
      <protection locked="0"/>
    </xf>
    <xf numFmtId="0" fontId="12" fillId="40" borderId="4" xfId="0" applyFont="1" applyFill="1" applyBorder="1" applyAlignment="1" applyProtection="1">
      <alignment horizontal="left" vertical="center"/>
      <protection locked="0"/>
    </xf>
    <xf numFmtId="0" fontId="9" fillId="40" borderId="4" xfId="0" applyFont="1" applyFill="1" applyBorder="1" applyAlignment="1" applyProtection="1">
      <alignment vertical="center" shrinkToFit="1"/>
      <protection locked="0"/>
    </xf>
    <xf numFmtId="49" fontId="9" fillId="0" borderId="7" xfId="0" applyNumberFormat="1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5" xfId="0" applyFont="1" applyBorder="1" applyAlignment="1" applyProtection="1">
      <alignment horizontal="left" vertical="center"/>
      <protection locked="0"/>
    </xf>
    <xf numFmtId="0" fontId="9" fillId="0" borderId="5" xfId="0" applyFont="1" applyBorder="1" applyProtection="1">
      <alignment vertical="center"/>
      <protection locked="0"/>
    </xf>
    <xf numFmtId="0" fontId="40" fillId="0" borderId="4" xfId="0" applyFont="1" applyBorder="1" applyAlignment="1" applyProtection="1">
      <alignment horizontal="left" vertical="center"/>
      <protection locked="0"/>
    </xf>
    <xf numFmtId="0" fontId="43" fillId="0" borderId="4" xfId="0" applyFont="1" applyBorder="1" applyAlignment="1" applyProtection="1">
      <alignment horizontal="left" vertical="center"/>
      <protection locked="0"/>
    </xf>
    <xf numFmtId="0" fontId="12" fillId="0" borderId="4" xfId="0" applyFont="1" applyBorder="1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40" fillId="0" borderId="7" xfId="0" applyFont="1" applyBorder="1" applyAlignment="1" applyProtection="1">
      <alignment horizontal="left" vertical="center"/>
      <protection locked="0"/>
    </xf>
    <xf numFmtId="0" fontId="87" fillId="0" borderId="4" xfId="0" applyFont="1" applyBorder="1" applyAlignment="1" applyProtection="1">
      <alignment horizontal="left" vertical="center" shrinkToFit="1"/>
      <protection locked="0"/>
    </xf>
    <xf numFmtId="0" fontId="86" fillId="0" borderId="4" xfId="0" applyFont="1" applyBorder="1" applyAlignment="1" applyProtection="1">
      <alignment horizontal="left" vertical="center" shrinkToFit="1"/>
      <protection locked="0"/>
    </xf>
    <xf numFmtId="0" fontId="40" fillId="39" borderId="4" xfId="77" applyFont="1" applyFill="1" applyBorder="1" applyAlignment="1" applyProtection="1">
      <alignment horizontal="left" vertical="center" shrinkToFit="1"/>
      <protection locked="0"/>
    </xf>
    <xf numFmtId="0" fontId="9" fillId="39" borderId="4" xfId="77" applyFont="1" applyFill="1" applyBorder="1" applyAlignment="1" applyProtection="1">
      <alignment horizontal="left" vertical="center" shrinkToFit="1"/>
      <protection locked="0"/>
    </xf>
    <xf numFmtId="0" fontId="11" fillId="39" borderId="4" xfId="77" applyFont="1" applyFill="1" applyBorder="1" applyAlignment="1" applyProtection="1">
      <alignment horizontal="left" vertical="center" shrinkToFit="1"/>
      <protection locked="0"/>
    </xf>
    <xf numFmtId="0" fontId="9" fillId="0" borderId="4" xfId="77" applyFont="1" applyBorder="1" applyAlignment="1" applyProtection="1">
      <alignment horizontal="left" vertical="center" shrinkToFit="1"/>
      <protection locked="0"/>
    </xf>
    <xf numFmtId="0" fontId="11" fillId="0" borderId="4" xfId="77" applyFont="1" applyBorder="1" applyAlignment="1" applyProtection="1">
      <alignment horizontal="left" vertical="center" shrinkToFit="1"/>
      <protection locked="0"/>
    </xf>
    <xf numFmtId="0" fontId="9" fillId="0" borderId="8" xfId="0" applyFont="1" applyBorder="1" applyAlignment="1" applyProtection="1">
      <alignment horizontal="left" vertical="center" shrinkToFit="1"/>
      <protection locked="0"/>
    </xf>
    <xf numFmtId="49" fontId="9" fillId="0" borderId="5" xfId="0" applyNumberFormat="1" applyFont="1" applyBorder="1" applyAlignment="1" applyProtection="1">
      <alignment horizontal="left" vertical="center" shrinkToFit="1"/>
      <protection locked="0"/>
    </xf>
    <xf numFmtId="0" fontId="9" fillId="0" borderId="5" xfId="0" applyFont="1" applyBorder="1" applyAlignment="1" applyProtection="1">
      <alignment horizontal="left" vertical="center" shrinkToFit="1"/>
      <protection locked="0"/>
    </xf>
    <xf numFmtId="49" fontId="9" fillId="39" borderId="7" xfId="0" applyNumberFormat="1" applyFont="1" applyFill="1" applyBorder="1" applyAlignment="1" applyProtection="1">
      <alignment horizontal="left" vertical="center"/>
      <protection locked="0"/>
    </xf>
    <xf numFmtId="0" fontId="9" fillId="39" borderId="7" xfId="0" applyFont="1" applyFill="1" applyBorder="1" applyAlignment="1" applyProtection="1">
      <alignment horizontal="left" vertical="center"/>
      <protection locked="0"/>
    </xf>
    <xf numFmtId="0" fontId="40" fillId="39" borderId="4" xfId="0" applyFont="1" applyFill="1" applyBorder="1" applyAlignment="1" applyProtection="1">
      <alignment horizontal="center" vertical="center"/>
      <protection locked="0"/>
    </xf>
    <xf numFmtId="0" fontId="9" fillId="39" borderId="5" xfId="0" applyFont="1" applyFill="1" applyBorder="1" applyAlignment="1" applyProtection="1">
      <alignment horizontal="left" vertical="center"/>
      <protection locked="0"/>
    </xf>
    <xf numFmtId="0" fontId="9" fillId="39" borderId="5" xfId="0" applyFont="1" applyFill="1" applyBorder="1" applyProtection="1">
      <alignment vertical="center"/>
      <protection locked="0"/>
    </xf>
    <xf numFmtId="0" fontId="43" fillId="39" borderId="4" xfId="0" applyFont="1" applyFill="1" applyBorder="1" applyAlignment="1" applyProtection="1">
      <alignment horizontal="left" vertical="center"/>
      <protection locked="0"/>
    </xf>
    <xf numFmtId="49" fontId="9" fillId="39" borderId="4" xfId="0" applyNumberFormat="1" applyFont="1" applyFill="1" applyBorder="1" applyAlignment="1" applyProtection="1">
      <alignment horizontal="center" vertical="center"/>
      <protection locked="0"/>
    </xf>
    <xf numFmtId="0" fontId="12" fillId="39" borderId="4" xfId="0" applyFont="1" applyFill="1" applyBorder="1" applyProtection="1">
      <alignment vertical="center"/>
      <protection locked="0"/>
    </xf>
    <xf numFmtId="0" fontId="12" fillId="39" borderId="4" xfId="0" applyFont="1" applyFill="1" applyBorder="1" applyAlignment="1" applyProtection="1">
      <alignment horizontal="left" vertical="center"/>
      <protection locked="0"/>
    </xf>
    <xf numFmtId="0" fontId="12" fillId="39" borderId="4" xfId="0" applyFont="1" applyFill="1" applyBorder="1" applyAlignment="1">
      <alignment horizontal="left" vertical="center" shrinkToFit="1"/>
    </xf>
    <xf numFmtId="0" fontId="91" fillId="39" borderId="4" xfId="0" applyFont="1" applyFill="1" applyBorder="1" applyAlignment="1" applyProtection="1">
      <alignment horizontal="left" vertical="center" shrinkToFit="1"/>
      <protection locked="0"/>
    </xf>
    <xf numFmtId="49" fontId="9" fillId="0" borderId="4" xfId="0" applyNumberFormat="1" applyFont="1" applyBorder="1" applyAlignment="1" applyProtection="1">
      <alignment horizontal="left" vertical="center" shrinkToFit="1"/>
      <protection locked="0"/>
    </xf>
    <xf numFmtId="0" fontId="79" fillId="39" borderId="4" xfId="0" applyFont="1" applyFill="1" applyBorder="1" applyAlignment="1" applyProtection="1">
      <alignment horizontal="left" vertical="center" shrinkToFit="1"/>
      <protection locked="0"/>
    </xf>
    <xf numFmtId="177" fontId="49" fillId="39" borderId="4" xfId="0" applyNumberFormat="1" applyFont="1" applyFill="1" applyBorder="1" applyAlignment="1" applyProtection="1">
      <alignment horizontal="left" vertical="center" shrinkToFit="1"/>
      <protection locked="0"/>
    </xf>
    <xf numFmtId="0" fontId="80" fillId="39" borderId="4" xfId="0" applyFont="1" applyFill="1" applyBorder="1" applyAlignment="1" applyProtection="1">
      <alignment horizontal="left" vertical="center" shrinkToFit="1"/>
      <protection locked="0"/>
    </xf>
    <xf numFmtId="0" fontId="40" fillId="39" borderId="4" xfId="0" applyFont="1" applyFill="1" applyBorder="1" applyAlignment="1" applyProtection="1">
      <alignment horizontal="center" vertical="center" shrinkToFit="1"/>
      <protection locked="0"/>
    </xf>
    <xf numFmtId="49" fontId="9" fillId="0" borderId="4" xfId="0" applyNumberFormat="1" applyFont="1" applyBorder="1" applyAlignment="1" applyProtection="1">
      <alignment horizontal="center" vertical="center"/>
      <protection locked="0"/>
    </xf>
    <xf numFmtId="0" fontId="42" fillId="6" borderId="4" xfId="0" applyFont="1" applyFill="1" applyBorder="1" applyAlignment="1" applyProtection="1">
      <alignment horizontal="left" vertical="center" shrinkToFit="1"/>
      <protection locked="0"/>
    </xf>
    <xf numFmtId="0" fontId="40" fillId="0" borderId="4" xfId="0" applyFont="1" applyBorder="1" applyAlignment="1" applyProtection="1">
      <alignment horizontal="left" vertical="center" wrapText="1" shrinkToFit="1"/>
      <protection locked="0"/>
    </xf>
    <xf numFmtId="0" fontId="74" fillId="39" borderId="4" xfId="77" applyFont="1" applyFill="1" applyBorder="1" applyAlignment="1" applyProtection="1">
      <alignment horizontal="left" vertical="center" shrinkToFit="1"/>
      <protection locked="0"/>
    </xf>
    <xf numFmtId="0" fontId="74" fillId="39" borderId="4" xfId="77" applyFont="1" applyFill="1" applyBorder="1" applyAlignment="1" applyProtection="1">
      <alignment horizontal="center" vertical="center" shrinkToFit="1"/>
      <protection locked="0"/>
    </xf>
    <xf numFmtId="0" fontId="91" fillId="0" borderId="4" xfId="0" applyFont="1" applyBorder="1" applyAlignment="1" applyProtection="1">
      <alignment horizontal="left" vertical="center" wrapText="1" shrinkToFit="1"/>
      <protection locked="0"/>
    </xf>
    <xf numFmtId="0" fontId="49" fillId="0" borderId="4" xfId="0" applyFont="1" applyBorder="1" applyAlignment="1" applyProtection="1">
      <alignment horizontal="left" vertical="center"/>
      <protection locked="0"/>
    </xf>
    <xf numFmtId="0" fontId="92" fillId="0" borderId="4" xfId="0" applyFont="1" applyBorder="1" applyProtection="1">
      <alignment vertical="center"/>
      <protection locked="0"/>
    </xf>
    <xf numFmtId="0" fontId="92" fillId="0" borderId="4" xfId="0" applyFont="1" applyBorder="1" applyAlignment="1" applyProtection="1">
      <alignment horizontal="left" vertical="center"/>
      <protection locked="0"/>
    </xf>
    <xf numFmtId="0" fontId="47" fillId="0" borderId="4" xfId="0" applyFont="1" applyBorder="1" applyAlignment="1" applyProtection="1">
      <alignment horizontal="left" vertical="center"/>
      <protection locked="0"/>
    </xf>
    <xf numFmtId="0" fontId="17" fillId="39" borderId="4" xfId="0" applyFont="1" applyFill="1" applyBorder="1" applyAlignment="1" applyProtection="1">
      <alignment horizontal="center" vertical="center" shrinkToFit="1"/>
      <protection locked="0"/>
    </xf>
    <xf numFmtId="0" fontId="49" fillId="39" borderId="4" xfId="0" applyFont="1" applyFill="1" applyBorder="1" applyProtection="1">
      <alignment vertical="center"/>
      <protection locked="0"/>
    </xf>
    <xf numFmtId="0" fontId="80" fillId="39" borderId="4" xfId="0" applyFont="1" applyFill="1" applyBorder="1" applyProtection="1">
      <alignment vertical="center"/>
      <protection locked="0"/>
    </xf>
    <xf numFmtId="0" fontId="40" fillId="39" borderId="7" xfId="0" applyFont="1" applyFill="1" applyBorder="1" applyAlignment="1" applyProtection="1">
      <alignment horizontal="left" vertical="center"/>
      <protection locked="0"/>
    </xf>
    <xf numFmtId="0" fontId="40" fillId="39" borderId="4" xfId="0" applyFont="1" applyFill="1" applyBorder="1" applyAlignment="1" applyProtection="1">
      <alignment horizontal="left" vertical="center"/>
      <protection locked="0"/>
    </xf>
    <xf numFmtId="0" fontId="93" fillId="6" borderId="4" xfId="86" applyFont="1" applyFill="1" applyBorder="1" applyAlignment="1" applyProtection="1">
      <alignment horizontal="left" vertical="center" shrinkToFit="1"/>
      <protection locked="0"/>
    </xf>
    <xf numFmtId="0" fontId="42" fillId="0" borderId="4" xfId="86" applyFont="1" applyBorder="1" applyAlignment="1" applyProtection="1">
      <alignment horizontal="left" vertical="center" shrinkToFit="1"/>
      <protection locked="0"/>
    </xf>
    <xf numFmtId="0" fontId="39" fillId="39" borderId="4" xfId="0" applyFont="1" applyFill="1" applyBorder="1" applyAlignment="1" applyProtection="1">
      <alignment horizontal="left" vertical="center" shrinkToFit="1"/>
      <protection locked="0"/>
    </xf>
    <xf numFmtId="0" fontId="56" fillId="0" borderId="2" xfId="0" applyFont="1" applyBorder="1" applyAlignment="1">
      <alignment horizontal="center" vertical="center" wrapText="1" shrinkToFit="1"/>
    </xf>
    <xf numFmtId="0" fontId="56" fillId="0" borderId="3" xfId="0" applyFont="1" applyBorder="1" applyAlignment="1">
      <alignment horizontal="center" vertical="center" wrapText="1" shrinkToFit="1"/>
    </xf>
    <xf numFmtId="0" fontId="5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65" fillId="7" borderId="2" xfId="0" applyFont="1" applyFill="1" applyBorder="1" applyAlignment="1">
      <alignment horizontal="center" vertical="center" textRotation="255"/>
    </xf>
    <xf numFmtId="0" fontId="64" fillId="7" borderId="3" xfId="0" applyFont="1" applyFill="1" applyBorder="1" applyAlignment="1">
      <alignment horizontal="center" vertical="center" textRotation="255"/>
    </xf>
    <xf numFmtId="0" fontId="64" fillId="7" borderId="2" xfId="0" applyFont="1" applyFill="1" applyBorder="1" applyAlignment="1">
      <alignment horizontal="center" vertical="center" textRotation="255"/>
    </xf>
    <xf numFmtId="0" fontId="45" fillId="0" borderId="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 shrinkToFit="1"/>
    </xf>
    <xf numFmtId="0" fontId="56" fillId="0" borderId="3" xfId="0" applyFont="1" applyBorder="1" applyAlignment="1">
      <alignment horizontal="center" vertical="center" shrinkToFit="1"/>
    </xf>
    <xf numFmtId="0" fontId="56" fillId="0" borderId="2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</cellXfs>
  <cellStyles count="88">
    <cellStyle name="20% - 强调文字颜色 1 2" xfId="1" xr:uid="{00000000-0005-0000-0000-000000000000}"/>
    <cellStyle name="20% - 强调文字颜色 1 2 2" xfId="13" xr:uid="{00000000-0005-0000-0000-000001000000}"/>
    <cellStyle name="20% - 强调文字颜色 2 2" xfId="80" xr:uid="{00000000-0005-0000-0000-000002000000}"/>
    <cellStyle name="20% - 强调文字颜色 2 2 2" xfId="2" xr:uid="{00000000-0005-0000-0000-000003000000}"/>
    <cellStyle name="20% - 强调文字颜色 3 2" xfId="25" xr:uid="{00000000-0005-0000-0000-000004000000}"/>
    <cellStyle name="20% - 强调文字颜色 3 2 2" xfId="26" xr:uid="{00000000-0005-0000-0000-000005000000}"/>
    <cellStyle name="20% - 强调文字颜色 4 2" xfId="76" xr:uid="{00000000-0005-0000-0000-000006000000}"/>
    <cellStyle name="20% - 强调文字颜色 4 2 2" xfId="28" xr:uid="{00000000-0005-0000-0000-000007000000}"/>
    <cellStyle name="20% - 强调文字颜色 5 2" xfId="22" xr:uid="{00000000-0005-0000-0000-000008000000}"/>
    <cellStyle name="20% - 强调文字颜色 5 2 2" xfId="11" xr:uid="{00000000-0005-0000-0000-000009000000}"/>
    <cellStyle name="20% - 强调文字颜色 6 2" xfId="30" xr:uid="{00000000-0005-0000-0000-00000A000000}"/>
    <cellStyle name="20% - 强调文字颜色 6 2 2" xfId="31" xr:uid="{00000000-0005-0000-0000-00000B000000}"/>
    <cellStyle name="40% - 强调文字颜色 1 2" xfId="74" xr:uid="{00000000-0005-0000-0000-00000C000000}"/>
    <cellStyle name="40% - 强调文字颜色 1 2 2" xfId="45" xr:uid="{00000000-0005-0000-0000-00000D000000}"/>
    <cellStyle name="40% - 强调文字颜色 2 2" xfId="33" xr:uid="{00000000-0005-0000-0000-00000E000000}"/>
    <cellStyle name="40% - 强调文字颜色 2 2 2" xfId="36" xr:uid="{00000000-0005-0000-0000-00000F000000}"/>
    <cellStyle name="40% - 强调文字颜色 3 2" xfId="42" xr:uid="{00000000-0005-0000-0000-000010000000}"/>
    <cellStyle name="40% - 强调文字颜色 3 2 2" xfId="38" xr:uid="{00000000-0005-0000-0000-000011000000}"/>
    <cellStyle name="40% - 强调文字颜色 4 2" xfId="20" xr:uid="{00000000-0005-0000-0000-000012000000}"/>
    <cellStyle name="40% - 强调文字颜色 4 2 2" xfId="24" xr:uid="{00000000-0005-0000-0000-000013000000}"/>
    <cellStyle name="40% - 强调文字颜色 5 2" xfId="15" xr:uid="{00000000-0005-0000-0000-000014000000}"/>
    <cellStyle name="40% - 强调文字颜色 5 2 2" xfId="40" xr:uid="{00000000-0005-0000-0000-000015000000}"/>
    <cellStyle name="40% - 强调文字颜色 6 2" xfId="78" xr:uid="{00000000-0005-0000-0000-000016000000}"/>
    <cellStyle name="40% - 强调文字颜色 6 2 2" xfId="49" xr:uid="{00000000-0005-0000-0000-000017000000}"/>
    <cellStyle name="60% - 强调文字颜色 1 2" xfId="46" xr:uid="{00000000-0005-0000-0000-000018000000}"/>
    <cellStyle name="60% - 强调文字颜色 1 2 2" xfId="14" xr:uid="{00000000-0005-0000-0000-000019000000}"/>
    <cellStyle name="60% - 强调文字颜色 2 2" xfId="50" xr:uid="{00000000-0005-0000-0000-00001A000000}"/>
    <cellStyle name="60% - 强调文字颜色 2 2 2" xfId="71" xr:uid="{00000000-0005-0000-0000-00001B000000}"/>
    <cellStyle name="60% - 强调文字颜色 3 2" xfId="51" xr:uid="{00000000-0005-0000-0000-00001C000000}"/>
    <cellStyle name="60% - 强调文字颜色 3 2 2" xfId="53" xr:uid="{00000000-0005-0000-0000-00001D000000}"/>
    <cellStyle name="60% - 强调文字颜色 4 2" xfId="3" xr:uid="{00000000-0005-0000-0000-00001E000000}"/>
    <cellStyle name="60% - 强调文字颜色 4 2 2" xfId="72" xr:uid="{00000000-0005-0000-0000-00001F000000}"/>
    <cellStyle name="60% - 强调文字颜色 5 2" xfId="5" xr:uid="{00000000-0005-0000-0000-000020000000}"/>
    <cellStyle name="60% - 强调文字颜色 5 2 2" xfId="9" xr:uid="{00000000-0005-0000-0000-000021000000}"/>
    <cellStyle name="60% - 强调文字颜色 6 2" xfId="8" xr:uid="{00000000-0005-0000-0000-000022000000}"/>
    <cellStyle name="60% - 强调文字颜色 6 2 2" xfId="55" xr:uid="{00000000-0005-0000-0000-000023000000}"/>
    <cellStyle name="标题 1 2" xfId="47" xr:uid="{00000000-0005-0000-0000-000024000000}"/>
    <cellStyle name="标题 1 2 2" xfId="56" xr:uid="{00000000-0005-0000-0000-000025000000}"/>
    <cellStyle name="标题 2 2" xfId="6" xr:uid="{00000000-0005-0000-0000-000026000000}"/>
    <cellStyle name="标题 2 2 2" xfId="12" xr:uid="{00000000-0005-0000-0000-000027000000}"/>
    <cellStyle name="标题 3 2" xfId="59" xr:uid="{00000000-0005-0000-0000-000028000000}"/>
    <cellStyle name="标题 3 2 2" xfId="18" xr:uid="{00000000-0005-0000-0000-000029000000}"/>
    <cellStyle name="标题 4 2" xfId="29" xr:uid="{00000000-0005-0000-0000-00002A000000}"/>
    <cellStyle name="标题 4 2 2" xfId="81" xr:uid="{00000000-0005-0000-0000-00002B000000}"/>
    <cellStyle name="标题 5" xfId="4" xr:uid="{00000000-0005-0000-0000-00002C000000}"/>
    <cellStyle name="标题 5 2" xfId="57" xr:uid="{00000000-0005-0000-0000-00002D000000}"/>
    <cellStyle name="差 2" xfId="60" xr:uid="{00000000-0005-0000-0000-00002E000000}"/>
    <cellStyle name="差 2 2" xfId="62" xr:uid="{00000000-0005-0000-0000-00002F000000}"/>
    <cellStyle name="常规" xfId="0" builtinId="0"/>
    <cellStyle name="常规 2" xfId="86" xr:uid="{00000000-0005-0000-0000-000031000000}"/>
    <cellStyle name="常规 2 2" xfId="7" xr:uid="{00000000-0005-0000-0000-000032000000}"/>
    <cellStyle name="常规 20" xfId="61" xr:uid="{00000000-0005-0000-0000-000033000000}"/>
    <cellStyle name="常规 3" xfId="77" xr:uid="{00000000-0005-0000-0000-000034000000}"/>
    <cellStyle name="超链接" xfId="37" builtinId="8"/>
    <cellStyle name="好 2" xfId="63" xr:uid="{00000000-0005-0000-0000-000036000000}"/>
    <cellStyle name="好 2 2" xfId="85" xr:uid="{00000000-0005-0000-0000-000037000000}"/>
    <cellStyle name="汇总 2" xfId="87" xr:uid="{00000000-0005-0000-0000-000038000000}"/>
    <cellStyle name="汇总 2 2" xfId="70" xr:uid="{00000000-0005-0000-0000-000039000000}"/>
    <cellStyle name="计算 2" xfId="27" xr:uid="{00000000-0005-0000-0000-00003A000000}"/>
    <cellStyle name="计算 2 2" xfId="84" xr:uid="{00000000-0005-0000-0000-00003B000000}"/>
    <cellStyle name="检查单元格 2" xfId="32" xr:uid="{00000000-0005-0000-0000-00003C000000}"/>
    <cellStyle name="检查单元格 2 2" xfId="82" xr:uid="{00000000-0005-0000-0000-00003D000000}"/>
    <cellStyle name="解释性文本 2" xfId="73" xr:uid="{00000000-0005-0000-0000-00003E000000}"/>
    <cellStyle name="解释性文本 2 2" xfId="83" xr:uid="{00000000-0005-0000-0000-00003F000000}"/>
    <cellStyle name="警告文本 2" xfId="64" xr:uid="{00000000-0005-0000-0000-000040000000}"/>
    <cellStyle name="警告文本 2 2" xfId="65" xr:uid="{00000000-0005-0000-0000-000041000000}"/>
    <cellStyle name="链接单元格 2" xfId="66" xr:uid="{00000000-0005-0000-0000-000042000000}"/>
    <cellStyle name="链接单元格 2 2" xfId="67" xr:uid="{00000000-0005-0000-0000-000043000000}"/>
    <cellStyle name="强调文字颜色 1 2" xfId="75" xr:uid="{00000000-0005-0000-0000-000044000000}"/>
    <cellStyle name="强调文字颜色 1 2 2" xfId="44" xr:uid="{00000000-0005-0000-0000-000045000000}"/>
    <cellStyle name="强调文字颜色 2 2" xfId="34" xr:uid="{00000000-0005-0000-0000-000046000000}"/>
    <cellStyle name="强调文字颜色 2 2 2" xfId="35" xr:uid="{00000000-0005-0000-0000-000047000000}"/>
    <cellStyle name="强调文字颜色 3 2" xfId="43" xr:uid="{00000000-0005-0000-0000-000048000000}"/>
    <cellStyle name="强调文字颜色 3 2 2" xfId="39" xr:uid="{00000000-0005-0000-0000-000049000000}"/>
    <cellStyle name="强调文字颜色 4 2" xfId="19" xr:uid="{00000000-0005-0000-0000-00004A000000}"/>
    <cellStyle name="强调文字颜色 4 2 2" xfId="23" xr:uid="{00000000-0005-0000-0000-00004B000000}"/>
    <cellStyle name="强调文字颜色 5 2" xfId="16" xr:uid="{00000000-0005-0000-0000-00004C000000}"/>
    <cellStyle name="强调文字颜色 5 2 2" xfId="41" xr:uid="{00000000-0005-0000-0000-00004D000000}"/>
    <cellStyle name="强调文字颜色 6 2" xfId="79" xr:uid="{00000000-0005-0000-0000-00004E000000}"/>
    <cellStyle name="强调文字颜色 6 2 2" xfId="48" xr:uid="{00000000-0005-0000-0000-00004F000000}"/>
    <cellStyle name="适中 2" xfId="58" xr:uid="{00000000-0005-0000-0000-000050000000}"/>
    <cellStyle name="适中 2 2" xfId="17" xr:uid="{00000000-0005-0000-0000-000051000000}"/>
    <cellStyle name="输出 2" xfId="21" xr:uid="{00000000-0005-0000-0000-000052000000}"/>
    <cellStyle name="输出 2 2" xfId="10" xr:uid="{00000000-0005-0000-0000-000053000000}"/>
    <cellStyle name="输入 2" xfId="52" xr:uid="{00000000-0005-0000-0000-000054000000}"/>
    <cellStyle name="输入 2 2" xfId="54" xr:uid="{00000000-0005-0000-0000-000055000000}"/>
    <cellStyle name="注释 2" xfId="68" xr:uid="{00000000-0005-0000-0000-000056000000}"/>
    <cellStyle name="注释 2 2" xfId="69" xr:uid="{00000000-0005-0000-0000-000057000000}"/>
  </cellStyles>
  <dxfs count="0"/>
  <tableStyles count="0" defaultTableStyle="TableStyleMedium9" defaultPivotStyle="PivotStyleLight16"/>
  <colors>
    <mruColors>
      <color rgb="FFFFFF00"/>
      <color rgb="FF0000FF"/>
      <color rgb="FFFFFFFF"/>
      <color rgb="FF9900FF"/>
      <color rgb="FF6600CC"/>
      <color rgb="FFF0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instrument.com.cn/netshow/SH100959/Q1078563.htm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7"/>
  <sheetViews>
    <sheetView tabSelected="1" workbookViewId="0">
      <selection activeCell="J29" sqref="J29"/>
    </sheetView>
  </sheetViews>
  <sheetFormatPr defaultColWidth="9.875" defaultRowHeight="13.5" x14ac:dyDescent="0.15"/>
  <cols>
    <col min="1" max="1" width="2.125" style="1" customWidth="1"/>
    <col min="2" max="2" width="19.125" style="2" customWidth="1"/>
    <col min="3" max="3" width="31.5" style="1" customWidth="1"/>
    <col min="4" max="16384" width="9.875" style="1"/>
  </cols>
  <sheetData>
    <row r="2" spans="2:4" ht="14.25" x14ac:dyDescent="0.15">
      <c r="B2" s="3" t="s">
        <v>155</v>
      </c>
      <c r="C2" s="3" t="s">
        <v>156</v>
      </c>
    </row>
    <row r="3" spans="2:4" ht="15" x14ac:dyDescent="0.2">
      <c r="B3" s="4" t="s">
        <v>157</v>
      </c>
      <c r="C3" s="5" t="s">
        <v>158</v>
      </c>
      <c r="D3" s="6"/>
    </row>
    <row r="4" spans="2:4" ht="15" x14ac:dyDescent="0.2">
      <c r="B4" s="4" t="s">
        <v>159</v>
      </c>
      <c r="C4" s="5" t="s">
        <v>160</v>
      </c>
      <c r="D4" s="6"/>
    </row>
    <row r="5" spans="2:4" ht="15" x14ac:dyDescent="0.2">
      <c r="B5" s="4" t="s">
        <v>161</v>
      </c>
      <c r="C5" s="5" t="s">
        <v>162</v>
      </c>
      <c r="D5" s="6"/>
    </row>
    <row r="6" spans="2:4" ht="15" x14ac:dyDescent="0.2">
      <c r="B6" s="4" t="s">
        <v>163</v>
      </c>
      <c r="C6" s="7" t="s">
        <v>164</v>
      </c>
      <c r="D6" s="6"/>
    </row>
    <row r="7" spans="2:4" ht="15" x14ac:dyDescent="0.2">
      <c r="B7" s="4" t="s">
        <v>165</v>
      </c>
      <c r="C7" s="7" t="s">
        <v>166</v>
      </c>
      <c r="D7" s="6"/>
    </row>
    <row r="8" spans="2:4" ht="15" x14ac:dyDescent="0.2">
      <c r="B8" s="4" t="s">
        <v>167</v>
      </c>
      <c r="C8" s="7" t="s">
        <v>168</v>
      </c>
      <c r="D8" s="6"/>
    </row>
    <row r="9" spans="2:4" ht="15" x14ac:dyDescent="0.2">
      <c r="B9" s="4" t="s">
        <v>169</v>
      </c>
      <c r="C9" s="5" t="s">
        <v>170</v>
      </c>
      <c r="D9" s="6"/>
    </row>
    <row r="10" spans="2:4" ht="15" x14ac:dyDescent="0.2">
      <c r="B10" s="4" t="s">
        <v>171</v>
      </c>
      <c r="C10" s="5" t="s">
        <v>172</v>
      </c>
      <c r="D10" s="6"/>
    </row>
    <row r="11" spans="2:4" ht="15" x14ac:dyDescent="0.2">
      <c r="B11" s="4" t="s">
        <v>173</v>
      </c>
      <c r="C11" s="5" t="s">
        <v>174</v>
      </c>
      <c r="D11" s="6"/>
    </row>
    <row r="12" spans="2:4" ht="15" x14ac:dyDescent="0.2">
      <c r="B12" s="8" t="s">
        <v>2</v>
      </c>
      <c r="C12" s="9" t="s">
        <v>154</v>
      </c>
      <c r="D12" s="6"/>
    </row>
    <row r="13" spans="2:4" ht="15" x14ac:dyDescent="0.2">
      <c r="B13" s="4" t="s">
        <v>175</v>
      </c>
      <c r="C13" s="7" t="s">
        <v>176</v>
      </c>
      <c r="D13" s="6"/>
    </row>
    <row r="14" spans="2:4" ht="15" x14ac:dyDescent="0.2">
      <c r="B14" s="8" t="s">
        <v>0</v>
      </c>
      <c r="C14" s="9" t="s">
        <v>150</v>
      </c>
      <c r="D14" s="6"/>
    </row>
    <row r="15" spans="2:4" ht="15" x14ac:dyDescent="0.2">
      <c r="B15" s="8" t="s">
        <v>135</v>
      </c>
      <c r="C15" s="9" t="s">
        <v>149</v>
      </c>
      <c r="D15" s="6"/>
    </row>
    <row r="16" spans="2:4" ht="15" x14ac:dyDescent="0.2">
      <c r="B16" s="8" t="s">
        <v>140</v>
      </c>
      <c r="C16" s="9" t="s">
        <v>177</v>
      </c>
      <c r="D16" s="6"/>
    </row>
    <row r="17" spans="2:6" ht="15" x14ac:dyDescent="0.2">
      <c r="B17" s="4" t="s">
        <v>178</v>
      </c>
      <c r="C17" s="5" t="s">
        <v>179</v>
      </c>
      <c r="D17" s="6"/>
    </row>
    <row r="18" spans="2:6" ht="15" x14ac:dyDescent="0.2">
      <c r="B18" s="4" t="s">
        <v>180</v>
      </c>
      <c r="C18" s="5" t="s">
        <v>181</v>
      </c>
      <c r="D18" s="6"/>
    </row>
    <row r="19" spans="2:6" ht="15" x14ac:dyDescent="0.2">
      <c r="B19" s="4" t="s">
        <v>182</v>
      </c>
      <c r="C19" s="5" t="s">
        <v>183</v>
      </c>
      <c r="D19" s="6"/>
    </row>
    <row r="20" spans="2:6" ht="15" x14ac:dyDescent="0.2">
      <c r="B20" s="4" t="s">
        <v>184</v>
      </c>
      <c r="C20" s="5" t="s">
        <v>185</v>
      </c>
      <c r="D20" s="6"/>
      <c r="F20" s="1" t="s">
        <v>186</v>
      </c>
    </row>
    <row r="21" spans="2:6" ht="15" x14ac:dyDescent="0.2">
      <c r="B21" s="4" t="s">
        <v>187</v>
      </c>
      <c r="C21" s="5" t="s">
        <v>188</v>
      </c>
    </row>
    <row r="22" spans="2:6" ht="15" x14ac:dyDescent="0.2">
      <c r="B22" s="4" t="s">
        <v>189</v>
      </c>
      <c r="C22" s="5" t="s">
        <v>190</v>
      </c>
    </row>
    <row r="23" spans="2:6" ht="15" x14ac:dyDescent="0.2">
      <c r="B23" s="4" t="s">
        <v>191</v>
      </c>
      <c r="C23" s="5" t="s">
        <v>192</v>
      </c>
      <c r="D23" s="6"/>
    </row>
    <row r="24" spans="2:6" ht="15" x14ac:dyDescent="0.2">
      <c r="B24" s="4" t="s">
        <v>193</v>
      </c>
      <c r="C24" s="5" t="s">
        <v>194</v>
      </c>
      <c r="D24" s="6"/>
    </row>
    <row r="25" spans="2:6" ht="15" x14ac:dyDescent="0.2">
      <c r="B25" s="4" t="s">
        <v>195</v>
      </c>
      <c r="C25" s="5" t="s">
        <v>196</v>
      </c>
      <c r="D25" s="6"/>
    </row>
    <row r="26" spans="2:6" ht="15" x14ac:dyDescent="0.2">
      <c r="B26" s="4" t="s">
        <v>197</v>
      </c>
      <c r="C26" s="5" t="s">
        <v>198</v>
      </c>
      <c r="D26" s="6"/>
    </row>
    <row r="27" spans="2:6" ht="15" x14ac:dyDescent="0.2">
      <c r="B27" s="4" t="s">
        <v>199</v>
      </c>
      <c r="C27" s="5" t="s">
        <v>200</v>
      </c>
      <c r="D27" s="6"/>
    </row>
    <row r="28" spans="2:6" ht="15" x14ac:dyDescent="0.2">
      <c r="B28" s="4" t="s">
        <v>201</v>
      </c>
      <c r="C28" s="5" t="s">
        <v>202</v>
      </c>
      <c r="D28" s="6"/>
    </row>
    <row r="29" spans="2:6" ht="15" x14ac:dyDescent="0.2">
      <c r="B29" s="4" t="s">
        <v>203</v>
      </c>
      <c r="C29" s="5" t="s">
        <v>204</v>
      </c>
      <c r="D29" s="6"/>
    </row>
    <row r="30" spans="2:6" ht="15" x14ac:dyDescent="0.2">
      <c r="B30" s="4" t="s">
        <v>205</v>
      </c>
      <c r="C30" s="5" t="s">
        <v>206</v>
      </c>
      <c r="D30" s="6"/>
    </row>
    <row r="31" spans="2:6" ht="15" x14ac:dyDescent="0.2">
      <c r="B31" s="4" t="s">
        <v>207</v>
      </c>
      <c r="C31" s="5" t="s">
        <v>208</v>
      </c>
      <c r="D31" s="6"/>
    </row>
    <row r="32" spans="2:6" ht="15" x14ac:dyDescent="0.2">
      <c r="B32" s="4" t="s">
        <v>209</v>
      </c>
      <c r="C32" s="5" t="s">
        <v>210</v>
      </c>
      <c r="D32" s="6"/>
    </row>
    <row r="33" spans="2:2" x14ac:dyDescent="0.15">
      <c r="B33" s="1"/>
    </row>
    <row r="34" spans="2:2" x14ac:dyDescent="0.15">
      <c r="B34" s="1"/>
    </row>
    <row r="35" spans="2:2" x14ac:dyDescent="0.15">
      <c r="B35" s="1"/>
    </row>
    <row r="36" spans="2:2" x14ac:dyDescent="0.15">
      <c r="B36" s="1"/>
    </row>
    <row r="37" spans="2:2" x14ac:dyDescent="0.15">
      <c r="B37" s="1"/>
    </row>
  </sheetData>
  <phoneticPr fontId="38" type="noConversion"/>
  <hyperlinks>
    <hyperlink ref="C3" location="'G001'!A1" display="专用设施" xr:uid="{00000000-0004-0000-0400-000000000000}"/>
    <hyperlink ref="C4" location="'GO02'!A1" display="通用设施" xr:uid="{00000000-0004-0000-0400-000001000000}"/>
    <hyperlink ref="C5" location="'G003'!A1" display="电子设备" xr:uid="{00000000-0004-0000-04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04"/>
  <sheetViews>
    <sheetView showZeros="0" zoomScale="85" zoomScaleNormal="85" workbookViewId="0">
      <pane xSplit="2" ySplit="3" topLeftCell="C271" activePane="bottomRight" state="frozen"/>
      <selection pane="topRight" activeCell="C1" sqref="C1"/>
      <selection pane="bottomLeft" activeCell="A4" sqref="A4"/>
      <selection pane="bottomRight" activeCell="B289" sqref="B289"/>
    </sheetView>
  </sheetViews>
  <sheetFormatPr defaultColWidth="8.875" defaultRowHeight="16.5" customHeight="1" outlineLevelCol="1" x14ac:dyDescent="0.15"/>
  <cols>
    <col min="1" max="1" width="5.625" style="50" customWidth="1"/>
    <col min="2" max="2" width="25.625" style="50" customWidth="1"/>
    <col min="3" max="3" width="5.5" style="86" customWidth="1" outlineLevel="1"/>
    <col min="4" max="4" width="9.375" style="87" customWidth="1" outlineLevel="1"/>
    <col min="5" max="6" width="25.625" style="50" customWidth="1" outlineLevel="1"/>
    <col min="7" max="7" width="9.75" style="58" customWidth="1" outlineLevel="1"/>
    <col min="8" max="8" width="2.625" style="58" customWidth="1"/>
    <col min="9" max="9" width="17.875" style="54" customWidth="1" outlineLevel="1"/>
    <col min="10" max="10" width="5.625" style="88" customWidth="1" outlineLevel="1"/>
    <col min="11" max="11" width="5.625" style="58" customWidth="1" outlineLevel="1"/>
    <col min="12" max="12" width="5.625" style="88" customWidth="1" outlineLevel="1"/>
    <col min="13" max="13" width="5.625" style="87" customWidth="1" outlineLevel="1"/>
    <col min="14" max="14" width="9.75" style="58" customWidth="1" outlineLevel="1"/>
    <col min="15" max="15" width="9.625" style="50" customWidth="1" outlineLevel="1"/>
    <col min="16" max="16" width="9.625" style="132" customWidth="1" outlineLevel="1"/>
    <col min="17" max="17" width="9.75" style="50" customWidth="1" outlineLevel="1"/>
    <col min="18" max="18" width="2.625" style="58" customWidth="1"/>
    <col min="19" max="19" width="17.875" style="54" customWidth="1" outlineLevel="1"/>
    <col min="20" max="20" width="5.625" style="58" customWidth="1" outlineLevel="1"/>
    <col min="21" max="21" width="5.625" style="87" customWidth="1" outlineLevel="1"/>
    <col min="22" max="22" width="9.75" style="50" customWidth="1" outlineLevel="1"/>
    <col min="23" max="23" width="2.625" style="58" customWidth="1"/>
    <col min="24" max="25" width="5.625" style="87" customWidth="1" outlineLevel="1"/>
    <col min="26" max="26" width="9.75" style="50" customWidth="1" outlineLevel="1"/>
    <col min="27" max="27" width="2.625" style="58" customWidth="1"/>
    <col min="28" max="28" width="9.75" style="103" customWidth="1"/>
    <col min="29" max="16384" width="8.875" style="58"/>
  </cols>
  <sheetData>
    <row r="1" spans="1:28" s="71" customFormat="1" ht="30" customHeight="1" x14ac:dyDescent="0.15">
      <c r="A1" s="71" t="s">
        <v>1564</v>
      </c>
      <c r="C1" s="80"/>
      <c r="D1" s="81"/>
      <c r="F1" s="90"/>
      <c r="I1" s="51"/>
      <c r="J1" s="82"/>
      <c r="L1" s="82"/>
      <c r="M1" s="81"/>
      <c r="O1" s="49"/>
      <c r="P1" s="130"/>
      <c r="Q1" s="49"/>
      <c r="S1" s="51"/>
      <c r="T1" s="83"/>
      <c r="U1" s="81"/>
      <c r="V1" s="49"/>
      <c r="X1" s="81"/>
      <c r="Y1" s="81"/>
      <c r="Z1" s="49"/>
      <c r="AA1" s="84" t="s">
        <v>1533</v>
      </c>
      <c r="AB1" s="100">
        <f>COUNTA(A4:A1685)</f>
        <v>288</v>
      </c>
    </row>
    <row r="2" spans="1:28" s="71" customFormat="1" ht="19.899999999999999" customHeight="1" x14ac:dyDescent="0.15">
      <c r="A2" s="328" t="s">
        <v>1506</v>
      </c>
      <c r="B2" s="328" t="s">
        <v>1507</v>
      </c>
      <c r="C2" s="62" t="s">
        <v>1508</v>
      </c>
      <c r="D2" s="63"/>
      <c r="E2" s="328" t="s">
        <v>1509</v>
      </c>
      <c r="F2" s="328" t="s">
        <v>1510</v>
      </c>
      <c r="G2" s="335" t="s">
        <v>1511</v>
      </c>
      <c r="H2" s="332" t="s">
        <v>1512</v>
      </c>
      <c r="I2" s="337" t="s">
        <v>1239</v>
      </c>
      <c r="J2" s="333" t="s">
        <v>1513</v>
      </c>
      <c r="K2" s="338" t="s">
        <v>1514</v>
      </c>
      <c r="L2" s="340" t="s">
        <v>1515</v>
      </c>
      <c r="M2" s="342" t="s">
        <v>1516</v>
      </c>
      <c r="N2" s="344" t="s">
        <v>1561</v>
      </c>
      <c r="O2" s="139" t="s">
        <v>1517</v>
      </c>
      <c r="P2" s="133"/>
      <c r="Q2" s="65"/>
      <c r="R2" s="332" t="s">
        <v>1518</v>
      </c>
      <c r="S2" s="56" t="s">
        <v>1519</v>
      </c>
      <c r="T2" s="66"/>
      <c r="U2" s="67"/>
      <c r="V2" s="68"/>
      <c r="W2" s="332" t="s">
        <v>1520</v>
      </c>
      <c r="X2" s="55" t="s">
        <v>1563</v>
      </c>
      <c r="Y2" s="69"/>
      <c r="Z2" s="70"/>
      <c r="AA2" s="330" t="s">
        <v>1559</v>
      </c>
      <c r="AB2" s="326" t="s">
        <v>1522</v>
      </c>
    </row>
    <row r="3" spans="1:28" s="79" customFormat="1" ht="19.899999999999999" customHeight="1" x14ac:dyDescent="0.3">
      <c r="A3" s="329"/>
      <c r="B3" s="329"/>
      <c r="C3" s="72" t="s">
        <v>1523</v>
      </c>
      <c r="D3" s="73" t="s">
        <v>1524</v>
      </c>
      <c r="E3" s="329"/>
      <c r="F3" s="329"/>
      <c r="G3" s="336"/>
      <c r="H3" s="331"/>
      <c r="I3" s="337"/>
      <c r="J3" s="334"/>
      <c r="K3" s="339"/>
      <c r="L3" s="341"/>
      <c r="M3" s="343"/>
      <c r="N3" s="336"/>
      <c r="O3" s="74" t="s">
        <v>1525</v>
      </c>
      <c r="P3" s="131" t="s">
        <v>1526</v>
      </c>
      <c r="Q3" s="75" t="s">
        <v>1527</v>
      </c>
      <c r="R3" s="331"/>
      <c r="S3" s="57" t="s">
        <v>1244</v>
      </c>
      <c r="T3" s="76" t="s">
        <v>1528</v>
      </c>
      <c r="U3" s="77" t="s">
        <v>1529</v>
      </c>
      <c r="V3" s="75" t="s">
        <v>1530</v>
      </c>
      <c r="W3" s="331"/>
      <c r="X3" s="78" t="s">
        <v>1531</v>
      </c>
      <c r="Y3" s="78" t="s">
        <v>1529</v>
      </c>
      <c r="Z3" s="75" t="s">
        <v>1532</v>
      </c>
      <c r="AA3" s="331"/>
      <c r="AB3" s="327"/>
    </row>
    <row r="4" spans="1:28" s="45" customFormat="1" ht="19.899999999999999" customHeight="1" x14ac:dyDescent="0.3">
      <c r="A4" s="34">
        <v>1</v>
      </c>
      <c r="B4" s="89" t="s">
        <v>1562</v>
      </c>
      <c r="C4" s="29" t="s">
        <v>1565</v>
      </c>
      <c r="D4" s="13" t="str">
        <f t="shared" ref="D4:D67" si="0"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>玻璃仪器</v>
      </c>
      <c r="E4" s="18" t="s">
        <v>256</v>
      </c>
      <c r="F4" s="18" t="s">
        <v>263</v>
      </c>
      <c r="G4" s="15"/>
      <c r="H4" s="15"/>
      <c r="I4" s="15"/>
      <c r="J4" s="29" t="s">
        <v>821</v>
      </c>
      <c r="K4" s="16">
        <v>8</v>
      </c>
      <c r="L4" s="36" t="s">
        <v>823</v>
      </c>
      <c r="M4" s="13" t="str">
        <f t="shared" ref="M4:M67" si="1">IF(D4="危险化学品","五双",IF(D4="标准物资","严控",IF(D4&lt;&gt;"","常规","")))</f>
        <v>常规</v>
      </c>
      <c r="N4" s="25" t="s">
        <v>264</v>
      </c>
      <c r="O4" s="135" t="s">
        <v>2240</v>
      </c>
      <c r="P4" s="134">
        <v>2</v>
      </c>
      <c r="Q4" s="14"/>
      <c r="R4" s="15"/>
      <c r="S4" s="15"/>
      <c r="T4" s="15"/>
      <c r="U4" s="13" t="str">
        <f t="shared" ref="U4:U67" si="2">IF(L4="","",L4)</f>
        <v>个</v>
      </c>
      <c r="V4" s="14"/>
      <c r="W4" s="35"/>
      <c r="X4" s="13">
        <f>IF((K4-T4)&lt;=0,"",K4-T4)</f>
        <v>8</v>
      </c>
      <c r="Y4" s="13" t="str">
        <f t="shared" ref="Y4:Y67" si="3">IF(L4="","",L4)</f>
        <v>个</v>
      </c>
      <c r="Z4" s="14"/>
      <c r="AA4" s="35"/>
      <c r="AB4" s="101"/>
    </row>
    <row r="5" spans="1:28" s="45" customFormat="1" ht="19.899999999999999" customHeight="1" x14ac:dyDescent="0.3">
      <c r="A5" s="34">
        <v>2</v>
      </c>
      <c r="B5" s="12" t="s">
        <v>262</v>
      </c>
      <c r="C5" s="29" t="s">
        <v>2</v>
      </c>
      <c r="D5" s="32" t="str">
        <f t="shared" si="0"/>
        <v>玻璃仪器</v>
      </c>
      <c r="E5" s="14" t="s">
        <v>256</v>
      </c>
      <c r="F5" s="18" t="s">
        <v>265</v>
      </c>
      <c r="G5" s="15"/>
      <c r="H5" s="15"/>
      <c r="I5" s="15"/>
      <c r="J5" s="29" t="s">
        <v>821</v>
      </c>
      <c r="K5" s="16">
        <v>13</v>
      </c>
      <c r="L5" s="36" t="s">
        <v>823</v>
      </c>
      <c r="M5" s="32" t="str">
        <f t="shared" si="1"/>
        <v>常规</v>
      </c>
      <c r="N5" s="25" t="s">
        <v>266</v>
      </c>
      <c r="O5" s="135" t="s">
        <v>2240</v>
      </c>
      <c r="P5" s="134">
        <v>2</v>
      </c>
      <c r="Q5" s="14"/>
      <c r="R5" s="15"/>
      <c r="S5" s="15"/>
      <c r="T5" s="15"/>
      <c r="U5" s="32" t="str">
        <f t="shared" si="2"/>
        <v>个</v>
      </c>
      <c r="V5" s="14"/>
      <c r="W5" s="35"/>
      <c r="X5" s="32">
        <f t="shared" ref="X5:X67" si="4">IF((K5-T5)&lt;=0,"",K5-T5)</f>
        <v>13</v>
      </c>
      <c r="Y5" s="32" t="str">
        <f t="shared" si="3"/>
        <v>个</v>
      </c>
      <c r="Z5" s="14"/>
      <c r="AA5" s="35"/>
      <c r="AB5" s="101"/>
    </row>
    <row r="6" spans="1:28" s="45" customFormat="1" ht="19.899999999999999" customHeight="1" x14ac:dyDescent="0.3">
      <c r="A6" s="34">
        <v>3</v>
      </c>
      <c r="B6" s="12" t="s">
        <v>267</v>
      </c>
      <c r="C6" s="29" t="s">
        <v>2</v>
      </c>
      <c r="D6" s="32" t="str">
        <f t="shared" si="0"/>
        <v>玻璃仪器</v>
      </c>
      <c r="E6" s="14" t="s">
        <v>256</v>
      </c>
      <c r="F6" s="14" t="s">
        <v>2172</v>
      </c>
      <c r="G6" s="15"/>
      <c r="H6" s="15"/>
      <c r="I6" s="15"/>
      <c r="J6" s="29" t="s">
        <v>821</v>
      </c>
      <c r="K6" s="16">
        <v>16</v>
      </c>
      <c r="L6" s="29" t="s">
        <v>823</v>
      </c>
      <c r="M6" s="32" t="str">
        <f t="shared" si="1"/>
        <v>常规</v>
      </c>
      <c r="N6" s="25" t="s">
        <v>268</v>
      </c>
      <c r="O6" s="135" t="s">
        <v>2240</v>
      </c>
      <c r="P6" s="134">
        <v>2</v>
      </c>
      <c r="Q6" s="14"/>
      <c r="R6" s="15"/>
      <c r="S6" s="15"/>
      <c r="T6" s="15"/>
      <c r="U6" s="32" t="str">
        <f t="shared" si="2"/>
        <v>个</v>
      </c>
      <c r="V6" s="14"/>
      <c r="W6" s="35"/>
      <c r="X6" s="32">
        <f t="shared" si="4"/>
        <v>16</v>
      </c>
      <c r="Y6" s="32" t="str">
        <f t="shared" si="3"/>
        <v>个</v>
      </c>
      <c r="Z6" s="14"/>
      <c r="AA6" s="35"/>
      <c r="AB6" s="101"/>
    </row>
    <row r="7" spans="1:28" s="45" customFormat="1" ht="19.899999999999999" customHeight="1" x14ac:dyDescent="0.3">
      <c r="A7" s="34">
        <v>4</v>
      </c>
      <c r="B7" s="12" t="s">
        <v>267</v>
      </c>
      <c r="C7" s="29" t="s">
        <v>2</v>
      </c>
      <c r="D7" s="32" t="str">
        <f t="shared" si="0"/>
        <v>玻璃仪器</v>
      </c>
      <c r="E7" s="14" t="s">
        <v>256</v>
      </c>
      <c r="F7" s="14" t="s">
        <v>3</v>
      </c>
      <c r="G7" s="15"/>
      <c r="H7" s="15"/>
      <c r="I7" s="15"/>
      <c r="J7" s="29" t="s">
        <v>821</v>
      </c>
      <c r="K7" s="16">
        <v>29</v>
      </c>
      <c r="L7" s="29" t="s">
        <v>823</v>
      </c>
      <c r="M7" s="32" t="str">
        <f t="shared" si="1"/>
        <v>常规</v>
      </c>
      <c r="N7" s="25" t="s">
        <v>269</v>
      </c>
      <c r="O7" s="135" t="s">
        <v>2240</v>
      </c>
      <c r="P7" s="134">
        <v>2</v>
      </c>
      <c r="Q7" s="14"/>
      <c r="R7" s="15"/>
      <c r="S7" s="15"/>
      <c r="T7" s="15"/>
      <c r="U7" s="32" t="str">
        <f t="shared" si="2"/>
        <v>个</v>
      </c>
      <c r="V7" s="14"/>
      <c r="W7" s="35"/>
      <c r="X7" s="32">
        <f t="shared" si="4"/>
        <v>29</v>
      </c>
      <c r="Y7" s="32" t="str">
        <f t="shared" si="3"/>
        <v>个</v>
      </c>
      <c r="Z7" s="14"/>
      <c r="AA7" s="35"/>
      <c r="AB7" s="101"/>
    </row>
    <row r="8" spans="1:28" s="45" customFormat="1" ht="19.899999999999999" customHeight="1" x14ac:dyDescent="0.3">
      <c r="A8" s="34">
        <v>5</v>
      </c>
      <c r="B8" s="12" t="s">
        <v>267</v>
      </c>
      <c r="C8" s="29" t="s">
        <v>2</v>
      </c>
      <c r="D8" s="32" t="str">
        <f t="shared" si="0"/>
        <v>玻璃仪器</v>
      </c>
      <c r="E8" s="14" t="s">
        <v>256</v>
      </c>
      <c r="F8" s="14" t="s">
        <v>270</v>
      </c>
      <c r="G8" s="15"/>
      <c r="H8" s="15"/>
      <c r="I8" s="15"/>
      <c r="J8" s="29" t="s">
        <v>821</v>
      </c>
      <c r="K8" s="16">
        <v>20</v>
      </c>
      <c r="L8" s="29" t="s">
        <v>823</v>
      </c>
      <c r="M8" s="32" t="str">
        <f t="shared" si="1"/>
        <v>常规</v>
      </c>
      <c r="N8" s="25"/>
      <c r="O8" s="135" t="s">
        <v>2240</v>
      </c>
      <c r="P8" s="134">
        <v>2</v>
      </c>
      <c r="Q8" s="14"/>
      <c r="R8" s="15"/>
      <c r="S8" s="15"/>
      <c r="T8" s="15"/>
      <c r="U8" s="32" t="str">
        <f t="shared" si="2"/>
        <v>个</v>
      </c>
      <c r="V8" s="14"/>
      <c r="W8" s="35"/>
      <c r="X8" s="32">
        <f t="shared" si="4"/>
        <v>20</v>
      </c>
      <c r="Y8" s="32" t="str">
        <f t="shared" si="3"/>
        <v>个</v>
      </c>
      <c r="Z8" s="14"/>
      <c r="AA8" s="35"/>
      <c r="AB8" s="101"/>
    </row>
    <row r="9" spans="1:28" s="45" customFormat="1" ht="19.899999999999999" customHeight="1" x14ac:dyDescent="0.3">
      <c r="A9" s="34">
        <v>6</v>
      </c>
      <c r="B9" s="12" t="s">
        <v>267</v>
      </c>
      <c r="C9" s="29" t="s">
        <v>2</v>
      </c>
      <c r="D9" s="32" t="str">
        <f t="shared" si="0"/>
        <v>玻璃仪器</v>
      </c>
      <c r="E9" s="14" t="s">
        <v>256</v>
      </c>
      <c r="F9" s="14" t="s">
        <v>271</v>
      </c>
      <c r="G9" s="15"/>
      <c r="H9" s="15"/>
      <c r="I9" s="15"/>
      <c r="J9" s="29" t="s">
        <v>821</v>
      </c>
      <c r="K9" s="16">
        <v>1</v>
      </c>
      <c r="L9" s="29" t="s">
        <v>823</v>
      </c>
      <c r="M9" s="32" t="str">
        <f t="shared" si="1"/>
        <v>常规</v>
      </c>
      <c r="N9" s="25"/>
      <c r="O9" s="135" t="s">
        <v>2240</v>
      </c>
      <c r="P9" s="134">
        <v>2</v>
      </c>
      <c r="Q9" s="14"/>
      <c r="R9" s="15"/>
      <c r="S9" s="15"/>
      <c r="T9" s="15"/>
      <c r="U9" s="32" t="str">
        <f t="shared" si="2"/>
        <v>个</v>
      </c>
      <c r="V9" s="14"/>
      <c r="W9" s="35"/>
      <c r="X9" s="32">
        <f t="shared" si="4"/>
        <v>1</v>
      </c>
      <c r="Y9" s="32" t="str">
        <f t="shared" si="3"/>
        <v>个</v>
      </c>
      <c r="Z9" s="14"/>
      <c r="AA9" s="35"/>
      <c r="AB9" s="101"/>
    </row>
    <row r="10" spans="1:28" s="45" customFormat="1" ht="19.899999999999999" customHeight="1" x14ac:dyDescent="0.3">
      <c r="A10" s="34">
        <v>7</v>
      </c>
      <c r="B10" s="12" t="s">
        <v>267</v>
      </c>
      <c r="C10" s="29" t="s">
        <v>2</v>
      </c>
      <c r="D10" s="32" t="str">
        <f t="shared" si="0"/>
        <v>玻璃仪器</v>
      </c>
      <c r="E10" s="14" t="s">
        <v>256</v>
      </c>
      <c r="F10" s="14" t="s">
        <v>272</v>
      </c>
      <c r="G10" s="15"/>
      <c r="H10" s="15"/>
      <c r="I10" s="15"/>
      <c r="J10" s="29" t="s">
        <v>821</v>
      </c>
      <c r="K10" s="16">
        <v>1</v>
      </c>
      <c r="L10" s="29" t="s">
        <v>823</v>
      </c>
      <c r="M10" s="32" t="str">
        <f t="shared" si="1"/>
        <v>常规</v>
      </c>
      <c r="N10" s="25"/>
      <c r="O10" s="135" t="s">
        <v>2240</v>
      </c>
      <c r="P10" s="134">
        <v>2</v>
      </c>
      <c r="Q10" s="14"/>
      <c r="R10" s="15"/>
      <c r="S10" s="15"/>
      <c r="T10" s="15"/>
      <c r="U10" s="32" t="str">
        <f t="shared" si="2"/>
        <v>个</v>
      </c>
      <c r="V10" s="14"/>
      <c r="W10" s="35"/>
      <c r="X10" s="32">
        <f t="shared" si="4"/>
        <v>1</v>
      </c>
      <c r="Y10" s="32" t="str">
        <f t="shared" si="3"/>
        <v>个</v>
      </c>
      <c r="Z10" s="14"/>
      <c r="AA10" s="35"/>
      <c r="AB10" s="101"/>
    </row>
    <row r="11" spans="1:28" s="212" customFormat="1" ht="19.899999999999999" customHeight="1" x14ac:dyDescent="0.3">
      <c r="A11" s="201">
        <v>8</v>
      </c>
      <c r="B11" s="202" t="s">
        <v>267</v>
      </c>
      <c r="C11" s="203" t="s">
        <v>2</v>
      </c>
      <c r="D11" s="204" t="str">
        <f t="shared" si="0"/>
        <v>玻璃仪器</v>
      </c>
      <c r="E11" s="205" t="s">
        <v>256</v>
      </c>
      <c r="F11" s="205" t="s">
        <v>273</v>
      </c>
      <c r="G11" s="206"/>
      <c r="H11" s="206"/>
      <c r="I11" s="206"/>
      <c r="J11" s="203" t="s">
        <v>821</v>
      </c>
      <c r="K11" s="202">
        <v>2</v>
      </c>
      <c r="L11" s="203" t="s">
        <v>823</v>
      </c>
      <c r="M11" s="204" t="str">
        <f t="shared" si="1"/>
        <v>常规</v>
      </c>
      <c r="N11" s="207"/>
      <c r="O11" s="208" t="s">
        <v>2240</v>
      </c>
      <c r="P11" s="209">
        <v>2</v>
      </c>
      <c r="Q11" s="205"/>
      <c r="R11" s="206"/>
      <c r="S11" s="206" t="s">
        <v>1064</v>
      </c>
      <c r="T11" s="206">
        <v>2</v>
      </c>
      <c r="U11" s="204" t="str">
        <f t="shared" si="2"/>
        <v>个</v>
      </c>
      <c r="V11" s="205"/>
      <c r="W11" s="210"/>
      <c r="X11" s="204" t="str">
        <f>IF((K11-T11)&lt;=0,"",K11-T11)</f>
        <v/>
      </c>
      <c r="Y11" s="204" t="str">
        <f t="shared" si="3"/>
        <v>个</v>
      </c>
      <c r="Z11" s="205"/>
      <c r="AA11" s="210"/>
      <c r="AB11" s="211"/>
    </row>
    <row r="12" spans="1:28" s="45" customFormat="1" ht="19.899999999999999" customHeight="1" x14ac:dyDescent="0.3">
      <c r="A12" s="34">
        <v>9</v>
      </c>
      <c r="B12" s="12" t="s">
        <v>274</v>
      </c>
      <c r="C12" s="29" t="s">
        <v>2</v>
      </c>
      <c r="D12" s="32" t="str">
        <f t="shared" si="0"/>
        <v>玻璃仪器</v>
      </c>
      <c r="E12" s="14" t="s">
        <v>256</v>
      </c>
      <c r="F12" s="14" t="s">
        <v>263</v>
      </c>
      <c r="G12" s="15"/>
      <c r="H12" s="15"/>
      <c r="I12" s="15"/>
      <c r="J12" s="29" t="s">
        <v>821</v>
      </c>
      <c r="K12" s="16">
        <v>33</v>
      </c>
      <c r="L12" s="29" t="s">
        <v>823</v>
      </c>
      <c r="M12" s="32" t="str">
        <f t="shared" si="1"/>
        <v>常规</v>
      </c>
      <c r="N12" s="25" t="s">
        <v>275</v>
      </c>
      <c r="O12" s="135" t="s">
        <v>2240</v>
      </c>
      <c r="P12" s="134">
        <v>2</v>
      </c>
      <c r="Q12" s="14"/>
      <c r="R12" s="15"/>
      <c r="S12" s="15"/>
      <c r="T12" s="15"/>
      <c r="U12" s="32" t="str">
        <f t="shared" si="2"/>
        <v>个</v>
      </c>
      <c r="V12" s="14"/>
      <c r="W12" s="35"/>
      <c r="X12" s="32">
        <f t="shared" si="4"/>
        <v>33</v>
      </c>
      <c r="Y12" s="32" t="str">
        <f t="shared" si="3"/>
        <v>个</v>
      </c>
      <c r="Z12" s="14"/>
      <c r="AA12" s="35"/>
      <c r="AB12" s="101"/>
    </row>
    <row r="13" spans="1:28" s="45" customFormat="1" ht="19.899999999999999" customHeight="1" x14ac:dyDescent="0.3">
      <c r="A13" s="34">
        <v>10</v>
      </c>
      <c r="B13" s="12" t="s">
        <v>274</v>
      </c>
      <c r="C13" s="29" t="s">
        <v>2</v>
      </c>
      <c r="D13" s="32" t="str">
        <f t="shared" si="0"/>
        <v>玻璃仪器</v>
      </c>
      <c r="E13" s="14" t="s">
        <v>256</v>
      </c>
      <c r="F13" s="14" t="s">
        <v>265</v>
      </c>
      <c r="G13" s="15"/>
      <c r="H13" s="15"/>
      <c r="I13" s="15"/>
      <c r="J13" s="29" t="s">
        <v>821</v>
      </c>
      <c r="K13" s="16">
        <v>18</v>
      </c>
      <c r="L13" s="29" t="s">
        <v>823</v>
      </c>
      <c r="M13" s="32" t="str">
        <f t="shared" si="1"/>
        <v>常规</v>
      </c>
      <c r="N13" s="25" t="s">
        <v>276</v>
      </c>
      <c r="O13" s="135" t="s">
        <v>2240</v>
      </c>
      <c r="P13" s="134">
        <v>2</v>
      </c>
      <c r="Q13" s="14"/>
      <c r="R13" s="15"/>
      <c r="S13" s="15"/>
      <c r="T13" s="15"/>
      <c r="U13" s="32" t="str">
        <f t="shared" si="2"/>
        <v>个</v>
      </c>
      <c r="V13" s="14"/>
      <c r="W13" s="35"/>
      <c r="X13" s="32">
        <f t="shared" si="4"/>
        <v>18</v>
      </c>
      <c r="Y13" s="32" t="str">
        <f t="shared" si="3"/>
        <v>个</v>
      </c>
      <c r="Z13" s="14"/>
      <c r="AA13" s="35"/>
      <c r="AB13" s="101"/>
    </row>
    <row r="14" spans="1:28" s="45" customFormat="1" ht="19.899999999999999" customHeight="1" x14ac:dyDescent="0.3">
      <c r="A14" s="34">
        <v>11</v>
      </c>
      <c r="B14" s="12" t="s">
        <v>274</v>
      </c>
      <c r="C14" s="29" t="s">
        <v>2</v>
      </c>
      <c r="D14" s="32" t="str">
        <f t="shared" si="0"/>
        <v>玻璃仪器</v>
      </c>
      <c r="E14" s="18" t="s">
        <v>256</v>
      </c>
      <c r="F14" s="18" t="s">
        <v>273</v>
      </c>
      <c r="G14" s="15"/>
      <c r="H14" s="15"/>
      <c r="I14" s="15"/>
      <c r="J14" s="29" t="s">
        <v>821</v>
      </c>
      <c r="K14" s="16">
        <v>1</v>
      </c>
      <c r="L14" s="36" t="s">
        <v>823</v>
      </c>
      <c r="M14" s="32" t="str">
        <f t="shared" si="1"/>
        <v>常规</v>
      </c>
      <c r="N14" s="25"/>
      <c r="O14" s="135" t="s">
        <v>2240</v>
      </c>
      <c r="P14" s="134">
        <v>2</v>
      </c>
      <c r="Q14" s="18"/>
      <c r="R14" s="15"/>
      <c r="S14" s="15"/>
      <c r="T14" s="15"/>
      <c r="U14" s="32" t="str">
        <f t="shared" si="2"/>
        <v>个</v>
      </c>
      <c r="V14" s="18"/>
      <c r="W14" s="35"/>
      <c r="X14" s="32">
        <f t="shared" si="4"/>
        <v>1</v>
      </c>
      <c r="Y14" s="32" t="str">
        <f t="shared" si="3"/>
        <v>个</v>
      </c>
      <c r="Z14" s="18"/>
      <c r="AA14" s="35"/>
      <c r="AB14" s="101"/>
    </row>
    <row r="15" spans="1:28" s="45" customFormat="1" ht="19.899999999999999" customHeight="1" x14ac:dyDescent="0.3">
      <c r="A15" s="34">
        <v>12</v>
      </c>
      <c r="B15" s="12" t="s">
        <v>274</v>
      </c>
      <c r="C15" s="29" t="s">
        <v>2</v>
      </c>
      <c r="D15" s="32" t="str">
        <f t="shared" si="0"/>
        <v>玻璃仪器</v>
      </c>
      <c r="E15" s="14" t="s">
        <v>256</v>
      </c>
      <c r="F15" s="14" t="s">
        <v>277</v>
      </c>
      <c r="G15" s="15"/>
      <c r="H15" s="15"/>
      <c r="I15" s="15"/>
      <c r="J15" s="29" t="s">
        <v>821</v>
      </c>
      <c r="K15" s="16">
        <v>5</v>
      </c>
      <c r="L15" s="29" t="s">
        <v>823</v>
      </c>
      <c r="M15" s="32" t="str">
        <f t="shared" si="1"/>
        <v>常规</v>
      </c>
      <c r="N15" s="25"/>
      <c r="O15" s="135" t="s">
        <v>2240</v>
      </c>
      <c r="P15" s="134">
        <v>2</v>
      </c>
      <c r="Q15" s="14"/>
      <c r="R15" s="15"/>
      <c r="S15" s="15"/>
      <c r="T15" s="15"/>
      <c r="U15" s="32" t="str">
        <f t="shared" si="2"/>
        <v>个</v>
      </c>
      <c r="V15" s="14"/>
      <c r="W15" s="35"/>
      <c r="X15" s="32">
        <f t="shared" si="4"/>
        <v>5</v>
      </c>
      <c r="Y15" s="32" t="str">
        <f t="shared" si="3"/>
        <v>个</v>
      </c>
      <c r="Z15" s="14"/>
      <c r="AA15" s="35"/>
      <c r="AB15" s="101"/>
    </row>
    <row r="16" spans="1:28" s="45" customFormat="1" ht="19.899999999999999" customHeight="1" x14ac:dyDescent="0.3">
      <c r="A16" s="34">
        <v>13</v>
      </c>
      <c r="B16" s="12" t="s">
        <v>274</v>
      </c>
      <c r="C16" s="29" t="s">
        <v>2</v>
      </c>
      <c r="D16" s="32" t="str">
        <f t="shared" si="0"/>
        <v>玻璃仪器</v>
      </c>
      <c r="E16" s="14" t="s">
        <v>256</v>
      </c>
      <c r="F16" s="14" t="s">
        <v>278</v>
      </c>
      <c r="G16" s="15"/>
      <c r="H16" s="15"/>
      <c r="I16" s="15"/>
      <c r="J16" s="29" t="s">
        <v>821</v>
      </c>
      <c r="K16" s="16">
        <v>1</v>
      </c>
      <c r="L16" s="29" t="s">
        <v>823</v>
      </c>
      <c r="M16" s="32" t="str">
        <f t="shared" si="1"/>
        <v>常规</v>
      </c>
      <c r="N16" s="25"/>
      <c r="O16" s="135" t="s">
        <v>2240</v>
      </c>
      <c r="P16" s="134">
        <v>2</v>
      </c>
      <c r="Q16" s="14"/>
      <c r="R16" s="15"/>
      <c r="S16" s="15"/>
      <c r="T16" s="15"/>
      <c r="U16" s="32" t="str">
        <f t="shared" si="2"/>
        <v>个</v>
      </c>
      <c r="V16" s="14"/>
      <c r="W16" s="35"/>
      <c r="X16" s="32">
        <f t="shared" si="4"/>
        <v>1</v>
      </c>
      <c r="Y16" s="32" t="str">
        <f t="shared" si="3"/>
        <v>个</v>
      </c>
      <c r="Z16" s="14"/>
      <c r="AA16" s="35"/>
      <c r="AB16" s="101"/>
    </row>
    <row r="17" spans="1:28" s="45" customFormat="1" ht="19.899999999999999" customHeight="1" x14ac:dyDescent="0.3">
      <c r="A17" s="34">
        <v>14</v>
      </c>
      <c r="B17" s="12" t="s">
        <v>279</v>
      </c>
      <c r="C17" s="29" t="s">
        <v>2</v>
      </c>
      <c r="D17" s="32" t="str">
        <f t="shared" si="0"/>
        <v>玻璃仪器</v>
      </c>
      <c r="E17" s="14" t="s">
        <v>256</v>
      </c>
      <c r="F17" s="12" t="s">
        <v>4</v>
      </c>
      <c r="G17" s="15"/>
      <c r="H17" s="15"/>
      <c r="I17" s="15"/>
      <c r="J17" s="29" t="s">
        <v>821</v>
      </c>
      <c r="K17" s="16">
        <v>10</v>
      </c>
      <c r="L17" s="29" t="s">
        <v>823</v>
      </c>
      <c r="M17" s="32" t="str">
        <f t="shared" si="1"/>
        <v>常规</v>
      </c>
      <c r="N17" s="25"/>
      <c r="O17" s="135" t="s">
        <v>2240</v>
      </c>
      <c r="P17" s="134">
        <v>2</v>
      </c>
      <c r="Q17" s="14"/>
      <c r="R17" s="15"/>
      <c r="S17" s="15"/>
      <c r="T17" s="15"/>
      <c r="U17" s="32" t="str">
        <f t="shared" si="2"/>
        <v>个</v>
      </c>
      <c r="V17" s="14"/>
      <c r="W17" s="35"/>
      <c r="X17" s="32">
        <f t="shared" si="4"/>
        <v>10</v>
      </c>
      <c r="Y17" s="32" t="str">
        <f t="shared" si="3"/>
        <v>个</v>
      </c>
      <c r="Z17" s="14"/>
      <c r="AA17" s="35"/>
      <c r="AB17" s="101"/>
    </row>
    <row r="18" spans="1:28" s="45" customFormat="1" ht="19.899999999999999" customHeight="1" x14ac:dyDescent="0.3">
      <c r="A18" s="34">
        <v>15</v>
      </c>
      <c r="B18" s="12" t="s">
        <v>280</v>
      </c>
      <c r="C18" s="29" t="s">
        <v>2</v>
      </c>
      <c r="D18" s="32" t="str">
        <f t="shared" si="0"/>
        <v>玻璃仪器</v>
      </c>
      <c r="E18" s="14" t="s">
        <v>281</v>
      </c>
      <c r="F18" s="14" t="s">
        <v>5</v>
      </c>
      <c r="G18" s="15"/>
      <c r="H18" s="15"/>
      <c r="I18" s="15"/>
      <c r="J18" s="29" t="s">
        <v>821</v>
      </c>
      <c r="K18" s="16">
        <v>1</v>
      </c>
      <c r="L18" s="29" t="s">
        <v>823</v>
      </c>
      <c r="M18" s="32" t="str">
        <f t="shared" si="1"/>
        <v>常规</v>
      </c>
      <c r="N18" s="18"/>
      <c r="O18" s="135" t="s">
        <v>2240</v>
      </c>
      <c r="P18" s="134">
        <v>2</v>
      </c>
      <c r="Q18" s="14"/>
      <c r="R18" s="15"/>
      <c r="S18" s="15"/>
      <c r="T18" s="15"/>
      <c r="U18" s="32" t="str">
        <f t="shared" si="2"/>
        <v>个</v>
      </c>
      <c r="V18" s="14"/>
      <c r="W18" s="35"/>
      <c r="X18" s="32">
        <f t="shared" si="4"/>
        <v>1</v>
      </c>
      <c r="Y18" s="32" t="str">
        <f t="shared" si="3"/>
        <v>个</v>
      </c>
      <c r="Z18" s="14"/>
      <c r="AA18" s="35"/>
      <c r="AB18" s="101"/>
    </row>
    <row r="19" spans="1:28" s="45" customFormat="1" ht="19.899999999999999" customHeight="1" x14ac:dyDescent="0.3">
      <c r="A19" s="34">
        <v>16</v>
      </c>
      <c r="B19" s="12" t="s">
        <v>282</v>
      </c>
      <c r="C19" s="29" t="s">
        <v>2</v>
      </c>
      <c r="D19" s="32" t="str">
        <f t="shared" si="0"/>
        <v>玻璃仪器</v>
      </c>
      <c r="E19" s="14" t="s">
        <v>281</v>
      </c>
      <c r="F19" s="14" t="s">
        <v>6</v>
      </c>
      <c r="G19" s="15"/>
      <c r="H19" s="15"/>
      <c r="I19" s="15"/>
      <c r="J19" s="29" t="s">
        <v>821</v>
      </c>
      <c r="K19" s="16">
        <v>4</v>
      </c>
      <c r="L19" s="29" t="s">
        <v>823</v>
      </c>
      <c r="M19" s="32" t="str">
        <f t="shared" si="1"/>
        <v>常规</v>
      </c>
      <c r="N19" s="18"/>
      <c r="O19" s="135" t="s">
        <v>2240</v>
      </c>
      <c r="P19" s="134">
        <v>3</v>
      </c>
      <c r="Q19" s="14"/>
      <c r="R19" s="15"/>
      <c r="S19" s="15"/>
      <c r="T19" s="15"/>
      <c r="U19" s="32" t="str">
        <f t="shared" si="2"/>
        <v>个</v>
      </c>
      <c r="V19" s="14"/>
      <c r="W19" s="35"/>
      <c r="X19" s="32">
        <f t="shared" si="4"/>
        <v>4</v>
      </c>
      <c r="Y19" s="32" t="str">
        <f t="shared" si="3"/>
        <v>个</v>
      </c>
      <c r="Z19" s="14"/>
      <c r="AA19" s="35"/>
      <c r="AB19" s="101"/>
    </row>
    <row r="20" spans="1:28" s="212" customFormat="1" ht="19.899999999999999" customHeight="1" x14ac:dyDescent="0.3">
      <c r="A20" s="201">
        <v>17</v>
      </c>
      <c r="B20" s="202" t="s">
        <v>282</v>
      </c>
      <c r="C20" s="203" t="s">
        <v>2</v>
      </c>
      <c r="D20" s="204" t="str">
        <f t="shared" si="0"/>
        <v>玻璃仪器</v>
      </c>
      <c r="E20" s="205" t="s">
        <v>256</v>
      </c>
      <c r="F20" s="205" t="s">
        <v>7</v>
      </c>
      <c r="G20" s="206"/>
      <c r="H20" s="206"/>
      <c r="I20" s="206"/>
      <c r="J20" s="203" t="s">
        <v>821</v>
      </c>
      <c r="K20" s="202">
        <v>3</v>
      </c>
      <c r="L20" s="213" t="s">
        <v>824</v>
      </c>
      <c r="M20" s="204" t="str">
        <f t="shared" si="1"/>
        <v>常规</v>
      </c>
      <c r="N20" s="207"/>
      <c r="O20" s="208" t="s">
        <v>2240</v>
      </c>
      <c r="P20" s="209">
        <v>3</v>
      </c>
      <c r="Q20" s="205"/>
      <c r="R20" s="206"/>
      <c r="S20" s="206" t="s">
        <v>2115</v>
      </c>
      <c r="T20" s="206">
        <v>3</v>
      </c>
      <c r="U20" s="204" t="str">
        <f t="shared" si="2"/>
        <v>支</v>
      </c>
      <c r="V20" s="205"/>
      <c r="W20" s="210"/>
      <c r="X20" s="204" t="str">
        <f t="shared" si="4"/>
        <v/>
      </c>
      <c r="Y20" s="204" t="str">
        <f t="shared" si="3"/>
        <v>支</v>
      </c>
      <c r="Z20" s="205"/>
      <c r="AA20" s="210"/>
      <c r="AB20" s="211"/>
    </row>
    <row r="21" spans="1:28" s="45" customFormat="1" ht="19.899999999999999" customHeight="1" x14ac:dyDescent="0.3">
      <c r="A21" s="34">
        <v>18</v>
      </c>
      <c r="B21" s="12" t="s">
        <v>282</v>
      </c>
      <c r="C21" s="29" t="s">
        <v>2</v>
      </c>
      <c r="D21" s="32" t="str">
        <f t="shared" si="0"/>
        <v>玻璃仪器</v>
      </c>
      <c r="E21" s="12" t="s">
        <v>283</v>
      </c>
      <c r="F21" s="12" t="s">
        <v>8</v>
      </c>
      <c r="G21" s="15"/>
      <c r="H21" s="15"/>
      <c r="I21" s="15"/>
      <c r="J21" s="29" t="s">
        <v>821</v>
      </c>
      <c r="K21" s="16">
        <v>4</v>
      </c>
      <c r="L21" s="29" t="s">
        <v>823</v>
      </c>
      <c r="M21" s="32" t="str">
        <f t="shared" si="1"/>
        <v>常规</v>
      </c>
      <c r="N21" s="25"/>
      <c r="O21" s="135" t="s">
        <v>2240</v>
      </c>
      <c r="P21" s="134">
        <v>3</v>
      </c>
      <c r="Q21" s="14"/>
      <c r="R21" s="15"/>
      <c r="S21" s="15"/>
      <c r="T21" s="15"/>
      <c r="U21" s="32" t="str">
        <f t="shared" si="2"/>
        <v>个</v>
      </c>
      <c r="V21" s="14"/>
      <c r="W21" s="35"/>
      <c r="X21" s="32">
        <f t="shared" si="4"/>
        <v>4</v>
      </c>
      <c r="Y21" s="32" t="str">
        <f t="shared" si="3"/>
        <v>个</v>
      </c>
      <c r="Z21" s="14"/>
      <c r="AA21" s="35"/>
      <c r="AB21" s="101"/>
    </row>
    <row r="22" spans="1:28" s="45" customFormat="1" ht="19.899999999999999" customHeight="1" x14ac:dyDescent="0.3">
      <c r="A22" s="34">
        <v>19</v>
      </c>
      <c r="B22" s="12" t="s">
        <v>284</v>
      </c>
      <c r="C22" s="29" t="s">
        <v>2</v>
      </c>
      <c r="D22" s="32" t="str">
        <f t="shared" si="0"/>
        <v>玻璃仪器</v>
      </c>
      <c r="E22" s="14" t="s">
        <v>256</v>
      </c>
      <c r="F22" s="14" t="s">
        <v>9</v>
      </c>
      <c r="G22" s="15"/>
      <c r="H22" s="15"/>
      <c r="I22" s="15"/>
      <c r="J22" s="29" t="s">
        <v>821</v>
      </c>
      <c r="K22" s="16">
        <v>10</v>
      </c>
      <c r="L22" s="29" t="s">
        <v>823</v>
      </c>
      <c r="M22" s="32" t="str">
        <f t="shared" si="1"/>
        <v>常规</v>
      </c>
      <c r="N22" s="18"/>
      <c r="O22" s="135" t="s">
        <v>2240</v>
      </c>
      <c r="P22" s="134">
        <v>3</v>
      </c>
      <c r="Q22" s="14"/>
      <c r="R22" s="15"/>
      <c r="S22" s="15"/>
      <c r="T22" s="15"/>
      <c r="U22" s="32" t="str">
        <f t="shared" si="2"/>
        <v>个</v>
      </c>
      <c r="V22" s="14"/>
      <c r="W22" s="35"/>
      <c r="X22" s="32">
        <f t="shared" si="4"/>
        <v>10</v>
      </c>
      <c r="Y22" s="32" t="str">
        <f t="shared" si="3"/>
        <v>个</v>
      </c>
      <c r="Z22" s="14"/>
      <c r="AA22" s="35"/>
      <c r="AB22" s="101"/>
    </row>
    <row r="23" spans="1:28" s="45" customFormat="1" ht="19.899999999999999" customHeight="1" x14ac:dyDescent="0.3">
      <c r="A23" s="34">
        <v>20</v>
      </c>
      <c r="B23" s="12" t="s">
        <v>284</v>
      </c>
      <c r="C23" s="29" t="s">
        <v>2</v>
      </c>
      <c r="D23" s="32" t="str">
        <f t="shared" si="0"/>
        <v>玻璃仪器</v>
      </c>
      <c r="E23" s="14" t="s">
        <v>256</v>
      </c>
      <c r="F23" s="14" t="s">
        <v>10</v>
      </c>
      <c r="G23" s="15"/>
      <c r="H23" s="15"/>
      <c r="I23" s="15"/>
      <c r="J23" s="29" t="s">
        <v>821</v>
      </c>
      <c r="K23" s="16">
        <v>9</v>
      </c>
      <c r="L23" s="29" t="s">
        <v>823</v>
      </c>
      <c r="M23" s="32" t="str">
        <f t="shared" si="1"/>
        <v>常规</v>
      </c>
      <c r="N23" s="25"/>
      <c r="O23" s="135" t="s">
        <v>2240</v>
      </c>
      <c r="P23" s="134">
        <v>3</v>
      </c>
      <c r="Q23" s="14"/>
      <c r="R23" s="15"/>
      <c r="S23" s="15"/>
      <c r="T23" s="15"/>
      <c r="U23" s="32" t="str">
        <f t="shared" si="2"/>
        <v>个</v>
      </c>
      <c r="V23" s="14"/>
      <c r="W23" s="35"/>
      <c r="X23" s="32">
        <f t="shared" si="4"/>
        <v>9</v>
      </c>
      <c r="Y23" s="32" t="str">
        <f t="shared" si="3"/>
        <v>个</v>
      </c>
      <c r="Z23" s="14"/>
      <c r="AA23" s="35"/>
      <c r="AB23" s="101"/>
    </row>
    <row r="24" spans="1:28" s="45" customFormat="1" ht="19.899999999999999" customHeight="1" x14ac:dyDescent="0.3">
      <c r="A24" s="34">
        <v>21</v>
      </c>
      <c r="B24" s="12" t="s">
        <v>285</v>
      </c>
      <c r="C24" s="29" t="s">
        <v>2</v>
      </c>
      <c r="D24" s="32" t="str">
        <f t="shared" si="0"/>
        <v>玻璃仪器</v>
      </c>
      <c r="E24" s="14" t="s">
        <v>256</v>
      </c>
      <c r="F24" s="14" t="s">
        <v>11</v>
      </c>
      <c r="G24" s="15"/>
      <c r="H24" s="15"/>
      <c r="I24" s="15"/>
      <c r="J24" s="29" t="s">
        <v>821</v>
      </c>
      <c r="K24" s="16">
        <v>10</v>
      </c>
      <c r="L24" s="29" t="s">
        <v>823</v>
      </c>
      <c r="M24" s="32" t="str">
        <f t="shared" si="1"/>
        <v>常规</v>
      </c>
      <c r="N24" s="25"/>
      <c r="O24" s="135" t="s">
        <v>2240</v>
      </c>
      <c r="P24" s="134">
        <v>4</v>
      </c>
      <c r="Q24" s="14"/>
      <c r="R24" s="15"/>
      <c r="S24" s="15"/>
      <c r="T24" s="15"/>
      <c r="U24" s="32" t="str">
        <f t="shared" si="2"/>
        <v>个</v>
      </c>
      <c r="V24" s="14"/>
      <c r="W24" s="35"/>
      <c r="X24" s="32">
        <f t="shared" si="4"/>
        <v>10</v>
      </c>
      <c r="Y24" s="32" t="str">
        <f t="shared" si="3"/>
        <v>个</v>
      </c>
      <c r="Z24" s="14"/>
      <c r="AA24" s="35"/>
      <c r="AB24" s="101"/>
    </row>
    <row r="25" spans="1:28" s="45" customFormat="1" ht="19.899999999999999" customHeight="1" x14ac:dyDescent="0.3">
      <c r="A25" s="34">
        <v>22</v>
      </c>
      <c r="B25" s="12" t="s">
        <v>286</v>
      </c>
      <c r="C25" s="29" t="s">
        <v>2</v>
      </c>
      <c r="D25" s="32" t="str">
        <f t="shared" si="0"/>
        <v>玻璃仪器</v>
      </c>
      <c r="E25" s="14" t="s">
        <v>256</v>
      </c>
      <c r="F25" s="14" t="s">
        <v>12</v>
      </c>
      <c r="G25" s="15"/>
      <c r="H25" s="15"/>
      <c r="I25" s="15"/>
      <c r="J25" s="29" t="s">
        <v>821</v>
      </c>
      <c r="K25" s="16">
        <v>3</v>
      </c>
      <c r="L25" s="29" t="s">
        <v>823</v>
      </c>
      <c r="M25" s="32" t="str">
        <f t="shared" si="1"/>
        <v>常规</v>
      </c>
      <c r="N25" s="25"/>
      <c r="O25" s="135" t="s">
        <v>2240</v>
      </c>
      <c r="P25" s="134">
        <v>4</v>
      </c>
      <c r="Q25" s="14"/>
      <c r="R25" s="15"/>
      <c r="S25" s="15"/>
      <c r="T25" s="15"/>
      <c r="U25" s="32" t="str">
        <f t="shared" si="2"/>
        <v>个</v>
      </c>
      <c r="V25" s="14"/>
      <c r="W25" s="35"/>
      <c r="X25" s="32">
        <f t="shared" si="4"/>
        <v>3</v>
      </c>
      <c r="Y25" s="32" t="str">
        <f t="shared" si="3"/>
        <v>个</v>
      </c>
      <c r="Z25" s="14"/>
      <c r="AA25" s="35"/>
      <c r="AB25" s="101"/>
    </row>
    <row r="26" spans="1:28" s="212" customFormat="1" ht="19.899999999999999" customHeight="1" x14ac:dyDescent="0.3">
      <c r="A26" s="201">
        <v>23</v>
      </c>
      <c r="B26" s="202" t="s">
        <v>286</v>
      </c>
      <c r="C26" s="203" t="s">
        <v>2</v>
      </c>
      <c r="D26" s="204" t="str">
        <f t="shared" si="0"/>
        <v>玻璃仪器</v>
      </c>
      <c r="E26" s="205" t="s">
        <v>256</v>
      </c>
      <c r="F26" s="205" t="s">
        <v>13</v>
      </c>
      <c r="G26" s="206"/>
      <c r="H26" s="206"/>
      <c r="I26" s="206"/>
      <c r="J26" s="203" t="s">
        <v>821</v>
      </c>
      <c r="K26" s="202">
        <v>8</v>
      </c>
      <c r="L26" s="203" t="s">
        <v>823</v>
      </c>
      <c r="M26" s="204" t="str">
        <f t="shared" si="1"/>
        <v>常规</v>
      </c>
      <c r="N26" s="207"/>
      <c r="O26" s="208" t="s">
        <v>2240</v>
      </c>
      <c r="P26" s="209">
        <v>4</v>
      </c>
      <c r="Q26" s="205"/>
      <c r="R26" s="206"/>
      <c r="S26" s="206" t="s">
        <v>1240</v>
      </c>
      <c r="T26" s="206">
        <v>8</v>
      </c>
      <c r="U26" s="204" t="str">
        <f t="shared" si="2"/>
        <v>个</v>
      </c>
      <c r="V26" s="205"/>
      <c r="W26" s="210"/>
      <c r="X26" s="204" t="str">
        <f t="shared" si="4"/>
        <v/>
      </c>
      <c r="Y26" s="204" t="str">
        <f t="shared" si="3"/>
        <v>个</v>
      </c>
      <c r="Z26" s="205"/>
      <c r="AA26" s="210"/>
      <c r="AB26" s="211"/>
    </row>
    <row r="27" spans="1:28" s="212" customFormat="1" ht="19.899999999999999" customHeight="1" x14ac:dyDescent="0.3">
      <c r="A27" s="201">
        <v>24</v>
      </c>
      <c r="B27" s="202" t="s">
        <v>287</v>
      </c>
      <c r="C27" s="203" t="s">
        <v>2</v>
      </c>
      <c r="D27" s="204" t="str">
        <f t="shared" si="0"/>
        <v>玻璃仪器</v>
      </c>
      <c r="E27" s="202"/>
      <c r="F27" s="206" t="s">
        <v>14</v>
      </c>
      <c r="G27" s="206"/>
      <c r="H27" s="206"/>
      <c r="I27" s="206"/>
      <c r="J27" s="203" t="s">
        <v>821</v>
      </c>
      <c r="K27" s="206">
        <v>1</v>
      </c>
      <c r="L27" s="213" t="s">
        <v>824</v>
      </c>
      <c r="M27" s="204" t="str">
        <f t="shared" si="1"/>
        <v>常规</v>
      </c>
      <c r="N27" s="205"/>
      <c r="O27" s="208" t="s">
        <v>2240</v>
      </c>
      <c r="P27" s="209">
        <v>4</v>
      </c>
      <c r="Q27" s="205"/>
      <c r="R27" s="206"/>
      <c r="S27" s="206" t="s">
        <v>1018</v>
      </c>
      <c r="T27" s="206">
        <v>1</v>
      </c>
      <c r="U27" s="204" t="str">
        <f t="shared" si="2"/>
        <v>支</v>
      </c>
      <c r="V27" s="205"/>
      <c r="W27" s="210"/>
      <c r="X27" s="204" t="str">
        <f t="shared" si="4"/>
        <v/>
      </c>
      <c r="Y27" s="204" t="str">
        <f t="shared" si="3"/>
        <v>支</v>
      </c>
      <c r="Z27" s="205"/>
      <c r="AA27" s="210"/>
      <c r="AB27" s="211"/>
    </row>
    <row r="28" spans="1:28" s="212" customFormat="1" ht="19.899999999999999" customHeight="1" x14ac:dyDescent="0.3">
      <c r="A28" s="201">
        <v>25</v>
      </c>
      <c r="B28" s="202" t="s">
        <v>288</v>
      </c>
      <c r="C28" s="203" t="s">
        <v>2</v>
      </c>
      <c r="D28" s="204" t="str">
        <f t="shared" si="0"/>
        <v>玻璃仪器</v>
      </c>
      <c r="E28" s="202"/>
      <c r="F28" s="206" t="s">
        <v>15</v>
      </c>
      <c r="G28" s="206"/>
      <c r="H28" s="206"/>
      <c r="I28" s="206"/>
      <c r="J28" s="203" t="s">
        <v>821</v>
      </c>
      <c r="K28" s="206">
        <v>1</v>
      </c>
      <c r="L28" s="213" t="s">
        <v>824</v>
      </c>
      <c r="M28" s="204" t="str">
        <f t="shared" si="1"/>
        <v>常规</v>
      </c>
      <c r="N28" s="205"/>
      <c r="O28" s="208" t="s">
        <v>2240</v>
      </c>
      <c r="P28" s="209">
        <v>4</v>
      </c>
      <c r="Q28" s="205"/>
      <c r="R28" s="206"/>
      <c r="S28" s="206" t="s">
        <v>1019</v>
      </c>
      <c r="T28" s="206">
        <v>1</v>
      </c>
      <c r="U28" s="204" t="str">
        <f t="shared" si="2"/>
        <v>支</v>
      </c>
      <c r="V28" s="205"/>
      <c r="W28" s="210"/>
      <c r="X28" s="204" t="str">
        <f t="shared" si="4"/>
        <v/>
      </c>
      <c r="Y28" s="204" t="str">
        <f t="shared" si="3"/>
        <v>支</v>
      </c>
      <c r="Z28" s="205"/>
      <c r="AA28" s="210"/>
      <c r="AB28" s="211"/>
    </row>
    <row r="29" spans="1:28" s="212" customFormat="1" ht="19.899999999999999" customHeight="1" x14ac:dyDescent="0.3">
      <c r="A29" s="201">
        <v>26</v>
      </c>
      <c r="B29" s="202" t="s">
        <v>289</v>
      </c>
      <c r="C29" s="203" t="s">
        <v>2</v>
      </c>
      <c r="D29" s="204" t="str">
        <f t="shared" si="0"/>
        <v>玻璃仪器</v>
      </c>
      <c r="E29" s="202"/>
      <c r="F29" s="206" t="s">
        <v>7</v>
      </c>
      <c r="G29" s="206"/>
      <c r="H29" s="206"/>
      <c r="I29" s="206"/>
      <c r="J29" s="203" t="s">
        <v>821</v>
      </c>
      <c r="K29" s="206">
        <v>1</v>
      </c>
      <c r="L29" s="213" t="s">
        <v>824</v>
      </c>
      <c r="M29" s="204" t="str">
        <f t="shared" si="1"/>
        <v>常规</v>
      </c>
      <c r="N29" s="205"/>
      <c r="O29" s="208" t="s">
        <v>2240</v>
      </c>
      <c r="P29" s="209">
        <v>4</v>
      </c>
      <c r="Q29" s="205"/>
      <c r="R29" s="206"/>
      <c r="S29" s="206" t="s">
        <v>1020</v>
      </c>
      <c r="T29" s="206">
        <v>1</v>
      </c>
      <c r="U29" s="204" t="str">
        <f t="shared" si="2"/>
        <v>支</v>
      </c>
      <c r="V29" s="205"/>
      <c r="W29" s="210"/>
      <c r="X29" s="204" t="str">
        <f t="shared" si="4"/>
        <v/>
      </c>
      <c r="Y29" s="204" t="str">
        <f t="shared" si="3"/>
        <v>支</v>
      </c>
      <c r="Z29" s="205"/>
      <c r="AA29" s="210"/>
      <c r="AB29" s="211"/>
    </row>
    <row r="30" spans="1:28" s="212" customFormat="1" ht="19.899999999999999" customHeight="1" x14ac:dyDescent="0.3">
      <c r="A30" s="201">
        <v>27</v>
      </c>
      <c r="B30" s="202" t="s">
        <v>290</v>
      </c>
      <c r="C30" s="203" t="s">
        <v>2</v>
      </c>
      <c r="D30" s="204" t="str">
        <f t="shared" si="0"/>
        <v>玻璃仪器</v>
      </c>
      <c r="E30" s="202"/>
      <c r="F30" s="206" t="s">
        <v>16</v>
      </c>
      <c r="G30" s="206"/>
      <c r="H30" s="206"/>
      <c r="I30" s="206"/>
      <c r="J30" s="203" t="s">
        <v>821</v>
      </c>
      <c r="K30" s="206">
        <v>1</v>
      </c>
      <c r="L30" s="213" t="s">
        <v>824</v>
      </c>
      <c r="M30" s="204" t="str">
        <f t="shared" si="1"/>
        <v>常规</v>
      </c>
      <c r="N30" s="205"/>
      <c r="O30" s="208" t="s">
        <v>2240</v>
      </c>
      <c r="P30" s="209">
        <v>4</v>
      </c>
      <c r="Q30" s="205"/>
      <c r="R30" s="206"/>
      <c r="S30" s="206" t="s">
        <v>1021</v>
      </c>
      <c r="T30" s="206">
        <v>1</v>
      </c>
      <c r="U30" s="204" t="str">
        <f t="shared" si="2"/>
        <v>支</v>
      </c>
      <c r="V30" s="205"/>
      <c r="W30" s="210"/>
      <c r="X30" s="204" t="str">
        <f t="shared" si="4"/>
        <v/>
      </c>
      <c r="Y30" s="204" t="str">
        <f t="shared" si="3"/>
        <v>支</v>
      </c>
      <c r="Z30" s="205"/>
      <c r="AA30" s="210"/>
      <c r="AB30" s="211"/>
    </row>
    <row r="31" spans="1:28" s="212" customFormat="1" ht="19.899999999999999" customHeight="1" x14ac:dyDescent="0.3">
      <c r="A31" s="201">
        <v>28</v>
      </c>
      <c r="B31" s="202" t="s">
        <v>291</v>
      </c>
      <c r="C31" s="203" t="s">
        <v>2</v>
      </c>
      <c r="D31" s="204" t="str">
        <f t="shared" si="0"/>
        <v>玻璃仪器</v>
      </c>
      <c r="E31" s="202"/>
      <c r="F31" s="206" t="s">
        <v>16</v>
      </c>
      <c r="G31" s="206"/>
      <c r="H31" s="206"/>
      <c r="I31" s="206"/>
      <c r="J31" s="203" t="s">
        <v>821</v>
      </c>
      <c r="K31" s="206">
        <v>1</v>
      </c>
      <c r="L31" s="213" t="s">
        <v>824</v>
      </c>
      <c r="M31" s="204" t="str">
        <f t="shared" si="1"/>
        <v>常规</v>
      </c>
      <c r="N31" s="205"/>
      <c r="O31" s="208" t="s">
        <v>2240</v>
      </c>
      <c r="P31" s="209">
        <v>4</v>
      </c>
      <c r="Q31" s="205"/>
      <c r="R31" s="206"/>
      <c r="S31" s="206" t="s">
        <v>1021</v>
      </c>
      <c r="T31" s="206">
        <v>1</v>
      </c>
      <c r="U31" s="204" t="str">
        <f t="shared" si="2"/>
        <v>支</v>
      </c>
      <c r="V31" s="205"/>
      <c r="W31" s="210"/>
      <c r="X31" s="204" t="str">
        <f t="shared" si="4"/>
        <v/>
      </c>
      <c r="Y31" s="204" t="str">
        <f t="shared" si="3"/>
        <v>支</v>
      </c>
      <c r="Z31" s="205"/>
      <c r="AA31" s="210"/>
      <c r="AB31" s="211"/>
    </row>
    <row r="32" spans="1:28" s="212" customFormat="1" ht="19.899999999999999" customHeight="1" x14ac:dyDescent="0.3">
      <c r="A32" s="201">
        <v>29</v>
      </c>
      <c r="B32" s="202" t="s">
        <v>292</v>
      </c>
      <c r="C32" s="203" t="s">
        <v>2</v>
      </c>
      <c r="D32" s="204" t="str">
        <f t="shared" si="0"/>
        <v>玻璃仪器</v>
      </c>
      <c r="E32" s="202"/>
      <c r="F32" s="206" t="s">
        <v>8</v>
      </c>
      <c r="G32" s="206"/>
      <c r="H32" s="206"/>
      <c r="I32" s="206"/>
      <c r="J32" s="203" t="s">
        <v>821</v>
      </c>
      <c r="K32" s="206">
        <v>1</v>
      </c>
      <c r="L32" s="213" t="s">
        <v>824</v>
      </c>
      <c r="M32" s="204" t="str">
        <f t="shared" si="1"/>
        <v>常规</v>
      </c>
      <c r="N32" s="205"/>
      <c r="O32" s="208" t="s">
        <v>2240</v>
      </c>
      <c r="P32" s="209">
        <v>4</v>
      </c>
      <c r="Q32" s="205"/>
      <c r="R32" s="206"/>
      <c r="S32" s="206" t="s">
        <v>1022</v>
      </c>
      <c r="T32" s="206">
        <v>1</v>
      </c>
      <c r="U32" s="204" t="str">
        <f t="shared" si="2"/>
        <v>支</v>
      </c>
      <c r="V32" s="205"/>
      <c r="W32" s="210"/>
      <c r="X32" s="204" t="str">
        <f t="shared" si="4"/>
        <v/>
      </c>
      <c r="Y32" s="204" t="str">
        <f t="shared" si="3"/>
        <v>支</v>
      </c>
      <c r="Z32" s="205"/>
      <c r="AA32" s="210"/>
      <c r="AB32" s="211"/>
    </row>
    <row r="33" spans="1:28" s="45" customFormat="1" ht="19.899999999999999" customHeight="1" x14ac:dyDescent="0.3">
      <c r="A33" s="34">
        <v>30</v>
      </c>
      <c r="B33" s="12" t="s">
        <v>293</v>
      </c>
      <c r="C33" s="29" t="s">
        <v>2</v>
      </c>
      <c r="D33" s="32" t="str">
        <f t="shared" si="0"/>
        <v>玻璃仪器</v>
      </c>
      <c r="E33" s="12"/>
      <c r="F33" s="15" t="s">
        <v>17</v>
      </c>
      <c r="G33" s="15"/>
      <c r="H33" s="15"/>
      <c r="I33" s="15"/>
      <c r="J33" s="29" t="s">
        <v>821</v>
      </c>
      <c r="K33" s="26">
        <v>1</v>
      </c>
      <c r="L33" s="37" t="s">
        <v>824</v>
      </c>
      <c r="M33" s="32" t="str">
        <f t="shared" si="1"/>
        <v>常规</v>
      </c>
      <c r="N33" s="18"/>
      <c r="O33" s="135" t="s">
        <v>2240</v>
      </c>
      <c r="P33" s="134">
        <v>4</v>
      </c>
      <c r="Q33" s="14"/>
      <c r="R33" s="15"/>
      <c r="S33" s="15" t="s">
        <v>999</v>
      </c>
      <c r="T33" s="15">
        <v>1</v>
      </c>
      <c r="U33" s="32" t="str">
        <f t="shared" si="2"/>
        <v>支</v>
      </c>
      <c r="V33" s="14"/>
      <c r="W33" s="35"/>
      <c r="X33" s="32" t="str">
        <f t="shared" si="4"/>
        <v/>
      </c>
      <c r="Y33" s="32" t="str">
        <f t="shared" si="3"/>
        <v>支</v>
      </c>
      <c r="Z33" s="14"/>
      <c r="AA33" s="15"/>
      <c r="AB33" s="101"/>
    </row>
    <row r="34" spans="1:28" s="45" customFormat="1" ht="19.899999999999999" customHeight="1" x14ac:dyDescent="0.3">
      <c r="A34" s="34">
        <v>31</v>
      </c>
      <c r="B34" s="12" t="s">
        <v>294</v>
      </c>
      <c r="C34" s="29" t="s">
        <v>2</v>
      </c>
      <c r="D34" s="32" t="str">
        <f t="shared" si="0"/>
        <v>玻璃仪器</v>
      </c>
      <c r="E34" s="12"/>
      <c r="F34" s="15" t="s">
        <v>15</v>
      </c>
      <c r="G34" s="15"/>
      <c r="H34" s="15"/>
      <c r="I34" s="15"/>
      <c r="J34" s="29" t="s">
        <v>821</v>
      </c>
      <c r="K34" s="26">
        <v>1</v>
      </c>
      <c r="L34" s="37" t="s">
        <v>824</v>
      </c>
      <c r="M34" s="32" t="str">
        <f t="shared" si="1"/>
        <v>常规</v>
      </c>
      <c r="N34" s="18"/>
      <c r="O34" s="135" t="s">
        <v>2240</v>
      </c>
      <c r="P34" s="134">
        <v>4</v>
      </c>
      <c r="Q34" s="14"/>
      <c r="R34" s="15"/>
      <c r="S34" s="15"/>
      <c r="T34" s="15"/>
      <c r="U34" s="32" t="str">
        <f t="shared" si="2"/>
        <v>支</v>
      </c>
      <c r="V34" s="14"/>
      <c r="W34" s="35"/>
      <c r="X34" s="32">
        <f t="shared" si="4"/>
        <v>1</v>
      </c>
      <c r="Y34" s="32" t="str">
        <f t="shared" si="3"/>
        <v>支</v>
      </c>
      <c r="Z34" s="14"/>
      <c r="AA34" s="15"/>
      <c r="AB34" s="101"/>
    </row>
    <row r="35" spans="1:28" s="45" customFormat="1" ht="19.899999999999999" customHeight="1" x14ac:dyDescent="0.3">
      <c r="A35" s="34">
        <v>32</v>
      </c>
      <c r="B35" s="12" t="s">
        <v>295</v>
      </c>
      <c r="C35" s="29" t="s">
        <v>2</v>
      </c>
      <c r="D35" s="32" t="str">
        <f t="shared" si="0"/>
        <v>玻璃仪器</v>
      </c>
      <c r="E35" s="12"/>
      <c r="F35" s="15" t="s">
        <v>7</v>
      </c>
      <c r="G35" s="15"/>
      <c r="H35" s="15"/>
      <c r="I35" s="15"/>
      <c r="J35" s="29" t="s">
        <v>821</v>
      </c>
      <c r="K35" s="26">
        <v>1</v>
      </c>
      <c r="L35" s="37" t="s">
        <v>824</v>
      </c>
      <c r="M35" s="32" t="str">
        <f t="shared" si="1"/>
        <v>常规</v>
      </c>
      <c r="N35" s="18"/>
      <c r="O35" s="135" t="s">
        <v>2240</v>
      </c>
      <c r="P35" s="134">
        <v>4</v>
      </c>
      <c r="Q35" s="14"/>
      <c r="R35" s="15"/>
      <c r="S35" s="15"/>
      <c r="T35" s="15"/>
      <c r="U35" s="32" t="str">
        <f t="shared" si="2"/>
        <v>支</v>
      </c>
      <c r="V35" s="14"/>
      <c r="W35" s="35"/>
      <c r="X35" s="32">
        <f t="shared" si="4"/>
        <v>1</v>
      </c>
      <c r="Y35" s="32" t="str">
        <f t="shared" si="3"/>
        <v>支</v>
      </c>
      <c r="Z35" s="14"/>
      <c r="AA35" s="15"/>
      <c r="AB35" s="101"/>
    </row>
    <row r="36" spans="1:28" s="45" customFormat="1" ht="19.899999999999999" customHeight="1" x14ac:dyDescent="0.3">
      <c r="A36" s="34">
        <v>33</v>
      </c>
      <c r="B36" s="12" t="s">
        <v>296</v>
      </c>
      <c r="C36" s="29" t="s">
        <v>2</v>
      </c>
      <c r="D36" s="32" t="str">
        <f t="shared" si="0"/>
        <v>玻璃仪器</v>
      </c>
      <c r="E36" s="12"/>
      <c r="F36" s="15" t="s">
        <v>16</v>
      </c>
      <c r="G36" s="15"/>
      <c r="H36" s="15"/>
      <c r="I36" s="15"/>
      <c r="J36" s="29" t="s">
        <v>821</v>
      </c>
      <c r="K36" s="26">
        <v>1</v>
      </c>
      <c r="L36" s="37" t="s">
        <v>824</v>
      </c>
      <c r="M36" s="32" t="str">
        <f t="shared" si="1"/>
        <v>常规</v>
      </c>
      <c r="N36" s="18"/>
      <c r="O36" s="135" t="s">
        <v>2240</v>
      </c>
      <c r="P36" s="134">
        <v>4</v>
      </c>
      <c r="Q36" s="14"/>
      <c r="R36" s="15"/>
      <c r="S36" s="15"/>
      <c r="T36" s="15"/>
      <c r="U36" s="32" t="str">
        <f t="shared" si="2"/>
        <v>支</v>
      </c>
      <c r="V36" s="14"/>
      <c r="W36" s="35"/>
      <c r="X36" s="32">
        <f t="shared" si="4"/>
        <v>1</v>
      </c>
      <c r="Y36" s="32" t="str">
        <f t="shared" si="3"/>
        <v>支</v>
      </c>
      <c r="Z36" s="14"/>
      <c r="AA36" s="15"/>
      <c r="AB36" s="101"/>
    </row>
    <row r="37" spans="1:28" s="45" customFormat="1" ht="19.899999999999999" customHeight="1" x14ac:dyDescent="0.3">
      <c r="A37" s="34">
        <v>34</v>
      </c>
      <c r="B37" s="12" t="s">
        <v>297</v>
      </c>
      <c r="C37" s="29" t="s">
        <v>2</v>
      </c>
      <c r="D37" s="32" t="str">
        <f t="shared" si="0"/>
        <v>玻璃仪器</v>
      </c>
      <c r="E37" s="12"/>
      <c r="F37" s="15" t="s">
        <v>8</v>
      </c>
      <c r="G37" s="15"/>
      <c r="H37" s="15"/>
      <c r="I37" s="15"/>
      <c r="J37" s="29" t="s">
        <v>821</v>
      </c>
      <c r="K37" s="26">
        <v>1</v>
      </c>
      <c r="L37" s="37" t="s">
        <v>824</v>
      </c>
      <c r="M37" s="32" t="str">
        <f t="shared" si="1"/>
        <v>常规</v>
      </c>
      <c r="N37" s="18"/>
      <c r="O37" s="135" t="s">
        <v>2240</v>
      </c>
      <c r="P37" s="134">
        <v>4</v>
      </c>
      <c r="Q37" s="14"/>
      <c r="R37" s="15"/>
      <c r="S37" s="15"/>
      <c r="T37" s="15"/>
      <c r="U37" s="32" t="str">
        <f t="shared" si="2"/>
        <v>支</v>
      </c>
      <c r="V37" s="14"/>
      <c r="W37" s="35"/>
      <c r="X37" s="32">
        <f t="shared" si="4"/>
        <v>1</v>
      </c>
      <c r="Y37" s="32" t="str">
        <f t="shared" si="3"/>
        <v>支</v>
      </c>
      <c r="Z37" s="14"/>
      <c r="AA37" s="15"/>
      <c r="AB37" s="101"/>
    </row>
    <row r="38" spans="1:28" s="212" customFormat="1" ht="19.899999999999999" customHeight="1" x14ac:dyDescent="0.3">
      <c r="A38" s="201">
        <v>35</v>
      </c>
      <c r="B38" s="202" t="s">
        <v>298</v>
      </c>
      <c r="C38" s="203" t="s">
        <v>2</v>
      </c>
      <c r="D38" s="204" t="str">
        <f t="shared" si="0"/>
        <v>玻璃仪器</v>
      </c>
      <c r="E38" s="202"/>
      <c r="F38" s="206" t="s">
        <v>18</v>
      </c>
      <c r="G38" s="206"/>
      <c r="H38" s="206"/>
      <c r="I38" s="206"/>
      <c r="J38" s="203" t="s">
        <v>821</v>
      </c>
      <c r="K38" s="206">
        <v>1</v>
      </c>
      <c r="L38" s="213" t="s">
        <v>824</v>
      </c>
      <c r="M38" s="204" t="str">
        <f t="shared" si="1"/>
        <v>常规</v>
      </c>
      <c r="N38" s="205"/>
      <c r="O38" s="208" t="s">
        <v>2240</v>
      </c>
      <c r="P38" s="209">
        <v>4</v>
      </c>
      <c r="Q38" s="205"/>
      <c r="R38" s="206"/>
      <c r="S38" s="206" t="s">
        <v>999</v>
      </c>
      <c r="T38" s="206">
        <v>1</v>
      </c>
      <c r="U38" s="204" t="str">
        <f t="shared" si="2"/>
        <v>支</v>
      </c>
      <c r="V38" s="205"/>
      <c r="W38" s="210"/>
      <c r="X38" s="204" t="str">
        <f t="shared" si="4"/>
        <v/>
      </c>
      <c r="Y38" s="204" t="str">
        <f t="shared" si="3"/>
        <v>支</v>
      </c>
      <c r="Z38" s="205"/>
      <c r="AA38" s="206"/>
      <c r="AB38" s="211"/>
    </row>
    <row r="39" spans="1:28" s="212" customFormat="1" ht="19.899999999999999" customHeight="1" x14ac:dyDescent="0.3">
      <c r="A39" s="201">
        <v>36</v>
      </c>
      <c r="B39" s="202" t="s">
        <v>299</v>
      </c>
      <c r="C39" s="203" t="s">
        <v>2</v>
      </c>
      <c r="D39" s="204" t="str">
        <f t="shared" si="0"/>
        <v>玻璃仪器</v>
      </c>
      <c r="E39" s="202"/>
      <c r="F39" s="206" t="s">
        <v>18</v>
      </c>
      <c r="G39" s="206"/>
      <c r="H39" s="206"/>
      <c r="I39" s="206"/>
      <c r="J39" s="203" t="s">
        <v>821</v>
      </c>
      <c r="K39" s="206">
        <v>1</v>
      </c>
      <c r="L39" s="213" t="s">
        <v>824</v>
      </c>
      <c r="M39" s="204" t="str">
        <f t="shared" si="1"/>
        <v>常规</v>
      </c>
      <c r="N39" s="205"/>
      <c r="O39" s="208" t="s">
        <v>2240</v>
      </c>
      <c r="P39" s="209">
        <v>4</v>
      </c>
      <c r="Q39" s="205"/>
      <c r="R39" s="206"/>
      <c r="S39" s="206" t="s">
        <v>999</v>
      </c>
      <c r="T39" s="206">
        <v>1</v>
      </c>
      <c r="U39" s="204" t="str">
        <f t="shared" si="2"/>
        <v>支</v>
      </c>
      <c r="V39" s="205"/>
      <c r="W39" s="210"/>
      <c r="X39" s="204" t="str">
        <f t="shared" si="4"/>
        <v/>
      </c>
      <c r="Y39" s="204" t="str">
        <f t="shared" si="3"/>
        <v>支</v>
      </c>
      <c r="Z39" s="205"/>
      <c r="AA39" s="206"/>
      <c r="AB39" s="211"/>
    </row>
    <row r="40" spans="1:28" s="212" customFormat="1" ht="19.899999999999999" customHeight="1" x14ac:dyDescent="0.3">
      <c r="A40" s="201">
        <v>37</v>
      </c>
      <c r="B40" s="202" t="s">
        <v>300</v>
      </c>
      <c r="C40" s="203" t="s">
        <v>2</v>
      </c>
      <c r="D40" s="204" t="str">
        <f t="shared" si="0"/>
        <v>玻璃仪器</v>
      </c>
      <c r="E40" s="202"/>
      <c r="F40" s="206" t="s">
        <v>16</v>
      </c>
      <c r="G40" s="206"/>
      <c r="H40" s="206"/>
      <c r="I40" s="206"/>
      <c r="J40" s="203" t="s">
        <v>821</v>
      </c>
      <c r="K40" s="206">
        <v>1</v>
      </c>
      <c r="L40" s="213" t="s">
        <v>824</v>
      </c>
      <c r="M40" s="204" t="str">
        <f t="shared" si="1"/>
        <v>常规</v>
      </c>
      <c r="N40" s="205"/>
      <c r="O40" s="208" t="s">
        <v>2240</v>
      </c>
      <c r="P40" s="209">
        <v>4</v>
      </c>
      <c r="Q40" s="205"/>
      <c r="R40" s="206"/>
      <c r="S40" s="206" t="s">
        <v>1002</v>
      </c>
      <c r="T40" s="206">
        <v>1</v>
      </c>
      <c r="U40" s="204" t="str">
        <f t="shared" si="2"/>
        <v>支</v>
      </c>
      <c r="V40" s="205"/>
      <c r="W40" s="210"/>
      <c r="X40" s="204" t="str">
        <f t="shared" si="4"/>
        <v/>
      </c>
      <c r="Y40" s="204" t="str">
        <f t="shared" si="3"/>
        <v>支</v>
      </c>
      <c r="Z40" s="205"/>
      <c r="AA40" s="206"/>
      <c r="AB40" s="211"/>
    </row>
    <row r="41" spans="1:28" s="212" customFormat="1" ht="19.899999999999999" customHeight="1" x14ac:dyDescent="0.3">
      <c r="A41" s="201">
        <v>38</v>
      </c>
      <c r="B41" s="202" t="s">
        <v>301</v>
      </c>
      <c r="C41" s="203" t="s">
        <v>2</v>
      </c>
      <c r="D41" s="204" t="str">
        <f t="shared" si="0"/>
        <v>玻璃仪器</v>
      </c>
      <c r="E41" s="202"/>
      <c r="F41" s="206" t="s">
        <v>8</v>
      </c>
      <c r="G41" s="206"/>
      <c r="H41" s="206"/>
      <c r="I41" s="206"/>
      <c r="J41" s="203" t="s">
        <v>821</v>
      </c>
      <c r="K41" s="206">
        <v>1</v>
      </c>
      <c r="L41" s="213" t="s">
        <v>824</v>
      </c>
      <c r="M41" s="204" t="str">
        <f t="shared" si="1"/>
        <v>常规</v>
      </c>
      <c r="N41" s="205"/>
      <c r="O41" s="208" t="s">
        <v>2240</v>
      </c>
      <c r="P41" s="209">
        <v>4</v>
      </c>
      <c r="Q41" s="205"/>
      <c r="R41" s="206"/>
      <c r="S41" s="206" t="s">
        <v>1003</v>
      </c>
      <c r="T41" s="206">
        <v>1</v>
      </c>
      <c r="U41" s="204" t="str">
        <f t="shared" si="2"/>
        <v>支</v>
      </c>
      <c r="V41" s="205"/>
      <c r="W41" s="210"/>
      <c r="X41" s="204" t="str">
        <f t="shared" si="4"/>
        <v/>
      </c>
      <c r="Y41" s="204" t="str">
        <f t="shared" si="3"/>
        <v>支</v>
      </c>
      <c r="Z41" s="205"/>
      <c r="AA41" s="206"/>
      <c r="AB41" s="211"/>
    </row>
    <row r="42" spans="1:28" s="212" customFormat="1" ht="19.899999999999999" customHeight="1" x14ac:dyDescent="0.3">
      <c r="A42" s="201">
        <v>39</v>
      </c>
      <c r="B42" s="202" t="s">
        <v>302</v>
      </c>
      <c r="C42" s="203" t="s">
        <v>2</v>
      </c>
      <c r="D42" s="204" t="str">
        <f t="shared" si="0"/>
        <v>玻璃仪器</v>
      </c>
      <c r="E42" s="202"/>
      <c r="F42" s="206" t="s">
        <v>18</v>
      </c>
      <c r="G42" s="206"/>
      <c r="H42" s="206"/>
      <c r="I42" s="206"/>
      <c r="J42" s="203" t="s">
        <v>821</v>
      </c>
      <c r="K42" s="206">
        <v>1</v>
      </c>
      <c r="L42" s="213" t="s">
        <v>824</v>
      </c>
      <c r="M42" s="204" t="str">
        <f t="shared" si="1"/>
        <v>常规</v>
      </c>
      <c r="N42" s="205"/>
      <c r="O42" s="208" t="s">
        <v>2240</v>
      </c>
      <c r="P42" s="209">
        <v>4</v>
      </c>
      <c r="Q42" s="205"/>
      <c r="R42" s="206"/>
      <c r="S42" s="206" t="s">
        <v>1004</v>
      </c>
      <c r="T42" s="206">
        <v>1</v>
      </c>
      <c r="U42" s="204" t="str">
        <f t="shared" si="2"/>
        <v>支</v>
      </c>
      <c r="V42" s="205"/>
      <c r="W42" s="210"/>
      <c r="X42" s="204" t="str">
        <f t="shared" si="4"/>
        <v/>
      </c>
      <c r="Y42" s="204" t="str">
        <f t="shared" si="3"/>
        <v>支</v>
      </c>
      <c r="Z42" s="205"/>
      <c r="AA42" s="206"/>
      <c r="AB42" s="211"/>
    </row>
    <row r="43" spans="1:28" s="212" customFormat="1" ht="19.899999999999999" customHeight="1" x14ac:dyDescent="0.3">
      <c r="A43" s="201">
        <v>40</v>
      </c>
      <c r="B43" s="202" t="s">
        <v>303</v>
      </c>
      <c r="C43" s="203" t="s">
        <v>2</v>
      </c>
      <c r="D43" s="204" t="str">
        <f t="shared" si="0"/>
        <v>玻璃仪器</v>
      </c>
      <c r="E43" s="202"/>
      <c r="F43" s="206" t="s">
        <v>19</v>
      </c>
      <c r="G43" s="206"/>
      <c r="H43" s="206"/>
      <c r="I43" s="206"/>
      <c r="J43" s="203" t="s">
        <v>821</v>
      </c>
      <c r="K43" s="206">
        <v>1</v>
      </c>
      <c r="L43" s="213" t="s">
        <v>824</v>
      </c>
      <c r="M43" s="204" t="str">
        <f t="shared" si="1"/>
        <v>常规</v>
      </c>
      <c r="N43" s="205"/>
      <c r="O43" s="208" t="s">
        <v>2240</v>
      </c>
      <c r="P43" s="209">
        <v>4</v>
      </c>
      <c r="Q43" s="205"/>
      <c r="R43" s="206"/>
      <c r="S43" s="206" t="s">
        <v>1005</v>
      </c>
      <c r="T43" s="206">
        <v>1</v>
      </c>
      <c r="U43" s="204" t="str">
        <f t="shared" si="2"/>
        <v>支</v>
      </c>
      <c r="V43" s="205"/>
      <c r="W43" s="210"/>
      <c r="X43" s="204" t="str">
        <f t="shared" si="4"/>
        <v/>
      </c>
      <c r="Y43" s="204" t="str">
        <f t="shared" si="3"/>
        <v>支</v>
      </c>
      <c r="Z43" s="205"/>
      <c r="AA43" s="206"/>
      <c r="AB43" s="211"/>
    </row>
    <row r="44" spans="1:28" s="45" customFormat="1" ht="19.899999999999999" customHeight="1" x14ac:dyDescent="0.3">
      <c r="A44" s="34">
        <v>41</v>
      </c>
      <c r="B44" s="12" t="s">
        <v>304</v>
      </c>
      <c r="C44" s="29" t="s">
        <v>2</v>
      </c>
      <c r="D44" s="32" t="str">
        <f t="shared" si="0"/>
        <v>玻璃仪器</v>
      </c>
      <c r="E44" s="12"/>
      <c r="F44" s="15" t="s">
        <v>14</v>
      </c>
      <c r="G44" s="15"/>
      <c r="H44" s="15"/>
      <c r="I44" s="15"/>
      <c r="J44" s="29" t="s">
        <v>821</v>
      </c>
      <c r="K44" s="26">
        <v>1</v>
      </c>
      <c r="L44" s="37" t="s">
        <v>824</v>
      </c>
      <c r="M44" s="32" t="str">
        <f t="shared" si="1"/>
        <v>常规</v>
      </c>
      <c r="N44" s="18"/>
      <c r="O44" s="135" t="s">
        <v>2240</v>
      </c>
      <c r="P44" s="134">
        <v>4</v>
      </c>
      <c r="Q44" s="14"/>
      <c r="R44" s="15"/>
      <c r="S44" s="15"/>
      <c r="T44" s="15"/>
      <c r="U44" s="32" t="str">
        <f t="shared" si="2"/>
        <v>支</v>
      </c>
      <c r="V44" s="14"/>
      <c r="W44" s="35"/>
      <c r="X44" s="32">
        <f t="shared" si="4"/>
        <v>1</v>
      </c>
      <c r="Y44" s="32" t="str">
        <f t="shared" si="3"/>
        <v>支</v>
      </c>
      <c r="Z44" s="14"/>
      <c r="AA44" s="15"/>
      <c r="AB44" s="101"/>
    </row>
    <row r="45" spans="1:28" s="212" customFormat="1" ht="19.899999999999999" customHeight="1" x14ac:dyDescent="0.3">
      <c r="A45" s="201">
        <v>42</v>
      </c>
      <c r="B45" s="202" t="s">
        <v>305</v>
      </c>
      <c r="C45" s="203" t="s">
        <v>2</v>
      </c>
      <c r="D45" s="204" t="str">
        <f t="shared" si="0"/>
        <v>玻璃仪器</v>
      </c>
      <c r="E45" s="202"/>
      <c r="F45" s="206" t="s">
        <v>7</v>
      </c>
      <c r="G45" s="206"/>
      <c r="H45" s="206"/>
      <c r="I45" s="206"/>
      <c r="J45" s="203" t="s">
        <v>821</v>
      </c>
      <c r="K45" s="206">
        <v>1</v>
      </c>
      <c r="L45" s="213" t="s">
        <v>822</v>
      </c>
      <c r="M45" s="204" t="str">
        <f t="shared" si="1"/>
        <v>常规</v>
      </c>
      <c r="N45" s="205"/>
      <c r="O45" s="208" t="s">
        <v>2240</v>
      </c>
      <c r="P45" s="209">
        <v>4</v>
      </c>
      <c r="Q45" s="205"/>
      <c r="R45" s="206"/>
      <c r="S45" s="206" t="s">
        <v>1006</v>
      </c>
      <c r="T45" s="206">
        <v>1</v>
      </c>
      <c r="U45" s="204" t="str">
        <f t="shared" si="2"/>
        <v>只</v>
      </c>
      <c r="V45" s="205"/>
      <c r="W45" s="210"/>
      <c r="X45" s="204" t="str">
        <f t="shared" si="4"/>
        <v/>
      </c>
      <c r="Y45" s="204" t="str">
        <f t="shared" si="3"/>
        <v>只</v>
      </c>
      <c r="Z45" s="205"/>
      <c r="AA45" s="206"/>
      <c r="AB45" s="211"/>
    </row>
    <row r="46" spans="1:28" s="212" customFormat="1" ht="19.899999999999999" customHeight="1" x14ac:dyDescent="0.3">
      <c r="A46" s="201">
        <v>43</v>
      </c>
      <c r="B46" s="202" t="s">
        <v>306</v>
      </c>
      <c r="C46" s="203" t="s">
        <v>2</v>
      </c>
      <c r="D46" s="204" t="str">
        <f t="shared" si="0"/>
        <v>玻璃仪器</v>
      </c>
      <c r="E46" s="202"/>
      <c r="F46" s="206" t="s">
        <v>8</v>
      </c>
      <c r="G46" s="206"/>
      <c r="H46" s="206"/>
      <c r="I46" s="206"/>
      <c r="J46" s="203" t="s">
        <v>821</v>
      </c>
      <c r="K46" s="206">
        <v>1</v>
      </c>
      <c r="L46" s="213" t="s">
        <v>822</v>
      </c>
      <c r="M46" s="204" t="str">
        <f t="shared" si="1"/>
        <v>常规</v>
      </c>
      <c r="N46" s="205"/>
      <c r="O46" s="208" t="s">
        <v>2240</v>
      </c>
      <c r="P46" s="209">
        <v>4</v>
      </c>
      <c r="Q46" s="205"/>
      <c r="R46" s="206"/>
      <c r="S46" s="206" t="s">
        <v>1007</v>
      </c>
      <c r="T46" s="206">
        <v>1</v>
      </c>
      <c r="U46" s="204" t="str">
        <f t="shared" si="2"/>
        <v>只</v>
      </c>
      <c r="V46" s="205"/>
      <c r="W46" s="210"/>
      <c r="X46" s="204" t="str">
        <f t="shared" si="4"/>
        <v/>
      </c>
      <c r="Y46" s="204" t="str">
        <f t="shared" si="3"/>
        <v>只</v>
      </c>
      <c r="Z46" s="205"/>
      <c r="AA46" s="206"/>
      <c r="AB46" s="211"/>
    </row>
    <row r="47" spans="1:28" s="212" customFormat="1" ht="19.899999999999999" customHeight="1" x14ac:dyDescent="0.3">
      <c r="A47" s="201">
        <v>44</v>
      </c>
      <c r="B47" s="202" t="s">
        <v>307</v>
      </c>
      <c r="C47" s="203" t="s">
        <v>2</v>
      </c>
      <c r="D47" s="204" t="str">
        <f t="shared" si="0"/>
        <v>玻璃仪器</v>
      </c>
      <c r="E47" s="202"/>
      <c r="F47" s="206" t="s">
        <v>19</v>
      </c>
      <c r="G47" s="206"/>
      <c r="H47" s="206"/>
      <c r="I47" s="206"/>
      <c r="J47" s="203" t="s">
        <v>821</v>
      </c>
      <c r="K47" s="206">
        <v>1</v>
      </c>
      <c r="L47" s="213" t="s">
        <v>822</v>
      </c>
      <c r="M47" s="204" t="str">
        <f t="shared" si="1"/>
        <v>常规</v>
      </c>
      <c r="N47" s="205"/>
      <c r="O47" s="208" t="s">
        <v>2240</v>
      </c>
      <c r="P47" s="209">
        <v>4</v>
      </c>
      <c r="Q47" s="205"/>
      <c r="R47" s="206"/>
      <c r="S47" s="206" t="s">
        <v>1008</v>
      </c>
      <c r="T47" s="206">
        <v>1</v>
      </c>
      <c r="U47" s="204" t="str">
        <f t="shared" si="2"/>
        <v>只</v>
      </c>
      <c r="V47" s="205"/>
      <c r="W47" s="210"/>
      <c r="X47" s="204" t="str">
        <f t="shared" si="4"/>
        <v/>
      </c>
      <c r="Y47" s="204" t="str">
        <f t="shared" si="3"/>
        <v>只</v>
      </c>
      <c r="Z47" s="205"/>
      <c r="AA47" s="206"/>
      <c r="AB47" s="214"/>
    </row>
    <row r="48" spans="1:28" s="212" customFormat="1" ht="19.899999999999999" customHeight="1" x14ac:dyDescent="0.3">
      <c r="A48" s="201">
        <v>45</v>
      </c>
      <c r="B48" s="202" t="s">
        <v>308</v>
      </c>
      <c r="C48" s="203" t="s">
        <v>2</v>
      </c>
      <c r="D48" s="204" t="str">
        <f t="shared" si="0"/>
        <v>玻璃仪器</v>
      </c>
      <c r="E48" s="202"/>
      <c r="F48" s="206" t="s">
        <v>20</v>
      </c>
      <c r="G48" s="206"/>
      <c r="H48" s="206"/>
      <c r="I48" s="206"/>
      <c r="J48" s="203" t="s">
        <v>821</v>
      </c>
      <c r="K48" s="206">
        <v>1</v>
      </c>
      <c r="L48" s="213" t="s">
        <v>822</v>
      </c>
      <c r="M48" s="204" t="str">
        <f t="shared" si="1"/>
        <v>常规</v>
      </c>
      <c r="N48" s="205"/>
      <c r="O48" s="208" t="s">
        <v>2240</v>
      </c>
      <c r="P48" s="209">
        <v>4</v>
      </c>
      <c r="Q48" s="205"/>
      <c r="R48" s="206"/>
      <c r="S48" s="206" t="s">
        <v>1009</v>
      </c>
      <c r="T48" s="206">
        <v>1</v>
      </c>
      <c r="U48" s="204" t="str">
        <f t="shared" si="2"/>
        <v>只</v>
      </c>
      <c r="V48" s="205"/>
      <c r="W48" s="210"/>
      <c r="X48" s="204" t="str">
        <f t="shared" si="4"/>
        <v/>
      </c>
      <c r="Y48" s="204" t="str">
        <f t="shared" si="3"/>
        <v>只</v>
      </c>
      <c r="Z48" s="205"/>
      <c r="AA48" s="206"/>
      <c r="AB48" s="211"/>
    </row>
    <row r="49" spans="1:28" s="212" customFormat="1" ht="19.899999999999999" customHeight="1" x14ac:dyDescent="0.3">
      <c r="A49" s="201">
        <v>46</v>
      </c>
      <c r="B49" s="202" t="s">
        <v>309</v>
      </c>
      <c r="C49" s="203" t="s">
        <v>2</v>
      </c>
      <c r="D49" s="204" t="str">
        <f t="shared" si="0"/>
        <v>玻璃仪器</v>
      </c>
      <c r="E49" s="202"/>
      <c r="F49" s="206" t="s">
        <v>9</v>
      </c>
      <c r="G49" s="206"/>
      <c r="H49" s="206"/>
      <c r="I49" s="206"/>
      <c r="J49" s="203" t="s">
        <v>821</v>
      </c>
      <c r="K49" s="206">
        <v>1</v>
      </c>
      <c r="L49" s="213" t="s">
        <v>822</v>
      </c>
      <c r="M49" s="204" t="str">
        <f t="shared" si="1"/>
        <v>常规</v>
      </c>
      <c r="N49" s="205"/>
      <c r="O49" s="208" t="s">
        <v>2240</v>
      </c>
      <c r="P49" s="209">
        <v>4</v>
      </c>
      <c r="Q49" s="205"/>
      <c r="R49" s="206"/>
      <c r="S49" s="206" t="s">
        <v>1010</v>
      </c>
      <c r="T49" s="206">
        <v>1</v>
      </c>
      <c r="U49" s="204" t="str">
        <f t="shared" si="2"/>
        <v>只</v>
      </c>
      <c r="V49" s="205"/>
      <c r="W49" s="210"/>
      <c r="X49" s="204" t="str">
        <f t="shared" si="4"/>
        <v/>
      </c>
      <c r="Y49" s="204" t="str">
        <f t="shared" si="3"/>
        <v>只</v>
      </c>
      <c r="Z49" s="205"/>
      <c r="AA49" s="206"/>
      <c r="AB49" s="211"/>
    </row>
    <row r="50" spans="1:28" s="212" customFormat="1" ht="19.899999999999999" customHeight="1" x14ac:dyDescent="0.3">
      <c r="A50" s="201">
        <v>47</v>
      </c>
      <c r="B50" s="202" t="s">
        <v>310</v>
      </c>
      <c r="C50" s="203" t="s">
        <v>2</v>
      </c>
      <c r="D50" s="204" t="str">
        <f t="shared" si="0"/>
        <v>玻璃仪器</v>
      </c>
      <c r="E50" s="202"/>
      <c r="F50" s="206" t="s">
        <v>10</v>
      </c>
      <c r="G50" s="206"/>
      <c r="H50" s="206"/>
      <c r="I50" s="206"/>
      <c r="J50" s="203" t="s">
        <v>821</v>
      </c>
      <c r="K50" s="206">
        <v>1</v>
      </c>
      <c r="L50" s="213" t="s">
        <v>822</v>
      </c>
      <c r="M50" s="204" t="str">
        <f t="shared" si="1"/>
        <v>常规</v>
      </c>
      <c r="N50" s="205"/>
      <c r="O50" s="208" t="s">
        <v>2240</v>
      </c>
      <c r="P50" s="209">
        <v>4</v>
      </c>
      <c r="Q50" s="205"/>
      <c r="R50" s="206"/>
      <c r="S50" s="206" t="s">
        <v>1011</v>
      </c>
      <c r="T50" s="206">
        <v>1</v>
      </c>
      <c r="U50" s="204" t="str">
        <f t="shared" si="2"/>
        <v>只</v>
      </c>
      <c r="V50" s="205"/>
      <c r="W50" s="210"/>
      <c r="X50" s="204" t="str">
        <f t="shared" si="4"/>
        <v/>
      </c>
      <c r="Y50" s="204" t="str">
        <f t="shared" si="3"/>
        <v>只</v>
      </c>
      <c r="Z50" s="205"/>
      <c r="AA50" s="206"/>
      <c r="AB50" s="211"/>
    </row>
    <row r="51" spans="1:28" s="212" customFormat="1" ht="19.899999999999999" customHeight="1" x14ac:dyDescent="0.3">
      <c r="A51" s="201">
        <v>48</v>
      </c>
      <c r="B51" s="202" t="s">
        <v>311</v>
      </c>
      <c r="C51" s="203" t="s">
        <v>2</v>
      </c>
      <c r="D51" s="204" t="str">
        <f t="shared" si="0"/>
        <v>玻璃仪器</v>
      </c>
      <c r="E51" s="202"/>
      <c r="F51" s="206" t="s">
        <v>19</v>
      </c>
      <c r="G51" s="206"/>
      <c r="H51" s="206"/>
      <c r="I51" s="206"/>
      <c r="J51" s="203" t="s">
        <v>821</v>
      </c>
      <c r="K51" s="206">
        <v>1</v>
      </c>
      <c r="L51" s="213" t="s">
        <v>822</v>
      </c>
      <c r="M51" s="204" t="str">
        <f t="shared" si="1"/>
        <v>常规</v>
      </c>
      <c r="N51" s="205"/>
      <c r="O51" s="208" t="s">
        <v>2240</v>
      </c>
      <c r="P51" s="209">
        <v>4</v>
      </c>
      <c r="Q51" s="205"/>
      <c r="R51" s="206"/>
      <c r="S51" s="206" t="s">
        <v>1014</v>
      </c>
      <c r="T51" s="206">
        <v>1</v>
      </c>
      <c r="U51" s="204" t="str">
        <f t="shared" si="2"/>
        <v>只</v>
      </c>
      <c r="V51" s="205"/>
      <c r="W51" s="210"/>
      <c r="X51" s="204" t="str">
        <f t="shared" si="4"/>
        <v/>
      </c>
      <c r="Y51" s="204" t="str">
        <f t="shared" si="3"/>
        <v>只</v>
      </c>
      <c r="Z51" s="205"/>
      <c r="AA51" s="206"/>
      <c r="AB51" s="211"/>
    </row>
    <row r="52" spans="1:28" s="212" customFormat="1" ht="19.899999999999999" customHeight="1" x14ac:dyDescent="0.3">
      <c r="A52" s="201">
        <v>49</v>
      </c>
      <c r="B52" s="202" t="s">
        <v>312</v>
      </c>
      <c r="C52" s="203" t="s">
        <v>2</v>
      </c>
      <c r="D52" s="204" t="str">
        <f t="shared" si="0"/>
        <v>玻璃仪器</v>
      </c>
      <c r="E52" s="202"/>
      <c r="F52" s="206" t="s">
        <v>21</v>
      </c>
      <c r="G52" s="206"/>
      <c r="H52" s="206"/>
      <c r="I52" s="206"/>
      <c r="J52" s="203" t="s">
        <v>821</v>
      </c>
      <c r="K52" s="206">
        <v>1</v>
      </c>
      <c r="L52" s="213" t="s">
        <v>824</v>
      </c>
      <c r="M52" s="204" t="str">
        <f t="shared" si="1"/>
        <v>常规</v>
      </c>
      <c r="N52" s="205"/>
      <c r="O52" s="208" t="s">
        <v>2240</v>
      </c>
      <c r="P52" s="209">
        <v>4</v>
      </c>
      <c r="Q52" s="205"/>
      <c r="R52" s="206"/>
      <c r="S52" s="206" t="s">
        <v>1000</v>
      </c>
      <c r="T52" s="206">
        <v>1</v>
      </c>
      <c r="U52" s="204" t="str">
        <f t="shared" si="2"/>
        <v>支</v>
      </c>
      <c r="V52" s="205"/>
      <c r="W52" s="210"/>
      <c r="X52" s="204" t="str">
        <f t="shared" si="4"/>
        <v/>
      </c>
      <c r="Y52" s="204" t="str">
        <f t="shared" si="3"/>
        <v>支</v>
      </c>
      <c r="Z52" s="205"/>
      <c r="AA52" s="206"/>
      <c r="AB52" s="211"/>
    </row>
    <row r="53" spans="1:28" s="212" customFormat="1" ht="19.899999999999999" customHeight="1" x14ac:dyDescent="0.3">
      <c r="A53" s="201">
        <v>50</v>
      </c>
      <c r="B53" s="202" t="s">
        <v>313</v>
      </c>
      <c r="C53" s="203" t="s">
        <v>2</v>
      </c>
      <c r="D53" s="204" t="str">
        <f t="shared" si="0"/>
        <v>玻璃仪器</v>
      </c>
      <c r="E53" s="202"/>
      <c r="F53" s="206" t="s">
        <v>22</v>
      </c>
      <c r="G53" s="206"/>
      <c r="H53" s="206"/>
      <c r="I53" s="206"/>
      <c r="J53" s="203" t="s">
        <v>821</v>
      </c>
      <c r="K53" s="206">
        <v>1</v>
      </c>
      <c r="L53" s="213" t="s">
        <v>824</v>
      </c>
      <c r="M53" s="204" t="str">
        <f t="shared" si="1"/>
        <v>常规</v>
      </c>
      <c r="N53" s="205"/>
      <c r="O53" s="208" t="s">
        <v>2240</v>
      </c>
      <c r="P53" s="209">
        <v>4</v>
      </c>
      <c r="Q53" s="205"/>
      <c r="R53" s="206"/>
      <c r="S53" s="206" t="s">
        <v>1001</v>
      </c>
      <c r="T53" s="206">
        <v>1</v>
      </c>
      <c r="U53" s="204" t="str">
        <f t="shared" si="2"/>
        <v>支</v>
      </c>
      <c r="V53" s="205"/>
      <c r="W53" s="210"/>
      <c r="X53" s="204" t="str">
        <f t="shared" si="4"/>
        <v/>
      </c>
      <c r="Y53" s="204" t="str">
        <f t="shared" si="3"/>
        <v>支</v>
      </c>
      <c r="Z53" s="205"/>
      <c r="AA53" s="206"/>
      <c r="AB53" s="211"/>
    </row>
    <row r="54" spans="1:28" s="45" customFormat="1" ht="19.899999999999999" customHeight="1" x14ac:dyDescent="0.3">
      <c r="A54" s="34">
        <v>51</v>
      </c>
      <c r="B54" s="12" t="s">
        <v>314</v>
      </c>
      <c r="C54" s="29" t="s">
        <v>2</v>
      </c>
      <c r="D54" s="32" t="str">
        <f t="shared" si="0"/>
        <v>玻璃仪器</v>
      </c>
      <c r="E54" s="12"/>
      <c r="F54" s="15" t="s">
        <v>23</v>
      </c>
      <c r="G54" s="15"/>
      <c r="H54" s="15"/>
      <c r="I54" s="15"/>
      <c r="J54" s="29" t="s">
        <v>821</v>
      </c>
      <c r="K54" s="26">
        <v>1</v>
      </c>
      <c r="L54" s="37" t="s">
        <v>824</v>
      </c>
      <c r="M54" s="32" t="str">
        <f t="shared" si="1"/>
        <v>常规</v>
      </c>
      <c r="N54" s="18"/>
      <c r="O54" s="135" t="s">
        <v>2240</v>
      </c>
      <c r="P54" s="134">
        <v>4</v>
      </c>
      <c r="Q54" s="14"/>
      <c r="R54" s="15"/>
      <c r="S54" s="15"/>
      <c r="T54" s="15"/>
      <c r="U54" s="32" t="str">
        <f t="shared" si="2"/>
        <v>支</v>
      </c>
      <c r="V54" s="14"/>
      <c r="W54" s="35"/>
      <c r="X54" s="32">
        <f t="shared" si="4"/>
        <v>1</v>
      </c>
      <c r="Y54" s="32" t="str">
        <f t="shared" si="3"/>
        <v>支</v>
      </c>
      <c r="Z54" s="14"/>
      <c r="AA54" s="15"/>
      <c r="AB54" s="101"/>
    </row>
    <row r="55" spans="1:28" s="45" customFormat="1" ht="19.899999999999999" customHeight="1" x14ac:dyDescent="0.3">
      <c r="A55" s="34">
        <v>52</v>
      </c>
      <c r="B55" s="12" t="s">
        <v>315</v>
      </c>
      <c r="C55" s="29" t="s">
        <v>2</v>
      </c>
      <c r="D55" s="32" t="str">
        <f t="shared" si="0"/>
        <v>玻璃仪器</v>
      </c>
      <c r="E55" s="12"/>
      <c r="F55" s="15" t="s">
        <v>14</v>
      </c>
      <c r="G55" s="15"/>
      <c r="H55" s="15"/>
      <c r="I55" s="15"/>
      <c r="J55" s="29" t="s">
        <v>821</v>
      </c>
      <c r="K55" s="26">
        <v>1</v>
      </c>
      <c r="L55" s="37" t="s">
        <v>824</v>
      </c>
      <c r="M55" s="32" t="str">
        <f t="shared" si="1"/>
        <v>常规</v>
      </c>
      <c r="N55" s="18"/>
      <c r="O55" s="135" t="s">
        <v>2240</v>
      </c>
      <c r="P55" s="134">
        <v>4</v>
      </c>
      <c r="Q55" s="14"/>
      <c r="R55" s="15"/>
      <c r="S55" s="15"/>
      <c r="T55" s="15"/>
      <c r="U55" s="32" t="str">
        <f t="shared" si="2"/>
        <v>支</v>
      </c>
      <c r="V55" s="14"/>
      <c r="W55" s="35"/>
      <c r="X55" s="32">
        <f t="shared" si="4"/>
        <v>1</v>
      </c>
      <c r="Y55" s="32" t="str">
        <f t="shared" si="3"/>
        <v>支</v>
      </c>
      <c r="Z55" s="14"/>
      <c r="AA55" s="15"/>
      <c r="AB55" s="101"/>
    </row>
    <row r="56" spans="1:28" s="45" customFormat="1" ht="19.899999999999999" customHeight="1" x14ac:dyDescent="0.3">
      <c r="A56" s="34">
        <v>53</v>
      </c>
      <c r="B56" s="12" t="s">
        <v>316</v>
      </c>
      <c r="C56" s="29" t="s">
        <v>2</v>
      </c>
      <c r="D56" s="32" t="str">
        <f t="shared" si="0"/>
        <v>玻璃仪器</v>
      </c>
      <c r="E56" s="12"/>
      <c r="F56" s="15" t="s">
        <v>15</v>
      </c>
      <c r="G56" s="15"/>
      <c r="H56" s="15"/>
      <c r="I56" s="15"/>
      <c r="J56" s="29" t="s">
        <v>821</v>
      </c>
      <c r="K56" s="26">
        <v>1</v>
      </c>
      <c r="L56" s="37" t="s">
        <v>824</v>
      </c>
      <c r="M56" s="32" t="str">
        <f t="shared" si="1"/>
        <v>常规</v>
      </c>
      <c r="N56" s="18"/>
      <c r="O56" s="135" t="s">
        <v>2240</v>
      </c>
      <c r="P56" s="134">
        <v>4</v>
      </c>
      <c r="Q56" s="14"/>
      <c r="R56" s="15"/>
      <c r="S56" s="15"/>
      <c r="T56" s="15"/>
      <c r="U56" s="32" t="str">
        <f t="shared" si="2"/>
        <v>支</v>
      </c>
      <c r="V56" s="14"/>
      <c r="W56" s="35"/>
      <c r="X56" s="32">
        <f t="shared" si="4"/>
        <v>1</v>
      </c>
      <c r="Y56" s="32" t="str">
        <f t="shared" si="3"/>
        <v>支</v>
      </c>
      <c r="Z56" s="14"/>
      <c r="AA56" s="15"/>
      <c r="AB56" s="101"/>
    </row>
    <row r="57" spans="1:28" s="45" customFormat="1" ht="19.899999999999999" customHeight="1" x14ac:dyDescent="0.3">
      <c r="A57" s="34">
        <v>54</v>
      </c>
      <c r="B57" s="12" t="s">
        <v>317</v>
      </c>
      <c r="C57" s="29" t="s">
        <v>2</v>
      </c>
      <c r="D57" s="32" t="str">
        <f t="shared" si="0"/>
        <v>玻璃仪器</v>
      </c>
      <c r="E57" s="12"/>
      <c r="F57" s="15" t="s">
        <v>24</v>
      </c>
      <c r="G57" s="15"/>
      <c r="H57" s="15"/>
      <c r="I57" s="15"/>
      <c r="J57" s="29" t="s">
        <v>821</v>
      </c>
      <c r="K57" s="26">
        <v>1</v>
      </c>
      <c r="L57" s="37" t="s">
        <v>824</v>
      </c>
      <c r="M57" s="32" t="str">
        <f t="shared" si="1"/>
        <v>常规</v>
      </c>
      <c r="N57" s="18"/>
      <c r="O57" s="135" t="s">
        <v>2240</v>
      </c>
      <c r="P57" s="134">
        <v>4</v>
      </c>
      <c r="Q57" s="14"/>
      <c r="R57" s="15"/>
      <c r="S57" s="15"/>
      <c r="T57" s="15"/>
      <c r="U57" s="32" t="str">
        <f t="shared" si="2"/>
        <v>支</v>
      </c>
      <c r="V57" s="14"/>
      <c r="W57" s="35"/>
      <c r="X57" s="32">
        <f t="shared" si="4"/>
        <v>1</v>
      </c>
      <c r="Y57" s="32" t="str">
        <f t="shared" si="3"/>
        <v>支</v>
      </c>
      <c r="Z57" s="14"/>
      <c r="AA57" s="15"/>
      <c r="AB57" s="101"/>
    </row>
    <row r="58" spans="1:28" s="45" customFormat="1" ht="19.899999999999999" customHeight="1" x14ac:dyDescent="0.3">
      <c r="A58" s="34">
        <v>55</v>
      </c>
      <c r="B58" s="12" t="s">
        <v>318</v>
      </c>
      <c r="C58" s="29" t="s">
        <v>2</v>
      </c>
      <c r="D58" s="32" t="str">
        <f t="shared" si="0"/>
        <v>玻璃仪器</v>
      </c>
      <c r="E58" s="12"/>
      <c r="F58" s="15" t="s">
        <v>7</v>
      </c>
      <c r="G58" s="15"/>
      <c r="H58" s="15"/>
      <c r="I58" s="15"/>
      <c r="J58" s="29" t="s">
        <v>821</v>
      </c>
      <c r="K58" s="26">
        <v>1</v>
      </c>
      <c r="L58" s="37" t="s">
        <v>824</v>
      </c>
      <c r="M58" s="32" t="str">
        <f t="shared" si="1"/>
        <v>常规</v>
      </c>
      <c r="N58" s="18"/>
      <c r="O58" s="135" t="s">
        <v>2240</v>
      </c>
      <c r="P58" s="134">
        <v>4</v>
      </c>
      <c r="Q58" s="14"/>
      <c r="R58" s="15"/>
      <c r="S58" s="15"/>
      <c r="T58" s="15"/>
      <c r="U58" s="32" t="str">
        <f t="shared" si="2"/>
        <v>支</v>
      </c>
      <c r="V58" s="14"/>
      <c r="W58" s="35"/>
      <c r="X58" s="32">
        <f t="shared" si="4"/>
        <v>1</v>
      </c>
      <c r="Y58" s="32" t="str">
        <f t="shared" si="3"/>
        <v>支</v>
      </c>
      <c r="Z58" s="14"/>
      <c r="AA58" s="15"/>
      <c r="AB58" s="101"/>
    </row>
    <row r="59" spans="1:28" s="45" customFormat="1" ht="19.899999999999999" customHeight="1" x14ac:dyDescent="0.3">
      <c r="A59" s="34">
        <v>56</v>
      </c>
      <c r="B59" s="12" t="s">
        <v>319</v>
      </c>
      <c r="C59" s="29" t="s">
        <v>2</v>
      </c>
      <c r="D59" s="32" t="str">
        <f t="shared" si="0"/>
        <v>玻璃仪器</v>
      </c>
      <c r="E59" s="12"/>
      <c r="F59" s="15" t="s">
        <v>16</v>
      </c>
      <c r="G59" s="15"/>
      <c r="H59" s="15"/>
      <c r="I59" s="15"/>
      <c r="J59" s="29" t="s">
        <v>821</v>
      </c>
      <c r="K59" s="26">
        <v>1</v>
      </c>
      <c r="L59" s="37" t="s">
        <v>824</v>
      </c>
      <c r="M59" s="32" t="str">
        <f t="shared" si="1"/>
        <v>常规</v>
      </c>
      <c r="N59" s="18"/>
      <c r="O59" s="135" t="s">
        <v>2240</v>
      </c>
      <c r="P59" s="134">
        <v>4</v>
      </c>
      <c r="Q59" s="14"/>
      <c r="R59" s="15"/>
      <c r="S59" s="15"/>
      <c r="T59" s="15"/>
      <c r="U59" s="32" t="str">
        <f t="shared" si="2"/>
        <v>支</v>
      </c>
      <c r="V59" s="14"/>
      <c r="W59" s="35"/>
      <c r="X59" s="32">
        <f t="shared" si="4"/>
        <v>1</v>
      </c>
      <c r="Y59" s="32" t="str">
        <f t="shared" si="3"/>
        <v>支</v>
      </c>
      <c r="Z59" s="14"/>
      <c r="AA59" s="15"/>
      <c r="AB59" s="101"/>
    </row>
    <row r="60" spans="1:28" s="45" customFormat="1" ht="19.899999999999999" customHeight="1" x14ac:dyDescent="0.3">
      <c r="A60" s="34">
        <v>57</v>
      </c>
      <c r="B60" s="12" t="s">
        <v>320</v>
      </c>
      <c r="C60" s="29" t="s">
        <v>2</v>
      </c>
      <c r="D60" s="32" t="str">
        <f t="shared" si="0"/>
        <v>玻璃仪器</v>
      </c>
      <c r="E60" s="12"/>
      <c r="F60" s="15" t="s">
        <v>25</v>
      </c>
      <c r="G60" s="15"/>
      <c r="H60" s="15"/>
      <c r="I60" s="15"/>
      <c r="J60" s="29" t="s">
        <v>821</v>
      </c>
      <c r="K60" s="26">
        <v>1</v>
      </c>
      <c r="L60" s="37" t="s">
        <v>824</v>
      </c>
      <c r="M60" s="32" t="str">
        <f t="shared" si="1"/>
        <v>常规</v>
      </c>
      <c r="N60" s="18"/>
      <c r="O60" s="135" t="s">
        <v>2240</v>
      </c>
      <c r="P60" s="134">
        <v>4</v>
      </c>
      <c r="Q60" s="14"/>
      <c r="R60" s="15"/>
      <c r="S60" s="15"/>
      <c r="T60" s="15"/>
      <c r="U60" s="32" t="str">
        <f t="shared" si="2"/>
        <v>支</v>
      </c>
      <c r="V60" s="14"/>
      <c r="W60" s="35"/>
      <c r="X60" s="32">
        <f t="shared" si="4"/>
        <v>1</v>
      </c>
      <c r="Y60" s="32" t="str">
        <f t="shared" si="3"/>
        <v>支</v>
      </c>
      <c r="Z60" s="14"/>
      <c r="AA60" s="15"/>
      <c r="AB60" s="101"/>
    </row>
    <row r="61" spans="1:28" s="45" customFormat="1" ht="19.899999999999999" customHeight="1" x14ac:dyDescent="0.3">
      <c r="A61" s="34">
        <v>58</v>
      </c>
      <c r="B61" s="12" t="s">
        <v>321</v>
      </c>
      <c r="C61" s="29" t="s">
        <v>2</v>
      </c>
      <c r="D61" s="32" t="str">
        <f t="shared" si="0"/>
        <v>玻璃仪器</v>
      </c>
      <c r="E61" s="12"/>
      <c r="F61" s="15" t="s">
        <v>26</v>
      </c>
      <c r="G61" s="15"/>
      <c r="H61" s="15"/>
      <c r="I61" s="15"/>
      <c r="J61" s="29" t="s">
        <v>821</v>
      </c>
      <c r="K61" s="26">
        <v>1</v>
      </c>
      <c r="L61" s="37" t="s">
        <v>824</v>
      </c>
      <c r="M61" s="32" t="str">
        <f t="shared" si="1"/>
        <v>常规</v>
      </c>
      <c r="N61" s="18"/>
      <c r="O61" s="135" t="s">
        <v>2240</v>
      </c>
      <c r="P61" s="134">
        <v>4</v>
      </c>
      <c r="Q61" s="14"/>
      <c r="R61" s="15"/>
      <c r="S61" s="15"/>
      <c r="T61" s="15"/>
      <c r="U61" s="32" t="str">
        <f t="shared" si="2"/>
        <v>支</v>
      </c>
      <c r="V61" s="14"/>
      <c r="W61" s="35"/>
      <c r="X61" s="32">
        <f t="shared" si="4"/>
        <v>1</v>
      </c>
      <c r="Y61" s="32" t="str">
        <f t="shared" si="3"/>
        <v>支</v>
      </c>
      <c r="Z61" s="14"/>
      <c r="AA61" s="15"/>
      <c r="AB61" s="101"/>
    </row>
    <row r="62" spans="1:28" s="45" customFormat="1" ht="19.899999999999999" customHeight="1" x14ac:dyDescent="0.3">
      <c r="A62" s="34">
        <v>59</v>
      </c>
      <c r="B62" s="12" t="s">
        <v>322</v>
      </c>
      <c r="C62" s="29" t="s">
        <v>2</v>
      </c>
      <c r="D62" s="32" t="str">
        <f t="shared" si="0"/>
        <v>玻璃仪器</v>
      </c>
      <c r="E62" s="12"/>
      <c r="F62" s="15" t="s">
        <v>2790</v>
      </c>
      <c r="G62" s="15"/>
      <c r="H62" s="15"/>
      <c r="I62" s="15"/>
      <c r="J62" s="29" t="s">
        <v>821</v>
      </c>
      <c r="K62" s="26">
        <v>1</v>
      </c>
      <c r="L62" s="37" t="s">
        <v>824</v>
      </c>
      <c r="M62" s="32" t="str">
        <f t="shared" si="1"/>
        <v>常规</v>
      </c>
      <c r="N62" s="18"/>
      <c r="O62" s="135" t="s">
        <v>2240</v>
      </c>
      <c r="P62" s="134">
        <v>4</v>
      </c>
      <c r="Q62" s="14"/>
      <c r="R62" s="15"/>
      <c r="S62" s="15"/>
      <c r="T62" s="15"/>
      <c r="U62" s="32" t="str">
        <f t="shared" si="2"/>
        <v>支</v>
      </c>
      <c r="V62" s="14"/>
      <c r="W62" s="35"/>
      <c r="X62" s="32">
        <f t="shared" si="4"/>
        <v>1</v>
      </c>
      <c r="Y62" s="32" t="str">
        <f t="shared" si="3"/>
        <v>支</v>
      </c>
      <c r="Z62" s="14"/>
      <c r="AA62" s="15"/>
      <c r="AB62" s="101"/>
    </row>
    <row r="63" spans="1:28" s="45" customFormat="1" ht="19.899999999999999" customHeight="1" x14ac:dyDescent="0.3">
      <c r="A63" s="34">
        <v>60</v>
      </c>
      <c r="B63" s="12" t="s">
        <v>323</v>
      </c>
      <c r="C63" s="29" t="s">
        <v>2</v>
      </c>
      <c r="D63" s="32" t="str">
        <f t="shared" si="0"/>
        <v>玻璃仪器</v>
      </c>
      <c r="E63" s="12"/>
      <c r="F63" s="15" t="s">
        <v>18</v>
      </c>
      <c r="G63" s="15"/>
      <c r="H63" s="15"/>
      <c r="I63" s="15"/>
      <c r="J63" s="29" t="s">
        <v>821</v>
      </c>
      <c r="K63" s="26">
        <v>1</v>
      </c>
      <c r="L63" s="37" t="s">
        <v>824</v>
      </c>
      <c r="M63" s="32" t="str">
        <f t="shared" si="1"/>
        <v>常规</v>
      </c>
      <c r="N63" s="18"/>
      <c r="O63" s="135" t="s">
        <v>2240</v>
      </c>
      <c r="P63" s="134">
        <v>4</v>
      </c>
      <c r="Q63" s="14"/>
      <c r="R63" s="15"/>
      <c r="S63" s="15"/>
      <c r="T63" s="15"/>
      <c r="U63" s="32" t="str">
        <f t="shared" si="2"/>
        <v>支</v>
      </c>
      <c r="V63" s="14"/>
      <c r="W63" s="35"/>
      <c r="X63" s="32">
        <f t="shared" si="4"/>
        <v>1</v>
      </c>
      <c r="Y63" s="32" t="str">
        <f t="shared" si="3"/>
        <v>支</v>
      </c>
      <c r="Z63" s="14"/>
      <c r="AA63" s="15"/>
      <c r="AB63" s="101"/>
    </row>
    <row r="64" spans="1:28" s="45" customFormat="1" ht="19.899999999999999" customHeight="1" x14ac:dyDescent="0.3">
      <c r="A64" s="34">
        <v>61</v>
      </c>
      <c r="B64" s="12" t="s">
        <v>324</v>
      </c>
      <c r="C64" s="29" t="s">
        <v>2</v>
      </c>
      <c r="D64" s="32" t="str">
        <f t="shared" si="0"/>
        <v>玻璃仪器</v>
      </c>
      <c r="E64" s="12"/>
      <c r="F64" s="15" t="s">
        <v>19</v>
      </c>
      <c r="G64" s="15"/>
      <c r="H64" s="15"/>
      <c r="I64" s="15"/>
      <c r="J64" s="29" t="s">
        <v>821</v>
      </c>
      <c r="K64" s="26">
        <v>1</v>
      </c>
      <c r="L64" s="37" t="s">
        <v>824</v>
      </c>
      <c r="M64" s="32" t="str">
        <f t="shared" si="1"/>
        <v>常规</v>
      </c>
      <c r="N64" s="18"/>
      <c r="O64" s="135" t="s">
        <v>2240</v>
      </c>
      <c r="P64" s="134">
        <v>4</v>
      </c>
      <c r="Q64" s="14"/>
      <c r="R64" s="15"/>
      <c r="S64" s="15"/>
      <c r="T64" s="15"/>
      <c r="U64" s="32" t="str">
        <f t="shared" si="2"/>
        <v>支</v>
      </c>
      <c r="V64" s="14"/>
      <c r="W64" s="35"/>
      <c r="X64" s="32">
        <f t="shared" si="4"/>
        <v>1</v>
      </c>
      <c r="Y64" s="32" t="str">
        <f t="shared" si="3"/>
        <v>支</v>
      </c>
      <c r="Z64" s="14"/>
      <c r="AA64" s="15"/>
      <c r="AB64" s="101"/>
    </row>
    <row r="65" spans="1:28" s="45" customFormat="1" ht="19.899999999999999" customHeight="1" x14ac:dyDescent="0.3">
      <c r="A65" s="34">
        <v>62</v>
      </c>
      <c r="B65" s="12" t="s">
        <v>325</v>
      </c>
      <c r="C65" s="29" t="s">
        <v>2</v>
      </c>
      <c r="D65" s="32" t="str">
        <f t="shared" si="0"/>
        <v>玻璃仪器</v>
      </c>
      <c r="E65" s="12"/>
      <c r="F65" s="12" t="s">
        <v>8</v>
      </c>
      <c r="G65" s="15"/>
      <c r="H65" s="15"/>
      <c r="I65" s="15"/>
      <c r="J65" s="29" t="s">
        <v>821</v>
      </c>
      <c r="K65" s="26">
        <v>1</v>
      </c>
      <c r="L65" s="37" t="s">
        <v>824</v>
      </c>
      <c r="M65" s="32" t="str">
        <f t="shared" si="1"/>
        <v>常规</v>
      </c>
      <c r="N65" s="18"/>
      <c r="O65" s="135" t="s">
        <v>2240</v>
      </c>
      <c r="P65" s="134">
        <v>4</v>
      </c>
      <c r="Q65" s="14"/>
      <c r="R65" s="15"/>
      <c r="S65" s="15"/>
      <c r="T65" s="15"/>
      <c r="U65" s="32" t="str">
        <f t="shared" si="2"/>
        <v>支</v>
      </c>
      <c r="V65" s="14"/>
      <c r="W65" s="35"/>
      <c r="X65" s="32">
        <f t="shared" si="4"/>
        <v>1</v>
      </c>
      <c r="Y65" s="32" t="str">
        <f t="shared" si="3"/>
        <v>支</v>
      </c>
      <c r="Z65" s="14"/>
      <c r="AA65" s="15"/>
      <c r="AB65" s="101"/>
    </row>
    <row r="66" spans="1:28" s="45" customFormat="1" ht="19.899999999999999" customHeight="1" x14ac:dyDescent="0.3">
      <c r="A66" s="34">
        <v>63</v>
      </c>
      <c r="B66" s="12" t="s">
        <v>2792</v>
      </c>
      <c r="C66" s="29" t="s">
        <v>2</v>
      </c>
      <c r="D66" s="32" t="str">
        <f t="shared" si="0"/>
        <v>玻璃仪器</v>
      </c>
      <c r="E66" s="12"/>
      <c r="F66" s="12" t="s">
        <v>18</v>
      </c>
      <c r="G66" s="15"/>
      <c r="H66" s="15"/>
      <c r="I66" s="15"/>
      <c r="J66" s="29" t="s">
        <v>821</v>
      </c>
      <c r="K66" s="26">
        <v>1</v>
      </c>
      <c r="L66" s="37" t="s">
        <v>824</v>
      </c>
      <c r="M66" s="32" t="str">
        <f t="shared" si="1"/>
        <v>常规</v>
      </c>
      <c r="N66" s="18"/>
      <c r="O66" s="135" t="s">
        <v>2240</v>
      </c>
      <c r="P66" s="134">
        <v>4</v>
      </c>
      <c r="Q66" s="14"/>
      <c r="R66" s="15"/>
      <c r="S66" s="15"/>
      <c r="T66" s="15"/>
      <c r="U66" s="32" t="str">
        <f t="shared" si="2"/>
        <v>支</v>
      </c>
      <c r="V66" s="14"/>
      <c r="W66" s="35"/>
      <c r="X66" s="32">
        <f t="shared" si="4"/>
        <v>1</v>
      </c>
      <c r="Y66" s="32" t="str">
        <f t="shared" si="3"/>
        <v>支</v>
      </c>
      <c r="Z66" s="14"/>
      <c r="AA66" s="15"/>
      <c r="AB66" s="101"/>
    </row>
    <row r="67" spans="1:28" s="45" customFormat="1" ht="19.899999999999999" customHeight="1" x14ac:dyDescent="0.3">
      <c r="A67" s="34">
        <v>64</v>
      </c>
      <c r="B67" s="12" t="s">
        <v>326</v>
      </c>
      <c r="C67" s="29" t="s">
        <v>2</v>
      </c>
      <c r="D67" s="32" t="str">
        <f t="shared" si="0"/>
        <v>玻璃仪器</v>
      </c>
      <c r="E67" s="12"/>
      <c r="F67" s="12" t="s">
        <v>8</v>
      </c>
      <c r="G67" s="15"/>
      <c r="H67" s="15"/>
      <c r="I67" s="15"/>
      <c r="J67" s="29" t="s">
        <v>821</v>
      </c>
      <c r="K67" s="26">
        <v>1</v>
      </c>
      <c r="L67" s="37" t="s">
        <v>824</v>
      </c>
      <c r="M67" s="32" t="str">
        <f t="shared" si="1"/>
        <v>常规</v>
      </c>
      <c r="N67" s="18"/>
      <c r="O67" s="135" t="s">
        <v>2240</v>
      </c>
      <c r="P67" s="134">
        <v>4</v>
      </c>
      <c r="Q67" s="14"/>
      <c r="R67" s="15"/>
      <c r="S67" s="15"/>
      <c r="T67" s="15"/>
      <c r="U67" s="32" t="str">
        <f t="shared" si="2"/>
        <v>支</v>
      </c>
      <c r="V67" s="14"/>
      <c r="W67" s="35"/>
      <c r="X67" s="32">
        <f t="shared" si="4"/>
        <v>1</v>
      </c>
      <c r="Y67" s="32" t="str">
        <f t="shared" si="3"/>
        <v>支</v>
      </c>
      <c r="Z67" s="14"/>
      <c r="AA67" s="15"/>
      <c r="AB67" s="101"/>
    </row>
    <row r="68" spans="1:28" s="45" customFormat="1" ht="19.899999999999999" customHeight="1" x14ac:dyDescent="0.3">
      <c r="A68" s="34">
        <v>65</v>
      </c>
      <c r="B68" s="12" t="s">
        <v>2791</v>
      </c>
      <c r="C68" s="29" t="s">
        <v>2</v>
      </c>
      <c r="D68" s="32" t="str">
        <f t="shared" ref="D68:D133" si="5">IF(C68="J1","常规化学品",IF(C68="J2","危险化学品",IF(C68="J3","标准物质",IF(C68="J4","玻璃仪器",IF(C68="J5","实验气体",IF(C68="J6","专用物耗",IF(C68="J7","备品配件",IF(C68="J8","专用工具",IF(C68="Z1","劳保物资",IF(C68="Z2","办公耗材",IF(C68="Z3","食品饮料",IF(C68="Z4","特殊物耗",IF(C68="Z5","通用物耗",IF(C68="Z6","通用工具",""))))))))))))))</f>
        <v>玻璃仪器</v>
      </c>
      <c r="E68" s="12"/>
      <c r="F68" s="12" t="s">
        <v>18</v>
      </c>
      <c r="G68" s="15"/>
      <c r="H68" s="15"/>
      <c r="I68" s="15"/>
      <c r="J68" s="29" t="s">
        <v>821</v>
      </c>
      <c r="K68" s="26">
        <v>1</v>
      </c>
      <c r="L68" s="37" t="s">
        <v>824</v>
      </c>
      <c r="M68" s="32" t="str">
        <f t="shared" ref="M68:M133" si="6">IF(D68="危险化学品","五双",IF(D68="标准物资","严控",IF(D68&lt;&gt;"","常规","")))</f>
        <v>常规</v>
      </c>
      <c r="N68" s="18"/>
      <c r="O68" s="135" t="s">
        <v>2240</v>
      </c>
      <c r="P68" s="134">
        <v>4</v>
      </c>
      <c r="Q68" s="14"/>
      <c r="R68" s="15"/>
      <c r="S68" s="15"/>
      <c r="T68" s="15"/>
      <c r="U68" s="32" t="str">
        <f t="shared" ref="U68:U133" si="7">IF(L68="","",L68)</f>
        <v>支</v>
      </c>
      <c r="V68" s="14"/>
      <c r="W68" s="35"/>
      <c r="X68" s="32">
        <f t="shared" ref="X68:X133" si="8">IF((K68-T68)&lt;=0,"",K68-T68)</f>
        <v>1</v>
      </c>
      <c r="Y68" s="32" t="str">
        <f t="shared" ref="Y68:Y133" si="9">IF(L68="","",L68)</f>
        <v>支</v>
      </c>
      <c r="Z68" s="14"/>
      <c r="AA68" s="15"/>
      <c r="AB68" s="101"/>
    </row>
    <row r="69" spans="1:28" s="212" customFormat="1" ht="19.899999999999999" customHeight="1" x14ac:dyDescent="0.3">
      <c r="A69" s="201">
        <v>66</v>
      </c>
      <c r="B69" s="202" t="s">
        <v>327</v>
      </c>
      <c r="C69" s="203" t="s">
        <v>2</v>
      </c>
      <c r="D69" s="204" t="str">
        <f t="shared" si="5"/>
        <v>玻璃仪器</v>
      </c>
      <c r="E69" s="202"/>
      <c r="F69" s="202" t="s">
        <v>8</v>
      </c>
      <c r="G69" s="206"/>
      <c r="H69" s="206"/>
      <c r="I69" s="206"/>
      <c r="J69" s="203" t="s">
        <v>821</v>
      </c>
      <c r="K69" s="206">
        <v>1</v>
      </c>
      <c r="L69" s="213" t="s">
        <v>824</v>
      </c>
      <c r="M69" s="204" t="str">
        <f t="shared" si="6"/>
        <v>常规</v>
      </c>
      <c r="N69" s="205"/>
      <c r="O69" s="208" t="s">
        <v>2240</v>
      </c>
      <c r="P69" s="209">
        <v>4</v>
      </c>
      <c r="Q69" s="205"/>
      <c r="R69" s="206"/>
      <c r="S69" s="206" t="s">
        <v>1024</v>
      </c>
      <c r="T69" s="206">
        <v>1</v>
      </c>
      <c r="U69" s="204" t="str">
        <f t="shared" si="7"/>
        <v>支</v>
      </c>
      <c r="V69" s="205"/>
      <c r="W69" s="210"/>
      <c r="X69" s="204" t="str">
        <f t="shared" si="8"/>
        <v/>
      </c>
      <c r="Y69" s="204" t="str">
        <f t="shared" si="9"/>
        <v>支</v>
      </c>
      <c r="Z69" s="205"/>
      <c r="AA69" s="206"/>
      <c r="AB69" s="211"/>
    </row>
    <row r="70" spans="1:28" s="212" customFormat="1" ht="19.899999999999999" customHeight="1" x14ac:dyDescent="0.3">
      <c r="A70" s="201">
        <v>67</v>
      </c>
      <c r="B70" s="202" t="s">
        <v>328</v>
      </c>
      <c r="C70" s="203" t="s">
        <v>2</v>
      </c>
      <c r="D70" s="204" t="str">
        <f t="shared" si="5"/>
        <v>玻璃仪器</v>
      </c>
      <c r="E70" s="202"/>
      <c r="F70" s="202" t="s">
        <v>8</v>
      </c>
      <c r="G70" s="206"/>
      <c r="H70" s="206"/>
      <c r="I70" s="206"/>
      <c r="J70" s="203" t="s">
        <v>821</v>
      </c>
      <c r="K70" s="206">
        <v>1</v>
      </c>
      <c r="L70" s="213" t="s">
        <v>824</v>
      </c>
      <c r="M70" s="204" t="str">
        <f t="shared" si="6"/>
        <v>常规</v>
      </c>
      <c r="N70" s="205"/>
      <c r="O70" s="208" t="s">
        <v>2240</v>
      </c>
      <c r="P70" s="209">
        <v>4</v>
      </c>
      <c r="Q70" s="205"/>
      <c r="R70" s="206"/>
      <c r="S70" s="206" t="s">
        <v>1025</v>
      </c>
      <c r="T70" s="206">
        <v>1</v>
      </c>
      <c r="U70" s="204" t="str">
        <f t="shared" si="7"/>
        <v>支</v>
      </c>
      <c r="V70" s="205"/>
      <c r="W70" s="210"/>
      <c r="X70" s="204" t="str">
        <f t="shared" si="8"/>
        <v/>
      </c>
      <c r="Y70" s="204" t="str">
        <f t="shared" si="9"/>
        <v>支</v>
      </c>
      <c r="Z70" s="205"/>
      <c r="AA70" s="206"/>
      <c r="AB70" s="211"/>
    </row>
    <row r="71" spans="1:28" s="212" customFormat="1" ht="19.899999999999999" customHeight="1" x14ac:dyDescent="0.3">
      <c r="A71" s="201">
        <v>68</v>
      </c>
      <c r="B71" s="202" t="s">
        <v>329</v>
      </c>
      <c r="C71" s="203" t="s">
        <v>2</v>
      </c>
      <c r="D71" s="204" t="str">
        <f t="shared" si="5"/>
        <v>玻璃仪器</v>
      </c>
      <c r="E71" s="202"/>
      <c r="F71" s="202" t="s">
        <v>18</v>
      </c>
      <c r="G71" s="206"/>
      <c r="H71" s="206"/>
      <c r="I71" s="206"/>
      <c r="J71" s="203" t="s">
        <v>821</v>
      </c>
      <c r="K71" s="206">
        <v>1</v>
      </c>
      <c r="L71" s="213" t="s">
        <v>824</v>
      </c>
      <c r="M71" s="204" t="str">
        <f t="shared" si="6"/>
        <v>常规</v>
      </c>
      <c r="N71" s="205"/>
      <c r="O71" s="208" t="s">
        <v>2240</v>
      </c>
      <c r="P71" s="209">
        <v>4</v>
      </c>
      <c r="Q71" s="205"/>
      <c r="R71" s="206"/>
      <c r="S71" s="206" t="s">
        <v>1026</v>
      </c>
      <c r="T71" s="206">
        <v>1</v>
      </c>
      <c r="U71" s="204" t="str">
        <f t="shared" si="7"/>
        <v>支</v>
      </c>
      <c r="V71" s="205"/>
      <c r="W71" s="210"/>
      <c r="X71" s="204" t="str">
        <f t="shared" si="8"/>
        <v/>
      </c>
      <c r="Y71" s="204" t="str">
        <f t="shared" si="9"/>
        <v>支</v>
      </c>
      <c r="Z71" s="205"/>
      <c r="AA71" s="206"/>
      <c r="AB71" s="211"/>
    </row>
    <row r="72" spans="1:28" s="212" customFormat="1" ht="19.899999999999999" customHeight="1" x14ac:dyDescent="0.3">
      <c r="A72" s="201">
        <v>69</v>
      </c>
      <c r="B72" s="202" t="s">
        <v>330</v>
      </c>
      <c r="C72" s="203" t="s">
        <v>2</v>
      </c>
      <c r="D72" s="204" t="str">
        <f t="shared" si="5"/>
        <v>玻璃仪器</v>
      </c>
      <c r="E72" s="202"/>
      <c r="F72" s="202" t="s">
        <v>8</v>
      </c>
      <c r="G72" s="206"/>
      <c r="H72" s="206"/>
      <c r="I72" s="206"/>
      <c r="J72" s="203" t="s">
        <v>821</v>
      </c>
      <c r="K72" s="206">
        <v>1</v>
      </c>
      <c r="L72" s="213" t="s">
        <v>824</v>
      </c>
      <c r="M72" s="204" t="str">
        <f t="shared" si="6"/>
        <v>常规</v>
      </c>
      <c r="N72" s="205"/>
      <c r="O72" s="208" t="s">
        <v>2240</v>
      </c>
      <c r="P72" s="209">
        <v>4</v>
      </c>
      <c r="Q72" s="205"/>
      <c r="R72" s="206"/>
      <c r="S72" s="206" t="s">
        <v>1027</v>
      </c>
      <c r="T72" s="206">
        <v>1</v>
      </c>
      <c r="U72" s="204" t="str">
        <f t="shared" si="7"/>
        <v>支</v>
      </c>
      <c r="V72" s="205"/>
      <c r="W72" s="210"/>
      <c r="X72" s="204" t="str">
        <f t="shared" si="8"/>
        <v/>
      </c>
      <c r="Y72" s="204" t="str">
        <f t="shared" si="9"/>
        <v>支</v>
      </c>
      <c r="Z72" s="205"/>
      <c r="AA72" s="206"/>
      <c r="AB72" s="211"/>
    </row>
    <row r="73" spans="1:28" s="212" customFormat="1" ht="19.899999999999999" customHeight="1" x14ac:dyDescent="0.3">
      <c r="A73" s="201">
        <v>70</v>
      </c>
      <c r="B73" s="202" t="s">
        <v>331</v>
      </c>
      <c r="C73" s="203" t="s">
        <v>2</v>
      </c>
      <c r="D73" s="204" t="str">
        <f t="shared" si="5"/>
        <v>玻璃仪器</v>
      </c>
      <c r="E73" s="202"/>
      <c r="F73" s="202" t="s">
        <v>20</v>
      </c>
      <c r="G73" s="206"/>
      <c r="H73" s="206"/>
      <c r="I73" s="206"/>
      <c r="J73" s="203" t="s">
        <v>821</v>
      </c>
      <c r="K73" s="206">
        <v>1</v>
      </c>
      <c r="L73" s="213" t="s">
        <v>822</v>
      </c>
      <c r="M73" s="204" t="str">
        <f t="shared" si="6"/>
        <v>常规</v>
      </c>
      <c r="N73" s="205"/>
      <c r="O73" s="208" t="s">
        <v>2240</v>
      </c>
      <c r="P73" s="209">
        <v>4</v>
      </c>
      <c r="Q73" s="205"/>
      <c r="R73" s="206"/>
      <c r="S73" s="206" t="s">
        <v>1012</v>
      </c>
      <c r="T73" s="206">
        <v>1</v>
      </c>
      <c r="U73" s="204" t="str">
        <f t="shared" si="7"/>
        <v>只</v>
      </c>
      <c r="V73" s="205"/>
      <c r="W73" s="210"/>
      <c r="X73" s="204" t="str">
        <f t="shared" si="8"/>
        <v/>
      </c>
      <c r="Y73" s="204" t="str">
        <f t="shared" si="9"/>
        <v>只</v>
      </c>
      <c r="Z73" s="205"/>
      <c r="AA73" s="206"/>
      <c r="AB73" s="211"/>
    </row>
    <row r="74" spans="1:28" s="212" customFormat="1" ht="19.899999999999999" customHeight="1" x14ac:dyDescent="0.3">
      <c r="A74" s="201">
        <v>71</v>
      </c>
      <c r="B74" s="202" t="s">
        <v>332</v>
      </c>
      <c r="C74" s="203" t="s">
        <v>2</v>
      </c>
      <c r="D74" s="204" t="str">
        <f t="shared" si="5"/>
        <v>玻璃仪器</v>
      </c>
      <c r="E74" s="202"/>
      <c r="F74" s="202" t="s">
        <v>27</v>
      </c>
      <c r="G74" s="206"/>
      <c r="H74" s="206"/>
      <c r="I74" s="206"/>
      <c r="J74" s="203" t="s">
        <v>821</v>
      </c>
      <c r="K74" s="206">
        <v>1</v>
      </c>
      <c r="L74" s="213" t="s">
        <v>822</v>
      </c>
      <c r="M74" s="204" t="str">
        <f t="shared" si="6"/>
        <v>常规</v>
      </c>
      <c r="N74" s="205"/>
      <c r="O74" s="208" t="s">
        <v>2240</v>
      </c>
      <c r="P74" s="209">
        <v>4</v>
      </c>
      <c r="Q74" s="205"/>
      <c r="R74" s="206"/>
      <c r="S74" s="206" t="s">
        <v>1013</v>
      </c>
      <c r="T74" s="206">
        <v>1</v>
      </c>
      <c r="U74" s="204" t="str">
        <f t="shared" si="7"/>
        <v>只</v>
      </c>
      <c r="V74" s="205"/>
      <c r="W74" s="210"/>
      <c r="X74" s="204" t="str">
        <f t="shared" si="8"/>
        <v/>
      </c>
      <c r="Y74" s="204" t="str">
        <f t="shared" si="9"/>
        <v>只</v>
      </c>
      <c r="Z74" s="205"/>
      <c r="AA74" s="206"/>
      <c r="AB74" s="211"/>
    </row>
    <row r="75" spans="1:28" s="45" customFormat="1" ht="19.899999999999999" customHeight="1" x14ac:dyDescent="0.3">
      <c r="A75" s="34">
        <v>72</v>
      </c>
      <c r="B75" s="12" t="s">
        <v>333</v>
      </c>
      <c r="C75" s="29" t="s">
        <v>2</v>
      </c>
      <c r="D75" s="32" t="str">
        <f t="shared" si="5"/>
        <v>玻璃仪器</v>
      </c>
      <c r="E75" s="14" t="s">
        <v>256</v>
      </c>
      <c r="F75" s="16" t="s">
        <v>15</v>
      </c>
      <c r="G75" s="15"/>
      <c r="H75" s="15"/>
      <c r="I75" s="15"/>
      <c r="J75" s="29" t="s">
        <v>821</v>
      </c>
      <c r="K75" s="16">
        <v>4</v>
      </c>
      <c r="L75" s="37" t="s">
        <v>823</v>
      </c>
      <c r="M75" s="32" t="str">
        <f t="shared" si="6"/>
        <v>常规</v>
      </c>
      <c r="N75" s="18"/>
      <c r="O75" s="136" t="s">
        <v>2241</v>
      </c>
      <c r="P75" s="134" t="s">
        <v>2234</v>
      </c>
      <c r="Q75" s="14"/>
      <c r="R75" s="15"/>
      <c r="S75" s="15"/>
      <c r="T75" s="15"/>
      <c r="U75" s="32" t="str">
        <f t="shared" si="7"/>
        <v>个</v>
      </c>
      <c r="V75" s="14"/>
      <c r="W75" s="35"/>
      <c r="X75" s="32">
        <f t="shared" si="8"/>
        <v>4</v>
      </c>
      <c r="Y75" s="32" t="str">
        <f t="shared" si="9"/>
        <v>个</v>
      </c>
      <c r="Z75" s="14"/>
      <c r="AA75" s="15"/>
      <c r="AB75" s="101"/>
    </row>
    <row r="76" spans="1:28" s="45" customFormat="1" ht="19.899999999999999" customHeight="1" x14ac:dyDescent="0.3">
      <c r="A76" s="34">
        <v>73</v>
      </c>
      <c r="B76" s="12" t="s">
        <v>333</v>
      </c>
      <c r="C76" s="29" t="s">
        <v>2</v>
      </c>
      <c r="D76" s="32" t="str">
        <f t="shared" si="5"/>
        <v>玻璃仪器</v>
      </c>
      <c r="E76" s="16" t="s">
        <v>283</v>
      </c>
      <c r="F76" s="16" t="s">
        <v>7</v>
      </c>
      <c r="G76" s="15"/>
      <c r="H76" s="15"/>
      <c r="I76" s="15"/>
      <c r="J76" s="29" t="s">
        <v>821</v>
      </c>
      <c r="K76" s="16">
        <v>4</v>
      </c>
      <c r="L76" s="38" t="s">
        <v>823</v>
      </c>
      <c r="M76" s="32" t="str">
        <f t="shared" si="6"/>
        <v>常规</v>
      </c>
      <c r="N76" s="25"/>
      <c r="O76" s="136" t="s">
        <v>2241</v>
      </c>
      <c r="P76" s="134" t="s">
        <v>2234</v>
      </c>
      <c r="Q76" s="14"/>
      <c r="R76" s="15"/>
      <c r="S76" s="15"/>
      <c r="T76" s="15"/>
      <c r="U76" s="32" t="str">
        <f t="shared" si="7"/>
        <v>个</v>
      </c>
      <c r="V76" s="14"/>
      <c r="W76" s="35"/>
      <c r="X76" s="32">
        <f t="shared" si="8"/>
        <v>4</v>
      </c>
      <c r="Y76" s="32" t="str">
        <f t="shared" si="9"/>
        <v>个</v>
      </c>
      <c r="Z76" s="14"/>
      <c r="AA76" s="15"/>
      <c r="AB76" s="101"/>
    </row>
    <row r="77" spans="1:28" s="45" customFormat="1" ht="19.899999999999999" customHeight="1" x14ac:dyDescent="0.3">
      <c r="A77" s="34">
        <v>74</v>
      </c>
      <c r="B77" s="12" t="s">
        <v>334</v>
      </c>
      <c r="C77" s="29" t="s">
        <v>2</v>
      </c>
      <c r="D77" s="32" t="str">
        <f t="shared" si="5"/>
        <v>玻璃仪器</v>
      </c>
      <c r="E77" s="14" t="s">
        <v>256</v>
      </c>
      <c r="F77" s="16" t="s">
        <v>18</v>
      </c>
      <c r="G77" s="15"/>
      <c r="H77" s="15"/>
      <c r="I77" s="15"/>
      <c r="J77" s="29" t="s">
        <v>821</v>
      </c>
      <c r="K77" s="16">
        <v>20</v>
      </c>
      <c r="L77" s="36" t="s">
        <v>823</v>
      </c>
      <c r="M77" s="32" t="str">
        <f t="shared" si="6"/>
        <v>常规</v>
      </c>
      <c r="N77" s="25"/>
      <c r="O77" s="136" t="s">
        <v>2241</v>
      </c>
      <c r="P77" s="134" t="s">
        <v>2235</v>
      </c>
      <c r="Q77" s="14"/>
      <c r="R77" s="15"/>
      <c r="S77" s="15"/>
      <c r="T77" s="15"/>
      <c r="U77" s="32" t="str">
        <f t="shared" si="7"/>
        <v>个</v>
      </c>
      <c r="V77" s="14"/>
      <c r="W77" s="35"/>
      <c r="X77" s="32">
        <f t="shared" si="8"/>
        <v>20</v>
      </c>
      <c r="Y77" s="32" t="str">
        <f t="shared" si="9"/>
        <v>个</v>
      </c>
      <c r="Z77" s="14"/>
      <c r="AA77" s="15"/>
      <c r="AB77" s="101"/>
    </row>
    <row r="78" spans="1:28" s="45" customFormat="1" ht="19.899999999999999" customHeight="1" x14ac:dyDescent="0.3">
      <c r="A78" s="34">
        <v>75</v>
      </c>
      <c r="B78" s="12" t="s">
        <v>334</v>
      </c>
      <c r="C78" s="29" t="s">
        <v>2</v>
      </c>
      <c r="D78" s="32" t="str">
        <f t="shared" si="5"/>
        <v>玻璃仪器</v>
      </c>
      <c r="E78" s="14" t="s">
        <v>256</v>
      </c>
      <c r="F78" s="12" t="s">
        <v>28</v>
      </c>
      <c r="G78" s="15"/>
      <c r="H78" s="15"/>
      <c r="I78" s="15"/>
      <c r="J78" s="29" t="s">
        <v>821</v>
      </c>
      <c r="K78" s="16">
        <v>10</v>
      </c>
      <c r="L78" s="36" t="s">
        <v>823</v>
      </c>
      <c r="M78" s="32" t="str">
        <f t="shared" si="6"/>
        <v>常规</v>
      </c>
      <c r="N78" s="25"/>
      <c r="O78" s="136" t="s">
        <v>2241</v>
      </c>
      <c r="P78" s="134" t="s">
        <v>2235</v>
      </c>
      <c r="Q78" s="14"/>
      <c r="R78" s="15"/>
      <c r="S78" s="15"/>
      <c r="T78" s="15"/>
      <c r="U78" s="32" t="str">
        <f t="shared" si="7"/>
        <v>个</v>
      </c>
      <c r="V78" s="14"/>
      <c r="W78" s="35"/>
      <c r="X78" s="32">
        <f t="shared" si="8"/>
        <v>10</v>
      </c>
      <c r="Y78" s="32" t="str">
        <f t="shared" si="9"/>
        <v>个</v>
      </c>
      <c r="Z78" s="14"/>
      <c r="AA78" s="15"/>
      <c r="AB78" s="101"/>
    </row>
    <row r="79" spans="1:28" s="45" customFormat="1" ht="19.899999999999999" customHeight="1" x14ac:dyDescent="0.3">
      <c r="A79" s="34">
        <v>76</v>
      </c>
      <c r="B79" s="12" t="s">
        <v>334</v>
      </c>
      <c r="C79" s="29" t="s">
        <v>2</v>
      </c>
      <c r="D79" s="32" t="str">
        <f t="shared" si="5"/>
        <v>玻璃仪器</v>
      </c>
      <c r="E79" s="14" t="s">
        <v>256</v>
      </c>
      <c r="F79" s="12" t="s">
        <v>29</v>
      </c>
      <c r="G79" s="15"/>
      <c r="H79" s="15"/>
      <c r="I79" s="15"/>
      <c r="J79" s="29" t="s">
        <v>821</v>
      </c>
      <c r="K79" s="16">
        <v>10</v>
      </c>
      <c r="L79" s="29" t="s">
        <v>823</v>
      </c>
      <c r="M79" s="32" t="str">
        <f t="shared" si="6"/>
        <v>常规</v>
      </c>
      <c r="N79" s="25"/>
      <c r="O79" s="136" t="s">
        <v>2241</v>
      </c>
      <c r="P79" s="134" t="s">
        <v>2235</v>
      </c>
      <c r="Q79" s="14"/>
      <c r="R79" s="15"/>
      <c r="S79" s="15"/>
      <c r="T79" s="15"/>
      <c r="U79" s="32" t="str">
        <f t="shared" si="7"/>
        <v>个</v>
      </c>
      <c r="V79" s="14"/>
      <c r="W79" s="35"/>
      <c r="X79" s="32">
        <f t="shared" si="8"/>
        <v>10</v>
      </c>
      <c r="Y79" s="32" t="str">
        <f t="shared" si="9"/>
        <v>个</v>
      </c>
      <c r="Z79" s="14"/>
      <c r="AA79" s="15"/>
      <c r="AB79" s="101"/>
    </row>
    <row r="80" spans="1:28" s="45" customFormat="1" ht="19.899999999999999" customHeight="1" x14ac:dyDescent="0.3">
      <c r="A80" s="34">
        <v>77</v>
      </c>
      <c r="B80" s="12" t="s">
        <v>334</v>
      </c>
      <c r="C80" s="29" t="s">
        <v>2</v>
      </c>
      <c r="D80" s="32" t="str">
        <f t="shared" si="5"/>
        <v>玻璃仪器</v>
      </c>
      <c r="E80" s="14" t="s">
        <v>281</v>
      </c>
      <c r="F80" s="14" t="s">
        <v>27</v>
      </c>
      <c r="G80" s="15"/>
      <c r="H80" s="15"/>
      <c r="I80" s="15"/>
      <c r="J80" s="29" t="s">
        <v>821</v>
      </c>
      <c r="K80" s="16">
        <v>40</v>
      </c>
      <c r="L80" s="29" t="s">
        <v>823</v>
      </c>
      <c r="M80" s="32" t="str">
        <f t="shared" si="6"/>
        <v>常规</v>
      </c>
      <c r="N80" s="18"/>
      <c r="O80" s="136" t="s">
        <v>2241</v>
      </c>
      <c r="P80" s="134" t="s">
        <v>2235</v>
      </c>
      <c r="Q80" s="14"/>
      <c r="R80" s="15"/>
      <c r="S80" s="15" t="s">
        <v>978</v>
      </c>
      <c r="T80" s="15">
        <v>10</v>
      </c>
      <c r="U80" s="32" t="str">
        <f t="shared" si="7"/>
        <v>个</v>
      </c>
      <c r="V80" s="14"/>
      <c r="W80" s="35"/>
      <c r="X80" s="32">
        <f t="shared" si="8"/>
        <v>30</v>
      </c>
      <c r="Y80" s="32" t="str">
        <f t="shared" si="9"/>
        <v>个</v>
      </c>
      <c r="Z80" s="14"/>
      <c r="AA80" s="15"/>
      <c r="AB80" s="101"/>
    </row>
    <row r="81" spans="1:28" s="45" customFormat="1" ht="19.899999999999999" customHeight="1" x14ac:dyDescent="0.3">
      <c r="A81" s="34">
        <v>78</v>
      </c>
      <c r="B81" s="12" t="s">
        <v>335</v>
      </c>
      <c r="C81" s="29" t="s">
        <v>2</v>
      </c>
      <c r="D81" s="32" t="str">
        <f t="shared" si="5"/>
        <v>玻璃仪器</v>
      </c>
      <c r="E81" s="14" t="s">
        <v>256</v>
      </c>
      <c r="F81" s="14" t="s">
        <v>28</v>
      </c>
      <c r="G81" s="15"/>
      <c r="H81" s="15"/>
      <c r="I81" s="15"/>
      <c r="J81" s="29" t="s">
        <v>821</v>
      </c>
      <c r="K81" s="16">
        <v>18</v>
      </c>
      <c r="L81" s="29" t="s">
        <v>823</v>
      </c>
      <c r="M81" s="32" t="str">
        <f t="shared" si="6"/>
        <v>常规</v>
      </c>
      <c r="N81" s="25"/>
      <c r="O81" s="136" t="s">
        <v>2241</v>
      </c>
      <c r="P81" s="134" t="s">
        <v>2235</v>
      </c>
      <c r="Q81" s="14"/>
      <c r="R81" s="15"/>
      <c r="S81" s="15"/>
      <c r="T81" s="15"/>
      <c r="U81" s="32" t="str">
        <f t="shared" si="7"/>
        <v>个</v>
      </c>
      <c r="V81" s="14"/>
      <c r="W81" s="35"/>
      <c r="X81" s="32">
        <f t="shared" si="8"/>
        <v>18</v>
      </c>
      <c r="Y81" s="32" t="str">
        <f t="shared" si="9"/>
        <v>个</v>
      </c>
      <c r="Z81" s="14"/>
      <c r="AA81" s="15"/>
      <c r="AB81" s="101"/>
    </row>
    <row r="82" spans="1:28" s="45" customFormat="1" ht="19.899999999999999" customHeight="1" x14ac:dyDescent="0.3">
      <c r="A82" s="34">
        <v>79</v>
      </c>
      <c r="B82" s="12" t="s">
        <v>335</v>
      </c>
      <c r="C82" s="29" t="s">
        <v>2</v>
      </c>
      <c r="D82" s="32" t="str">
        <f t="shared" si="5"/>
        <v>玻璃仪器</v>
      </c>
      <c r="E82" s="14" t="s">
        <v>256</v>
      </c>
      <c r="F82" s="14" t="s">
        <v>29</v>
      </c>
      <c r="G82" s="15"/>
      <c r="H82" s="15"/>
      <c r="I82" s="15"/>
      <c r="J82" s="29" t="s">
        <v>821</v>
      </c>
      <c r="K82" s="16">
        <v>10</v>
      </c>
      <c r="L82" s="29" t="s">
        <v>823</v>
      </c>
      <c r="M82" s="32" t="str">
        <f t="shared" si="6"/>
        <v>常规</v>
      </c>
      <c r="N82" s="25"/>
      <c r="O82" s="136" t="s">
        <v>2241</v>
      </c>
      <c r="P82" s="134" t="s">
        <v>2235</v>
      </c>
      <c r="Q82" s="14"/>
      <c r="R82" s="15"/>
      <c r="S82" s="15"/>
      <c r="T82" s="15"/>
      <c r="U82" s="32" t="str">
        <f t="shared" si="7"/>
        <v>个</v>
      </c>
      <c r="V82" s="14"/>
      <c r="W82" s="35"/>
      <c r="X82" s="32">
        <f t="shared" si="8"/>
        <v>10</v>
      </c>
      <c r="Y82" s="32" t="str">
        <f t="shared" si="9"/>
        <v>个</v>
      </c>
      <c r="Z82" s="14"/>
      <c r="AA82" s="15"/>
      <c r="AB82" s="101"/>
    </row>
    <row r="83" spans="1:28" s="45" customFormat="1" ht="19.899999999999999" customHeight="1" x14ac:dyDescent="0.3">
      <c r="A83" s="34">
        <v>80</v>
      </c>
      <c r="B83" s="12" t="s">
        <v>335</v>
      </c>
      <c r="C83" s="29" t="s">
        <v>2</v>
      </c>
      <c r="D83" s="32" t="str">
        <f t="shared" si="5"/>
        <v>玻璃仪器</v>
      </c>
      <c r="E83" s="14" t="s">
        <v>256</v>
      </c>
      <c r="F83" s="14" t="s">
        <v>30</v>
      </c>
      <c r="G83" s="15"/>
      <c r="H83" s="15"/>
      <c r="I83" s="15"/>
      <c r="J83" s="29" t="s">
        <v>821</v>
      </c>
      <c r="K83" s="16">
        <v>4</v>
      </c>
      <c r="L83" s="29" t="s">
        <v>823</v>
      </c>
      <c r="M83" s="32" t="str">
        <f t="shared" si="6"/>
        <v>常规</v>
      </c>
      <c r="N83" s="25"/>
      <c r="O83" s="136" t="s">
        <v>2241</v>
      </c>
      <c r="P83" s="134" t="s">
        <v>2235</v>
      </c>
      <c r="Q83" s="14"/>
      <c r="R83" s="15"/>
      <c r="S83" s="15"/>
      <c r="T83" s="15"/>
      <c r="U83" s="32" t="str">
        <f t="shared" si="7"/>
        <v>个</v>
      </c>
      <c r="V83" s="14"/>
      <c r="W83" s="35"/>
      <c r="X83" s="32">
        <f t="shared" si="8"/>
        <v>4</v>
      </c>
      <c r="Y83" s="32" t="str">
        <f t="shared" si="9"/>
        <v>个</v>
      </c>
      <c r="Z83" s="14"/>
      <c r="AA83" s="15"/>
      <c r="AB83" s="101"/>
    </row>
    <row r="84" spans="1:28" s="45" customFormat="1" ht="19.899999999999999" customHeight="1" x14ac:dyDescent="0.3">
      <c r="A84" s="34">
        <v>81</v>
      </c>
      <c r="B84" s="12" t="s">
        <v>336</v>
      </c>
      <c r="C84" s="29" t="s">
        <v>2</v>
      </c>
      <c r="D84" s="32" t="str">
        <f t="shared" si="5"/>
        <v>玻璃仪器</v>
      </c>
      <c r="E84" s="14" t="s">
        <v>256</v>
      </c>
      <c r="F84" s="16" t="s">
        <v>27</v>
      </c>
      <c r="G84" s="15"/>
      <c r="H84" s="15"/>
      <c r="I84" s="15"/>
      <c r="J84" s="29" t="s">
        <v>821</v>
      </c>
      <c r="K84" s="16">
        <v>41</v>
      </c>
      <c r="L84" s="36" t="s">
        <v>823</v>
      </c>
      <c r="M84" s="32" t="str">
        <f t="shared" si="6"/>
        <v>常规</v>
      </c>
      <c r="N84" s="16" t="s">
        <v>337</v>
      </c>
      <c r="O84" s="136" t="s">
        <v>2241</v>
      </c>
      <c r="P84" s="134" t="s">
        <v>2236</v>
      </c>
      <c r="Q84" s="14"/>
      <c r="R84" s="15"/>
      <c r="S84" s="15" t="s">
        <v>1245</v>
      </c>
      <c r="T84" s="15">
        <v>31</v>
      </c>
      <c r="U84" s="32" t="str">
        <f t="shared" si="7"/>
        <v>个</v>
      </c>
      <c r="V84" s="14"/>
      <c r="W84" s="35"/>
      <c r="X84" s="32">
        <f t="shared" si="8"/>
        <v>10</v>
      </c>
      <c r="Y84" s="32" t="str">
        <f t="shared" si="9"/>
        <v>个</v>
      </c>
      <c r="Z84" s="14"/>
      <c r="AA84" s="15"/>
      <c r="AB84" s="101"/>
    </row>
    <row r="85" spans="1:28" s="45" customFormat="1" ht="19.899999999999999" customHeight="1" x14ac:dyDescent="0.3">
      <c r="A85" s="34">
        <v>82</v>
      </c>
      <c r="B85" s="12" t="s">
        <v>338</v>
      </c>
      <c r="C85" s="29" t="s">
        <v>2</v>
      </c>
      <c r="D85" s="32" t="str">
        <f t="shared" si="5"/>
        <v>玻璃仪器</v>
      </c>
      <c r="E85" s="14" t="s">
        <v>256</v>
      </c>
      <c r="F85" s="14" t="s">
        <v>19</v>
      </c>
      <c r="G85" s="15"/>
      <c r="H85" s="15"/>
      <c r="I85" s="15"/>
      <c r="J85" s="29" t="s">
        <v>821</v>
      </c>
      <c r="K85" s="16">
        <v>18</v>
      </c>
      <c r="L85" s="29" t="s">
        <v>823</v>
      </c>
      <c r="M85" s="32" t="str">
        <f t="shared" si="6"/>
        <v>常规</v>
      </c>
      <c r="N85" s="25"/>
      <c r="O85" s="136" t="s">
        <v>2241</v>
      </c>
      <c r="P85" s="134" t="s">
        <v>2236</v>
      </c>
      <c r="Q85" s="14"/>
      <c r="R85" s="15"/>
      <c r="S85" s="15"/>
      <c r="T85" s="15"/>
      <c r="U85" s="32" t="str">
        <f t="shared" si="7"/>
        <v>个</v>
      </c>
      <c r="V85" s="14"/>
      <c r="W85" s="35"/>
      <c r="X85" s="32">
        <f t="shared" si="8"/>
        <v>18</v>
      </c>
      <c r="Y85" s="32" t="str">
        <f t="shared" si="9"/>
        <v>个</v>
      </c>
      <c r="Z85" s="14"/>
      <c r="AA85" s="15"/>
      <c r="AB85" s="101"/>
    </row>
    <row r="86" spans="1:28" s="45" customFormat="1" ht="19.899999999999999" customHeight="1" x14ac:dyDescent="0.3">
      <c r="A86" s="34">
        <v>83</v>
      </c>
      <c r="B86" s="12" t="s">
        <v>338</v>
      </c>
      <c r="C86" s="29" t="s">
        <v>2</v>
      </c>
      <c r="D86" s="32" t="str">
        <f t="shared" si="5"/>
        <v>玻璃仪器</v>
      </c>
      <c r="E86" s="18" t="s">
        <v>256</v>
      </c>
      <c r="F86" s="18" t="s">
        <v>31</v>
      </c>
      <c r="G86" s="15"/>
      <c r="H86" s="15"/>
      <c r="I86" s="15"/>
      <c r="J86" s="29" t="s">
        <v>821</v>
      </c>
      <c r="K86" s="16">
        <v>14</v>
      </c>
      <c r="L86" s="36" t="s">
        <v>823</v>
      </c>
      <c r="M86" s="32" t="str">
        <f t="shared" si="6"/>
        <v>常规</v>
      </c>
      <c r="N86" s="25"/>
      <c r="O86" s="136" t="s">
        <v>2241</v>
      </c>
      <c r="P86" s="134" t="s">
        <v>2236</v>
      </c>
      <c r="Q86" s="14"/>
      <c r="R86" s="15"/>
      <c r="S86" s="15"/>
      <c r="T86" s="15"/>
      <c r="U86" s="32" t="str">
        <f t="shared" si="7"/>
        <v>个</v>
      </c>
      <c r="V86" s="14"/>
      <c r="W86" s="35"/>
      <c r="X86" s="32">
        <f t="shared" si="8"/>
        <v>14</v>
      </c>
      <c r="Y86" s="32" t="str">
        <f t="shared" si="9"/>
        <v>个</v>
      </c>
      <c r="Z86" s="14"/>
      <c r="AA86" s="15"/>
      <c r="AB86" s="101"/>
    </row>
    <row r="87" spans="1:28" s="45" customFormat="1" ht="19.899999999999999" customHeight="1" x14ac:dyDescent="0.3">
      <c r="A87" s="34">
        <v>84</v>
      </c>
      <c r="B87" s="12" t="s">
        <v>338</v>
      </c>
      <c r="C87" s="29" t="s">
        <v>2</v>
      </c>
      <c r="D87" s="32" t="str">
        <f t="shared" si="5"/>
        <v>玻璃仪器</v>
      </c>
      <c r="E87" s="14" t="s">
        <v>256</v>
      </c>
      <c r="F87" s="14" t="s">
        <v>27</v>
      </c>
      <c r="G87" s="15"/>
      <c r="H87" s="15"/>
      <c r="I87" s="15"/>
      <c r="J87" s="29" t="s">
        <v>821</v>
      </c>
      <c r="K87" s="16">
        <v>2</v>
      </c>
      <c r="L87" s="29" t="s">
        <v>823</v>
      </c>
      <c r="M87" s="32" t="str">
        <f t="shared" si="6"/>
        <v>常规</v>
      </c>
      <c r="N87" s="25"/>
      <c r="O87" s="136" t="s">
        <v>2241</v>
      </c>
      <c r="P87" s="134" t="s">
        <v>2236</v>
      </c>
      <c r="Q87" s="14"/>
      <c r="R87" s="15"/>
      <c r="S87" s="15"/>
      <c r="T87" s="15"/>
      <c r="U87" s="32" t="str">
        <f t="shared" si="7"/>
        <v>个</v>
      </c>
      <c r="V87" s="14"/>
      <c r="W87" s="35"/>
      <c r="X87" s="32">
        <f t="shared" si="8"/>
        <v>2</v>
      </c>
      <c r="Y87" s="32" t="str">
        <f t="shared" si="9"/>
        <v>个</v>
      </c>
      <c r="Z87" s="14"/>
      <c r="AA87" s="15"/>
      <c r="AB87" s="101"/>
    </row>
    <row r="88" spans="1:28" s="45" customFormat="1" ht="19.899999999999999" customHeight="1" x14ac:dyDescent="0.3">
      <c r="A88" s="34">
        <v>85</v>
      </c>
      <c r="B88" s="12" t="s">
        <v>338</v>
      </c>
      <c r="C88" s="29" t="s">
        <v>2</v>
      </c>
      <c r="D88" s="32" t="str">
        <f t="shared" si="5"/>
        <v>玻璃仪器</v>
      </c>
      <c r="E88" s="14" t="s">
        <v>256</v>
      </c>
      <c r="F88" s="14" t="s">
        <v>20</v>
      </c>
      <c r="G88" s="15"/>
      <c r="H88" s="15"/>
      <c r="I88" s="15"/>
      <c r="J88" s="29" t="s">
        <v>821</v>
      </c>
      <c r="K88" s="16">
        <v>3</v>
      </c>
      <c r="L88" s="29" t="s">
        <v>823</v>
      </c>
      <c r="M88" s="32" t="str">
        <f t="shared" si="6"/>
        <v>常规</v>
      </c>
      <c r="N88" s="25"/>
      <c r="O88" s="136" t="s">
        <v>2241</v>
      </c>
      <c r="P88" s="134" t="s">
        <v>2236</v>
      </c>
      <c r="Q88" s="14"/>
      <c r="R88" s="15"/>
      <c r="S88" s="15"/>
      <c r="T88" s="15"/>
      <c r="U88" s="32" t="str">
        <f t="shared" si="7"/>
        <v>个</v>
      </c>
      <c r="V88" s="14"/>
      <c r="W88" s="35"/>
      <c r="X88" s="32">
        <f t="shared" si="8"/>
        <v>3</v>
      </c>
      <c r="Y88" s="32" t="str">
        <f t="shared" si="9"/>
        <v>个</v>
      </c>
      <c r="Z88" s="14"/>
      <c r="AA88" s="15"/>
      <c r="AB88" s="101"/>
    </row>
    <row r="89" spans="1:28" s="45" customFormat="1" ht="19.899999999999999" customHeight="1" x14ac:dyDescent="0.3">
      <c r="A89" s="34">
        <v>86</v>
      </c>
      <c r="B89" s="12" t="s">
        <v>339</v>
      </c>
      <c r="C89" s="29" t="s">
        <v>2</v>
      </c>
      <c r="D89" s="32" t="str">
        <f t="shared" si="5"/>
        <v>玻璃仪器</v>
      </c>
      <c r="E89" s="18" t="s">
        <v>256</v>
      </c>
      <c r="F89" s="18" t="s">
        <v>31</v>
      </c>
      <c r="G89" s="15"/>
      <c r="H89" s="15"/>
      <c r="I89" s="15"/>
      <c r="J89" s="29" t="s">
        <v>821</v>
      </c>
      <c r="K89" s="16">
        <v>3</v>
      </c>
      <c r="L89" s="36" t="s">
        <v>823</v>
      </c>
      <c r="M89" s="32" t="str">
        <f t="shared" si="6"/>
        <v>常规</v>
      </c>
      <c r="N89" s="25"/>
      <c r="O89" s="136" t="s">
        <v>2241</v>
      </c>
      <c r="P89" s="134" t="s">
        <v>2236</v>
      </c>
      <c r="Q89" s="14"/>
      <c r="R89" s="15"/>
      <c r="S89" s="15"/>
      <c r="T89" s="15"/>
      <c r="U89" s="32" t="str">
        <f t="shared" si="7"/>
        <v>个</v>
      </c>
      <c r="V89" s="14"/>
      <c r="W89" s="35"/>
      <c r="X89" s="32">
        <f t="shared" si="8"/>
        <v>3</v>
      </c>
      <c r="Y89" s="32" t="str">
        <f t="shared" si="9"/>
        <v>个</v>
      </c>
      <c r="Z89" s="14"/>
      <c r="AA89" s="15"/>
      <c r="AB89" s="101"/>
    </row>
    <row r="90" spans="1:28" s="45" customFormat="1" ht="19.899999999999999" customHeight="1" x14ac:dyDescent="0.3">
      <c r="A90" s="34">
        <v>87</v>
      </c>
      <c r="B90" s="12" t="s">
        <v>340</v>
      </c>
      <c r="C90" s="29" t="s">
        <v>2</v>
      </c>
      <c r="D90" s="32" t="str">
        <f t="shared" si="5"/>
        <v>玻璃仪器</v>
      </c>
      <c r="E90" s="12" t="s">
        <v>283</v>
      </c>
      <c r="F90" s="12" t="s">
        <v>16</v>
      </c>
      <c r="G90" s="15"/>
      <c r="H90" s="15"/>
      <c r="I90" s="15"/>
      <c r="J90" s="29" t="s">
        <v>821</v>
      </c>
      <c r="K90" s="16">
        <v>5</v>
      </c>
      <c r="L90" s="29" t="s">
        <v>823</v>
      </c>
      <c r="M90" s="32" t="str">
        <f t="shared" si="6"/>
        <v>常规</v>
      </c>
      <c r="N90" s="18"/>
      <c r="O90" s="136" t="s">
        <v>2241</v>
      </c>
      <c r="P90" s="134" t="s">
        <v>2237</v>
      </c>
      <c r="Q90" s="14"/>
      <c r="R90" s="15"/>
      <c r="S90" s="15"/>
      <c r="T90" s="15"/>
      <c r="U90" s="32" t="str">
        <f t="shared" si="7"/>
        <v>个</v>
      </c>
      <c r="V90" s="14"/>
      <c r="W90" s="35"/>
      <c r="X90" s="32">
        <f t="shared" si="8"/>
        <v>5</v>
      </c>
      <c r="Y90" s="32" t="str">
        <f t="shared" si="9"/>
        <v>个</v>
      </c>
      <c r="Z90" s="14"/>
      <c r="AA90" s="15"/>
      <c r="AB90" s="101"/>
    </row>
    <row r="91" spans="1:28" s="45" customFormat="1" ht="19.899999999999999" customHeight="1" x14ac:dyDescent="0.3">
      <c r="A91" s="34">
        <v>88</v>
      </c>
      <c r="B91" s="12" t="s">
        <v>340</v>
      </c>
      <c r="C91" s="29" t="s">
        <v>2</v>
      </c>
      <c r="D91" s="32" t="str">
        <f t="shared" si="5"/>
        <v>玻璃仪器</v>
      </c>
      <c r="E91" s="14" t="s">
        <v>256</v>
      </c>
      <c r="F91" s="14" t="s">
        <v>27</v>
      </c>
      <c r="G91" s="15"/>
      <c r="H91" s="15"/>
      <c r="I91" s="15"/>
      <c r="J91" s="29" t="s">
        <v>821</v>
      </c>
      <c r="K91" s="16">
        <v>2</v>
      </c>
      <c r="L91" s="29" t="s">
        <v>823</v>
      </c>
      <c r="M91" s="32" t="str">
        <f t="shared" si="6"/>
        <v>常规</v>
      </c>
      <c r="N91" s="25"/>
      <c r="O91" s="136" t="s">
        <v>2241</v>
      </c>
      <c r="P91" s="134" t="s">
        <v>2237</v>
      </c>
      <c r="Q91" s="14"/>
      <c r="R91" s="15"/>
      <c r="S91" s="15"/>
      <c r="T91" s="15"/>
      <c r="U91" s="32" t="str">
        <f t="shared" si="7"/>
        <v>个</v>
      </c>
      <c r="V91" s="14"/>
      <c r="W91" s="35"/>
      <c r="X91" s="32">
        <f t="shared" si="8"/>
        <v>2</v>
      </c>
      <c r="Y91" s="32" t="str">
        <f t="shared" si="9"/>
        <v>个</v>
      </c>
      <c r="Z91" s="14"/>
      <c r="AA91" s="15"/>
      <c r="AB91" s="101"/>
    </row>
    <row r="92" spans="1:28" s="45" customFormat="1" ht="19.899999999999999" customHeight="1" x14ac:dyDescent="0.3">
      <c r="A92" s="34">
        <v>89</v>
      </c>
      <c r="B92" s="12" t="s">
        <v>340</v>
      </c>
      <c r="C92" s="29" t="s">
        <v>2</v>
      </c>
      <c r="D92" s="32" t="str">
        <f t="shared" si="5"/>
        <v>玻璃仪器</v>
      </c>
      <c r="E92" s="14" t="s">
        <v>256</v>
      </c>
      <c r="F92" s="14" t="s">
        <v>20</v>
      </c>
      <c r="G92" s="15"/>
      <c r="H92" s="15"/>
      <c r="I92" s="15"/>
      <c r="J92" s="29" t="s">
        <v>821</v>
      </c>
      <c r="K92" s="16">
        <v>6</v>
      </c>
      <c r="L92" s="29" t="s">
        <v>823</v>
      </c>
      <c r="M92" s="32" t="str">
        <f t="shared" si="6"/>
        <v>常规</v>
      </c>
      <c r="N92" s="18"/>
      <c r="O92" s="136" t="s">
        <v>2241</v>
      </c>
      <c r="P92" s="134" t="s">
        <v>2237</v>
      </c>
      <c r="Q92" s="14"/>
      <c r="R92" s="15"/>
      <c r="S92" s="15"/>
      <c r="T92" s="15"/>
      <c r="U92" s="32" t="str">
        <f t="shared" si="7"/>
        <v>个</v>
      </c>
      <c r="V92" s="14"/>
      <c r="W92" s="35"/>
      <c r="X92" s="32">
        <f t="shared" si="8"/>
        <v>6</v>
      </c>
      <c r="Y92" s="32" t="str">
        <f t="shared" si="9"/>
        <v>个</v>
      </c>
      <c r="Z92" s="14"/>
      <c r="AA92" s="15"/>
      <c r="AB92" s="101"/>
    </row>
    <row r="93" spans="1:28" s="45" customFormat="1" ht="19.899999999999999" customHeight="1" x14ac:dyDescent="0.3">
      <c r="A93" s="34">
        <v>90</v>
      </c>
      <c r="B93" s="12" t="s">
        <v>340</v>
      </c>
      <c r="C93" s="29" t="s">
        <v>2</v>
      </c>
      <c r="D93" s="32" t="str">
        <f t="shared" si="5"/>
        <v>玻璃仪器</v>
      </c>
      <c r="E93" s="14" t="s">
        <v>256</v>
      </c>
      <c r="F93" s="14" t="s">
        <v>9</v>
      </c>
      <c r="G93" s="15"/>
      <c r="H93" s="15"/>
      <c r="I93" s="15"/>
      <c r="J93" s="29" t="s">
        <v>821</v>
      </c>
      <c r="K93" s="16">
        <v>6</v>
      </c>
      <c r="L93" s="29" t="s">
        <v>823</v>
      </c>
      <c r="M93" s="32" t="str">
        <f t="shared" si="6"/>
        <v>常规</v>
      </c>
      <c r="N93" s="25"/>
      <c r="O93" s="136" t="s">
        <v>2241</v>
      </c>
      <c r="P93" s="134" t="s">
        <v>2237</v>
      </c>
      <c r="Q93" s="14"/>
      <c r="R93" s="15"/>
      <c r="S93" s="15"/>
      <c r="T93" s="15"/>
      <c r="U93" s="32" t="str">
        <f t="shared" si="7"/>
        <v>个</v>
      </c>
      <c r="V93" s="14"/>
      <c r="W93" s="35"/>
      <c r="X93" s="32">
        <f t="shared" si="8"/>
        <v>6</v>
      </c>
      <c r="Y93" s="32" t="str">
        <f t="shared" si="9"/>
        <v>个</v>
      </c>
      <c r="Z93" s="14"/>
      <c r="AA93" s="15"/>
      <c r="AB93" s="101"/>
    </row>
    <row r="94" spans="1:28" s="45" customFormat="1" ht="19.899999999999999" customHeight="1" x14ac:dyDescent="0.3">
      <c r="A94" s="34">
        <v>91</v>
      </c>
      <c r="B94" s="12" t="s">
        <v>341</v>
      </c>
      <c r="C94" s="29" t="s">
        <v>2</v>
      </c>
      <c r="D94" s="32" t="str">
        <f t="shared" si="5"/>
        <v>玻璃仪器</v>
      </c>
      <c r="E94" s="18" t="s">
        <v>256</v>
      </c>
      <c r="F94" s="16" t="s">
        <v>32</v>
      </c>
      <c r="G94" s="15"/>
      <c r="H94" s="15"/>
      <c r="I94" s="15"/>
      <c r="J94" s="29" t="s">
        <v>821</v>
      </c>
      <c r="K94" s="16">
        <v>8</v>
      </c>
      <c r="L94" s="36" t="s">
        <v>823</v>
      </c>
      <c r="M94" s="32" t="str">
        <f t="shared" si="6"/>
        <v>常规</v>
      </c>
      <c r="N94" s="25"/>
      <c r="O94" s="136" t="s">
        <v>2241</v>
      </c>
      <c r="P94" s="134" t="s">
        <v>2237</v>
      </c>
      <c r="Q94" s="14"/>
      <c r="R94" s="15"/>
      <c r="S94" s="15"/>
      <c r="T94" s="15"/>
      <c r="U94" s="32" t="str">
        <f t="shared" si="7"/>
        <v>个</v>
      </c>
      <c r="V94" s="14"/>
      <c r="W94" s="35"/>
      <c r="X94" s="32">
        <f t="shared" si="8"/>
        <v>8</v>
      </c>
      <c r="Y94" s="32" t="str">
        <f t="shared" si="9"/>
        <v>个</v>
      </c>
      <c r="Z94" s="14"/>
      <c r="AA94" s="15"/>
      <c r="AB94" s="101"/>
    </row>
    <row r="95" spans="1:28" s="45" customFormat="1" ht="19.899999999999999" customHeight="1" x14ac:dyDescent="0.3">
      <c r="A95" s="34">
        <v>92</v>
      </c>
      <c r="B95" s="12" t="s">
        <v>342</v>
      </c>
      <c r="C95" s="29" t="s">
        <v>2</v>
      </c>
      <c r="D95" s="32" t="str">
        <f t="shared" si="5"/>
        <v>玻璃仪器</v>
      </c>
      <c r="E95" s="14" t="s">
        <v>256</v>
      </c>
      <c r="F95" s="14" t="s">
        <v>33</v>
      </c>
      <c r="G95" s="15"/>
      <c r="H95" s="15"/>
      <c r="I95" s="15"/>
      <c r="J95" s="29" t="s">
        <v>821</v>
      </c>
      <c r="K95" s="16">
        <v>3</v>
      </c>
      <c r="L95" s="29" t="s">
        <v>824</v>
      </c>
      <c r="M95" s="32" t="str">
        <f t="shared" si="6"/>
        <v>常规</v>
      </c>
      <c r="N95" s="25"/>
      <c r="O95" s="136" t="s">
        <v>2241</v>
      </c>
      <c r="P95" s="134" t="s">
        <v>2238</v>
      </c>
      <c r="Q95" s="14"/>
      <c r="R95" s="15"/>
      <c r="S95" s="15" t="s">
        <v>975</v>
      </c>
      <c r="T95" s="15">
        <v>2</v>
      </c>
      <c r="U95" s="32" t="str">
        <f t="shared" si="7"/>
        <v>支</v>
      </c>
      <c r="V95" s="14"/>
      <c r="W95" s="35"/>
      <c r="X95" s="32">
        <f t="shared" si="8"/>
        <v>1</v>
      </c>
      <c r="Y95" s="32" t="str">
        <f t="shared" si="9"/>
        <v>支</v>
      </c>
      <c r="Z95" s="14"/>
      <c r="AA95" s="15"/>
      <c r="AB95" s="101"/>
    </row>
    <row r="96" spans="1:28" s="45" customFormat="1" ht="19.899999999999999" customHeight="1" x14ac:dyDescent="0.3">
      <c r="A96" s="34">
        <v>93</v>
      </c>
      <c r="B96" s="12" t="s">
        <v>342</v>
      </c>
      <c r="C96" s="29" t="s">
        <v>2</v>
      </c>
      <c r="D96" s="32" t="str">
        <f t="shared" si="5"/>
        <v>玻璃仪器</v>
      </c>
      <c r="E96" s="14" t="s">
        <v>256</v>
      </c>
      <c r="F96" s="16" t="s">
        <v>34</v>
      </c>
      <c r="G96" s="15"/>
      <c r="H96" s="15"/>
      <c r="I96" s="15"/>
      <c r="J96" s="29" t="s">
        <v>821</v>
      </c>
      <c r="K96" s="16">
        <v>2</v>
      </c>
      <c r="L96" s="29" t="s">
        <v>824</v>
      </c>
      <c r="M96" s="32" t="str">
        <f t="shared" si="6"/>
        <v>常规</v>
      </c>
      <c r="N96" s="25"/>
      <c r="O96" s="136" t="s">
        <v>2241</v>
      </c>
      <c r="P96" s="134" t="s">
        <v>2238</v>
      </c>
      <c r="Q96" s="14"/>
      <c r="R96" s="15"/>
      <c r="S96" s="15"/>
      <c r="T96" s="15"/>
      <c r="U96" s="32" t="str">
        <f t="shared" si="7"/>
        <v>支</v>
      </c>
      <c r="V96" s="14"/>
      <c r="W96" s="35"/>
      <c r="X96" s="32">
        <f t="shared" si="8"/>
        <v>2</v>
      </c>
      <c r="Y96" s="32" t="str">
        <f t="shared" si="9"/>
        <v>支</v>
      </c>
      <c r="Z96" s="14"/>
      <c r="AA96" s="15"/>
      <c r="AB96" s="101"/>
    </row>
    <row r="97" spans="1:28" s="212" customFormat="1" ht="19.899999999999999" customHeight="1" x14ac:dyDescent="0.3">
      <c r="A97" s="201">
        <v>94</v>
      </c>
      <c r="B97" s="202" t="s">
        <v>343</v>
      </c>
      <c r="C97" s="203" t="s">
        <v>2</v>
      </c>
      <c r="D97" s="204" t="str">
        <f t="shared" si="5"/>
        <v>玻璃仪器</v>
      </c>
      <c r="E97" s="205" t="s">
        <v>256</v>
      </c>
      <c r="F97" s="205" t="s">
        <v>33</v>
      </c>
      <c r="G97" s="206"/>
      <c r="H97" s="206"/>
      <c r="I97" s="206"/>
      <c r="J97" s="203" t="s">
        <v>821</v>
      </c>
      <c r="K97" s="202">
        <v>1</v>
      </c>
      <c r="L97" s="203" t="s">
        <v>824</v>
      </c>
      <c r="M97" s="204" t="str">
        <f t="shared" si="6"/>
        <v>常规</v>
      </c>
      <c r="N97" s="207"/>
      <c r="O97" s="208" t="s">
        <v>2241</v>
      </c>
      <c r="P97" s="209" t="s">
        <v>2238</v>
      </c>
      <c r="Q97" s="205"/>
      <c r="R97" s="206"/>
      <c r="S97" s="206" t="s">
        <v>976</v>
      </c>
      <c r="T97" s="206">
        <v>1</v>
      </c>
      <c r="U97" s="204" t="str">
        <f t="shared" si="7"/>
        <v>支</v>
      </c>
      <c r="V97" s="205"/>
      <c r="W97" s="210"/>
      <c r="X97" s="204" t="str">
        <f t="shared" si="8"/>
        <v/>
      </c>
      <c r="Y97" s="204" t="str">
        <f t="shared" si="9"/>
        <v>支</v>
      </c>
      <c r="Z97" s="205"/>
      <c r="AA97" s="206"/>
      <c r="AB97" s="211"/>
    </row>
    <row r="98" spans="1:28" s="45" customFormat="1" ht="19.899999999999999" customHeight="1" x14ac:dyDescent="0.3">
      <c r="A98" s="34">
        <v>95</v>
      </c>
      <c r="B98" s="12" t="s">
        <v>344</v>
      </c>
      <c r="C98" s="29" t="s">
        <v>2</v>
      </c>
      <c r="D98" s="32" t="str">
        <f t="shared" si="5"/>
        <v>玻璃仪器</v>
      </c>
      <c r="E98" s="14" t="s">
        <v>256</v>
      </c>
      <c r="F98" s="16" t="s">
        <v>34</v>
      </c>
      <c r="G98" s="15"/>
      <c r="H98" s="15"/>
      <c r="I98" s="15"/>
      <c r="J98" s="29" t="s">
        <v>821</v>
      </c>
      <c r="K98" s="16">
        <v>3</v>
      </c>
      <c r="L98" s="29" t="s">
        <v>824</v>
      </c>
      <c r="M98" s="32" t="str">
        <f t="shared" si="6"/>
        <v>常规</v>
      </c>
      <c r="N98" s="25"/>
      <c r="O98" s="136" t="s">
        <v>2241</v>
      </c>
      <c r="P98" s="134" t="s">
        <v>2238</v>
      </c>
      <c r="Q98" s="14"/>
      <c r="R98" s="15"/>
      <c r="S98" s="15"/>
      <c r="T98" s="15"/>
      <c r="U98" s="32" t="str">
        <f t="shared" si="7"/>
        <v>支</v>
      </c>
      <c r="V98" s="14"/>
      <c r="W98" s="35"/>
      <c r="X98" s="32">
        <f t="shared" si="8"/>
        <v>3</v>
      </c>
      <c r="Y98" s="32" t="str">
        <f t="shared" si="9"/>
        <v>支</v>
      </c>
      <c r="Z98" s="14"/>
      <c r="AA98" s="15"/>
      <c r="AB98" s="101"/>
    </row>
    <row r="99" spans="1:28" s="45" customFormat="1" ht="19.899999999999999" customHeight="1" x14ac:dyDescent="0.3">
      <c r="A99" s="34">
        <v>96</v>
      </c>
      <c r="B99" s="12" t="s">
        <v>345</v>
      </c>
      <c r="C99" s="29" t="s">
        <v>2</v>
      </c>
      <c r="D99" s="32" t="str">
        <f t="shared" si="5"/>
        <v>玻璃仪器</v>
      </c>
      <c r="E99" s="14" t="s">
        <v>256</v>
      </c>
      <c r="F99" s="14" t="s">
        <v>346</v>
      </c>
      <c r="G99" s="15"/>
      <c r="H99" s="15"/>
      <c r="I99" s="15"/>
      <c r="J99" s="29" t="s">
        <v>821</v>
      </c>
      <c r="K99" s="12">
        <v>16</v>
      </c>
      <c r="L99" s="29" t="s">
        <v>824</v>
      </c>
      <c r="M99" s="32" t="str">
        <f t="shared" si="6"/>
        <v>常规</v>
      </c>
      <c r="N99" s="20" t="s">
        <v>2190</v>
      </c>
      <c r="O99" s="136" t="s">
        <v>2241</v>
      </c>
      <c r="P99" s="134" t="s">
        <v>2238</v>
      </c>
      <c r="Q99" s="14"/>
      <c r="R99" s="15"/>
      <c r="S99" s="48" t="s">
        <v>2493</v>
      </c>
      <c r="T99" s="15">
        <v>1</v>
      </c>
      <c r="U99" s="32" t="str">
        <f t="shared" si="7"/>
        <v>支</v>
      </c>
      <c r="V99" s="14"/>
      <c r="W99" s="35"/>
      <c r="X99" s="32">
        <f t="shared" si="8"/>
        <v>15</v>
      </c>
      <c r="Y99" s="32" t="str">
        <f t="shared" si="9"/>
        <v>支</v>
      </c>
      <c r="Z99" s="14"/>
      <c r="AA99" s="15"/>
      <c r="AB99" s="105" t="s">
        <v>2494</v>
      </c>
    </row>
    <row r="100" spans="1:28" s="45" customFormat="1" ht="19.899999999999999" customHeight="1" x14ac:dyDescent="0.3">
      <c r="A100" s="34">
        <v>97</v>
      </c>
      <c r="B100" s="12" t="s">
        <v>345</v>
      </c>
      <c r="C100" s="29" t="s">
        <v>2</v>
      </c>
      <c r="D100" s="32" t="str">
        <f t="shared" ref="D100" si="10">IF(C100="J1","常规化学品",IF(C100="J2","危险化学品",IF(C100="J3","标准物质",IF(C100="J4","玻璃仪器",IF(C100="J5","实验气体",IF(C100="J6","专用物耗",IF(C100="J7","备品配件",IF(C100="J8","专用工具",IF(C100="Z1","劳保物资",IF(C100="Z2","办公耗材",IF(C100="Z3","食品饮料",IF(C100="Z4","特殊物耗",IF(C100="Z5","通用物耗",IF(C100="Z6","通用工具",""))))))))))))))</f>
        <v>玻璃仪器</v>
      </c>
      <c r="E100" s="14" t="s">
        <v>256</v>
      </c>
      <c r="F100" s="14" t="s">
        <v>2197</v>
      </c>
      <c r="G100" s="15"/>
      <c r="H100" s="15"/>
      <c r="I100" s="15" t="s">
        <v>2193</v>
      </c>
      <c r="J100" s="29" t="s">
        <v>821</v>
      </c>
      <c r="K100" s="12">
        <v>1</v>
      </c>
      <c r="L100" s="29" t="s">
        <v>824</v>
      </c>
      <c r="M100" s="32" t="str">
        <f t="shared" ref="M100" si="11">IF(D100="危险化学品","五双",IF(D100="标准物资","严控",IF(D100&lt;&gt;"","常规","")))</f>
        <v>常规</v>
      </c>
      <c r="N100" s="20" t="s">
        <v>2191</v>
      </c>
      <c r="O100" s="136" t="s">
        <v>2241</v>
      </c>
      <c r="P100" s="134" t="s">
        <v>2238</v>
      </c>
      <c r="Q100" s="14"/>
      <c r="R100" s="15"/>
      <c r="S100" s="15"/>
      <c r="T100" s="15"/>
      <c r="U100" s="32" t="str">
        <f t="shared" si="7"/>
        <v>支</v>
      </c>
      <c r="V100" s="14"/>
      <c r="W100" s="35"/>
      <c r="X100" s="32">
        <f t="shared" si="8"/>
        <v>1</v>
      </c>
      <c r="Y100" s="32" t="str">
        <f t="shared" si="9"/>
        <v>支</v>
      </c>
      <c r="Z100" s="95"/>
      <c r="AA100" s="15"/>
      <c r="AB100" s="105"/>
    </row>
    <row r="101" spans="1:28" s="45" customFormat="1" ht="19.899999999999999" customHeight="1" x14ac:dyDescent="0.3">
      <c r="A101" s="34">
        <v>98</v>
      </c>
      <c r="B101" s="12" t="s">
        <v>345</v>
      </c>
      <c r="C101" s="29" t="s">
        <v>2</v>
      </c>
      <c r="D101" s="32" t="str">
        <f t="shared" si="5"/>
        <v>玻璃仪器</v>
      </c>
      <c r="E101" s="18" t="s">
        <v>256</v>
      </c>
      <c r="F101" s="14" t="s">
        <v>347</v>
      </c>
      <c r="G101" s="15"/>
      <c r="H101" s="15"/>
      <c r="I101" s="15"/>
      <c r="J101" s="29" t="s">
        <v>821</v>
      </c>
      <c r="K101" s="16">
        <v>15</v>
      </c>
      <c r="L101" s="36" t="s">
        <v>824</v>
      </c>
      <c r="M101" s="32" t="str">
        <f t="shared" si="6"/>
        <v>常规</v>
      </c>
      <c r="N101" s="25" t="s">
        <v>348</v>
      </c>
      <c r="O101" s="136" t="s">
        <v>2241</v>
      </c>
      <c r="P101" s="134" t="s">
        <v>2238</v>
      </c>
      <c r="Q101" s="18"/>
      <c r="R101" s="15"/>
      <c r="S101" s="15"/>
      <c r="T101" s="15"/>
      <c r="U101" s="32" t="str">
        <f t="shared" si="7"/>
        <v>支</v>
      </c>
      <c r="V101" s="18"/>
      <c r="W101" s="35"/>
      <c r="X101" s="32">
        <f t="shared" si="8"/>
        <v>15</v>
      </c>
      <c r="Y101" s="32" t="str">
        <f t="shared" si="9"/>
        <v>支</v>
      </c>
      <c r="Z101" s="18"/>
      <c r="AA101" s="15"/>
      <c r="AB101" s="101"/>
    </row>
    <row r="102" spans="1:28" s="45" customFormat="1" ht="19.899999999999999" customHeight="1" x14ac:dyDescent="0.3">
      <c r="A102" s="34">
        <v>99</v>
      </c>
      <c r="B102" s="12" t="s">
        <v>349</v>
      </c>
      <c r="C102" s="29" t="s">
        <v>2</v>
      </c>
      <c r="D102" s="32" t="str">
        <f t="shared" si="5"/>
        <v>玻璃仪器</v>
      </c>
      <c r="E102" s="14" t="s">
        <v>256</v>
      </c>
      <c r="F102" s="14" t="s">
        <v>346</v>
      </c>
      <c r="G102" s="15"/>
      <c r="H102" s="15"/>
      <c r="I102" s="15"/>
      <c r="J102" s="29" t="s">
        <v>821</v>
      </c>
      <c r="K102" s="16">
        <v>10</v>
      </c>
      <c r="L102" s="29" t="s">
        <v>824</v>
      </c>
      <c r="M102" s="32" t="str">
        <f t="shared" si="6"/>
        <v>常规</v>
      </c>
      <c r="N102" s="25" t="s">
        <v>2132</v>
      </c>
      <c r="O102" s="136" t="s">
        <v>2241</v>
      </c>
      <c r="P102" s="134" t="s">
        <v>2238</v>
      </c>
      <c r="Q102" s="14"/>
      <c r="R102" s="15"/>
      <c r="S102" s="15" t="s">
        <v>2192</v>
      </c>
      <c r="T102" s="15">
        <v>2</v>
      </c>
      <c r="U102" s="32" t="str">
        <f t="shared" si="7"/>
        <v>支</v>
      </c>
      <c r="V102" s="14"/>
      <c r="W102" s="35"/>
      <c r="X102" s="32">
        <f t="shared" si="8"/>
        <v>8</v>
      </c>
      <c r="Y102" s="32" t="str">
        <f t="shared" si="9"/>
        <v>支</v>
      </c>
      <c r="Z102" s="14"/>
      <c r="AA102" s="15"/>
      <c r="AB102" s="101"/>
    </row>
    <row r="103" spans="1:28" s="45" customFormat="1" ht="19.899999999999999" customHeight="1" x14ac:dyDescent="0.3">
      <c r="A103" s="34">
        <v>100</v>
      </c>
      <c r="B103" s="12" t="s">
        <v>349</v>
      </c>
      <c r="C103" s="29" t="s">
        <v>2</v>
      </c>
      <c r="D103" s="32" t="str">
        <f t="shared" si="5"/>
        <v>玻璃仪器</v>
      </c>
      <c r="E103" s="14" t="s">
        <v>256</v>
      </c>
      <c r="F103" s="14" t="s">
        <v>347</v>
      </c>
      <c r="G103" s="15"/>
      <c r="H103" s="15"/>
      <c r="I103" s="15" t="s">
        <v>3043</v>
      </c>
      <c r="J103" s="29" t="s">
        <v>821</v>
      </c>
      <c r="K103" s="16">
        <v>15</v>
      </c>
      <c r="L103" s="29" t="s">
        <v>824</v>
      </c>
      <c r="M103" s="32" t="str">
        <f t="shared" si="6"/>
        <v>常规</v>
      </c>
      <c r="N103" s="25" t="s">
        <v>350</v>
      </c>
      <c r="O103" s="136" t="s">
        <v>2241</v>
      </c>
      <c r="P103" s="134" t="s">
        <v>2238</v>
      </c>
      <c r="Q103" s="14"/>
      <c r="R103" s="15"/>
      <c r="S103" s="15" t="s">
        <v>2116</v>
      </c>
      <c r="T103" s="15">
        <v>2</v>
      </c>
      <c r="U103" s="32" t="str">
        <f t="shared" si="7"/>
        <v>支</v>
      </c>
      <c r="V103" s="14"/>
      <c r="W103" s="35"/>
      <c r="X103" s="32">
        <v>15</v>
      </c>
      <c r="Y103" s="32" t="str">
        <f t="shared" si="9"/>
        <v>支</v>
      </c>
      <c r="Z103" s="14"/>
      <c r="AA103" s="15"/>
      <c r="AB103" s="101" t="s">
        <v>3044</v>
      </c>
    </row>
    <row r="104" spans="1:28" s="45" customFormat="1" ht="19.899999999999999" customHeight="1" x14ac:dyDescent="0.3">
      <c r="A104" s="34">
        <v>101</v>
      </c>
      <c r="B104" s="12" t="s">
        <v>351</v>
      </c>
      <c r="C104" s="29" t="s">
        <v>2</v>
      </c>
      <c r="D104" s="32" t="str">
        <f t="shared" si="5"/>
        <v>玻璃仪器</v>
      </c>
      <c r="E104" s="14" t="s">
        <v>256</v>
      </c>
      <c r="F104" s="14" t="s">
        <v>8</v>
      </c>
      <c r="G104" s="15"/>
      <c r="H104" s="15"/>
      <c r="I104" s="15"/>
      <c r="J104" s="29" t="s">
        <v>821</v>
      </c>
      <c r="K104" s="16">
        <v>1</v>
      </c>
      <c r="L104" s="29" t="s">
        <v>823</v>
      </c>
      <c r="M104" s="32" t="str">
        <f t="shared" si="6"/>
        <v>常规</v>
      </c>
      <c r="N104" s="18"/>
      <c r="O104" s="136" t="s">
        <v>2241</v>
      </c>
      <c r="P104" s="134" t="s">
        <v>2238</v>
      </c>
      <c r="Q104" s="14"/>
      <c r="R104" s="15"/>
      <c r="S104" s="15"/>
      <c r="T104" s="15"/>
      <c r="U104" s="32" t="str">
        <f t="shared" si="7"/>
        <v>个</v>
      </c>
      <c r="V104" s="14"/>
      <c r="W104" s="35"/>
      <c r="X104" s="32">
        <f t="shared" si="8"/>
        <v>1</v>
      </c>
      <c r="Y104" s="32" t="str">
        <f t="shared" si="9"/>
        <v>个</v>
      </c>
      <c r="Z104" s="14"/>
      <c r="AA104" s="15"/>
      <c r="AB104" s="101"/>
    </row>
    <row r="105" spans="1:28" s="45" customFormat="1" ht="19.899999999999999" customHeight="1" x14ac:dyDescent="0.3">
      <c r="A105" s="34">
        <v>102</v>
      </c>
      <c r="B105" s="12" t="s">
        <v>352</v>
      </c>
      <c r="C105" s="29" t="s">
        <v>2</v>
      </c>
      <c r="D105" s="32" t="str">
        <f t="shared" si="5"/>
        <v>玻璃仪器</v>
      </c>
      <c r="E105" s="14" t="s">
        <v>353</v>
      </c>
      <c r="F105" s="14" t="s">
        <v>16</v>
      </c>
      <c r="G105" s="15"/>
      <c r="H105" s="15"/>
      <c r="I105" s="15"/>
      <c r="J105" s="29" t="s">
        <v>821</v>
      </c>
      <c r="K105" s="16">
        <v>3</v>
      </c>
      <c r="L105" s="29" t="s">
        <v>823</v>
      </c>
      <c r="M105" s="32" t="str">
        <f t="shared" si="6"/>
        <v>常规</v>
      </c>
      <c r="N105" s="18"/>
      <c r="O105" s="136" t="s">
        <v>2241</v>
      </c>
      <c r="P105" s="134" t="s">
        <v>2238</v>
      </c>
      <c r="Q105" s="14"/>
      <c r="R105" s="15"/>
      <c r="S105" s="15"/>
      <c r="T105" s="15"/>
      <c r="U105" s="32" t="str">
        <f t="shared" si="7"/>
        <v>个</v>
      </c>
      <c r="V105" s="14"/>
      <c r="W105" s="35"/>
      <c r="X105" s="32">
        <f t="shared" si="8"/>
        <v>3</v>
      </c>
      <c r="Y105" s="32" t="str">
        <f t="shared" si="9"/>
        <v>个</v>
      </c>
      <c r="Z105" s="14"/>
      <c r="AA105" s="15"/>
      <c r="AB105" s="101"/>
    </row>
    <row r="106" spans="1:28" s="45" customFormat="1" ht="19.899999999999999" customHeight="1" x14ac:dyDescent="0.3">
      <c r="A106" s="34">
        <v>103</v>
      </c>
      <c r="B106" s="12" t="s">
        <v>333</v>
      </c>
      <c r="C106" s="29" t="s">
        <v>2</v>
      </c>
      <c r="D106" s="32" t="str">
        <f t="shared" si="5"/>
        <v>玻璃仪器</v>
      </c>
      <c r="E106" s="18" t="s">
        <v>256</v>
      </c>
      <c r="F106" s="16" t="s">
        <v>16</v>
      </c>
      <c r="G106" s="15"/>
      <c r="H106" s="15"/>
      <c r="I106" s="15"/>
      <c r="J106" s="29" t="s">
        <v>821</v>
      </c>
      <c r="K106" s="16">
        <v>4</v>
      </c>
      <c r="L106" s="38" t="s">
        <v>823</v>
      </c>
      <c r="M106" s="32" t="str">
        <f t="shared" si="6"/>
        <v>常规</v>
      </c>
      <c r="N106" s="25"/>
      <c r="O106" s="135" t="s">
        <v>2242</v>
      </c>
      <c r="P106" s="134" t="s">
        <v>2234</v>
      </c>
      <c r="Q106" s="14"/>
      <c r="R106" s="15"/>
      <c r="S106" s="15"/>
      <c r="T106" s="15"/>
      <c r="U106" s="32" t="str">
        <f t="shared" si="7"/>
        <v>个</v>
      </c>
      <c r="V106" s="14"/>
      <c r="W106" s="35"/>
      <c r="X106" s="32">
        <f t="shared" si="8"/>
        <v>4</v>
      </c>
      <c r="Y106" s="32" t="str">
        <f t="shared" si="9"/>
        <v>个</v>
      </c>
      <c r="Z106" s="14"/>
      <c r="AA106" s="15"/>
      <c r="AB106" s="101"/>
    </row>
    <row r="107" spans="1:28" s="45" customFormat="1" ht="19.899999999999999" customHeight="1" x14ac:dyDescent="0.3">
      <c r="A107" s="34">
        <v>104</v>
      </c>
      <c r="B107" s="12" t="s">
        <v>354</v>
      </c>
      <c r="C107" s="29" t="s">
        <v>2</v>
      </c>
      <c r="D107" s="32" t="str">
        <f t="shared" si="5"/>
        <v>玻璃仪器</v>
      </c>
      <c r="E107" s="14" t="s">
        <v>256</v>
      </c>
      <c r="F107" s="14" t="s">
        <v>16</v>
      </c>
      <c r="G107" s="15"/>
      <c r="H107" s="15"/>
      <c r="I107" s="15"/>
      <c r="J107" s="29" t="s">
        <v>821</v>
      </c>
      <c r="K107" s="16">
        <v>20</v>
      </c>
      <c r="L107" s="29" t="s">
        <v>823</v>
      </c>
      <c r="M107" s="32" t="str">
        <f t="shared" si="6"/>
        <v>常规</v>
      </c>
      <c r="N107" s="25"/>
      <c r="O107" s="135" t="s">
        <v>2242</v>
      </c>
      <c r="P107" s="134" t="s">
        <v>2235</v>
      </c>
      <c r="Q107" s="14"/>
      <c r="R107" s="15"/>
      <c r="S107" s="15"/>
      <c r="T107" s="15"/>
      <c r="U107" s="32" t="str">
        <f t="shared" si="7"/>
        <v>个</v>
      </c>
      <c r="V107" s="14"/>
      <c r="W107" s="35"/>
      <c r="X107" s="32">
        <f t="shared" si="8"/>
        <v>20</v>
      </c>
      <c r="Y107" s="32" t="str">
        <f t="shared" si="9"/>
        <v>个</v>
      </c>
      <c r="Z107" s="14"/>
      <c r="AA107" s="15"/>
      <c r="AB107" s="101"/>
    </row>
    <row r="108" spans="1:28" s="45" customFormat="1" ht="19.899999999999999" customHeight="1" x14ac:dyDescent="0.3">
      <c r="A108" s="34">
        <v>105</v>
      </c>
      <c r="B108" s="12" t="s">
        <v>354</v>
      </c>
      <c r="C108" s="29" t="s">
        <v>2</v>
      </c>
      <c r="D108" s="32" t="str">
        <f t="shared" si="5"/>
        <v>玻璃仪器</v>
      </c>
      <c r="E108" s="14" t="s">
        <v>256</v>
      </c>
      <c r="F108" s="14" t="s">
        <v>8</v>
      </c>
      <c r="G108" s="15"/>
      <c r="H108" s="15"/>
      <c r="I108" s="15"/>
      <c r="J108" s="29" t="s">
        <v>821</v>
      </c>
      <c r="K108" s="16">
        <v>18</v>
      </c>
      <c r="L108" s="29" t="s">
        <v>823</v>
      </c>
      <c r="M108" s="32" t="str">
        <f t="shared" si="6"/>
        <v>常规</v>
      </c>
      <c r="N108" s="25"/>
      <c r="O108" s="135" t="s">
        <v>2242</v>
      </c>
      <c r="P108" s="134" t="s">
        <v>2235</v>
      </c>
      <c r="Q108" s="14"/>
      <c r="R108" s="15"/>
      <c r="S108" s="15"/>
      <c r="T108" s="15"/>
      <c r="U108" s="32" t="str">
        <f t="shared" si="7"/>
        <v>个</v>
      </c>
      <c r="V108" s="14"/>
      <c r="W108" s="35"/>
      <c r="X108" s="32">
        <f t="shared" si="8"/>
        <v>18</v>
      </c>
      <c r="Y108" s="32" t="str">
        <f t="shared" si="9"/>
        <v>个</v>
      </c>
      <c r="Z108" s="14"/>
      <c r="AA108" s="15"/>
      <c r="AB108" s="101"/>
    </row>
    <row r="109" spans="1:28" s="45" customFormat="1" ht="19.899999999999999" customHeight="1" x14ac:dyDescent="0.3">
      <c r="A109" s="34">
        <v>106</v>
      </c>
      <c r="B109" s="12" t="s">
        <v>354</v>
      </c>
      <c r="C109" s="29" t="s">
        <v>2</v>
      </c>
      <c r="D109" s="32" t="str">
        <f t="shared" si="5"/>
        <v>玻璃仪器</v>
      </c>
      <c r="E109" s="14" t="s">
        <v>256</v>
      </c>
      <c r="F109" s="14" t="s">
        <v>18</v>
      </c>
      <c r="G109" s="15"/>
      <c r="H109" s="15"/>
      <c r="I109" s="15"/>
      <c r="J109" s="29" t="s">
        <v>821</v>
      </c>
      <c r="K109" s="16">
        <v>11</v>
      </c>
      <c r="L109" s="29" t="s">
        <v>823</v>
      </c>
      <c r="M109" s="32" t="str">
        <f t="shared" si="6"/>
        <v>常规</v>
      </c>
      <c r="N109" s="25"/>
      <c r="O109" s="135" t="s">
        <v>2242</v>
      </c>
      <c r="P109" s="134" t="s">
        <v>2235</v>
      </c>
      <c r="Q109" s="14"/>
      <c r="R109" s="15"/>
      <c r="S109" s="15"/>
      <c r="T109" s="15"/>
      <c r="U109" s="32" t="str">
        <f t="shared" si="7"/>
        <v>个</v>
      </c>
      <c r="V109" s="14"/>
      <c r="W109" s="35"/>
      <c r="X109" s="32">
        <f t="shared" si="8"/>
        <v>11</v>
      </c>
      <c r="Y109" s="32" t="str">
        <f t="shared" si="9"/>
        <v>个</v>
      </c>
      <c r="Z109" s="14"/>
      <c r="AA109" s="15"/>
      <c r="AB109" s="101"/>
    </row>
    <row r="110" spans="1:28" s="45" customFormat="1" ht="19.899999999999999" customHeight="1" x14ac:dyDescent="0.3">
      <c r="A110" s="34">
        <v>107</v>
      </c>
      <c r="B110" s="12" t="s">
        <v>355</v>
      </c>
      <c r="C110" s="29" t="s">
        <v>2</v>
      </c>
      <c r="D110" s="32" t="str">
        <f t="shared" si="5"/>
        <v>玻璃仪器</v>
      </c>
      <c r="E110" s="16" t="s">
        <v>283</v>
      </c>
      <c r="F110" s="16" t="s">
        <v>16</v>
      </c>
      <c r="G110" s="15"/>
      <c r="H110" s="15"/>
      <c r="I110" s="15"/>
      <c r="J110" s="29" t="s">
        <v>821</v>
      </c>
      <c r="K110" s="16">
        <v>165</v>
      </c>
      <c r="L110" s="37" t="s">
        <v>823</v>
      </c>
      <c r="M110" s="32" t="str">
        <f t="shared" si="6"/>
        <v>常规</v>
      </c>
      <c r="N110" s="26"/>
      <c r="O110" s="135" t="s">
        <v>2242</v>
      </c>
      <c r="P110" s="134" t="s">
        <v>2235</v>
      </c>
      <c r="Q110" s="14"/>
      <c r="R110" s="15"/>
      <c r="S110" s="15" t="s">
        <v>1246</v>
      </c>
      <c r="T110" s="15">
        <v>69</v>
      </c>
      <c r="U110" s="32" t="str">
        <f t="shared" si="7"/>
        <v>个</v>
      </c>
      <c r="V110" s="14"/>
      <c r="W110" s="35"/>
      <c r="X110" s="32">
        <f t="shared" si="8"/>
        <v>96</v>
      </c>
      <c r="Y110" s="32" t="str">
        <f t="shared" si="9"/>
        <v>个</v>
      </c>
      <c r="Z110" s="14"/>
      <c r="AA110" s="15"/>
      <c r="AB110" s="101"/>
    </row>
    <row r="111" spans="1:28" s="45" customFormat="1" ht="19.899999999999999" customHeight="1" x14ac:dyDescent="0.3">
      <c r="A111" s="34">
        <v>108</v>
      </c>
      <c r="B111" s="12" t="s">
        <v>355</v>
      </c>
      <c r="C111" s="29" t="s">
        <v>2</v>
      </c>
      <c r="D111" s="32" t="str">
        <f t="shared" si="5"/>
        <v>玻璃仪器</v>
      </c>
      <c r="E111" s="16" t="s">
        <v>283</v>
      </c>
      <c r="F111" s="16" t="s">
        <v>8</v>
      </c>
      <c r="G111" s="15"/>
      <c r="H111" s="15"/>
      <c r="I111" s="15"/>
      <c r="J111" s="29" t="s">
        <v>821</v>
      </c>
      <c r="K111" s="16">
        <v>87</v>
      </c>
      <c r="L111" s="37" t="s">
        <v>823</v>
      </c>
      <c r="M111" s="32" t="str">
        <f t="shared" si="6"/>
        <v>常规</v>
      </c>
      <c r="N111" s="25"/>
      <c r="O111" s="135" t="s">
        <v>2242</v>
      </c>
      <c r="P111" s="134" t="s">
        <v>2235</v>
      </c>
      <c r="Q111" s="18"/>
      <c r="R111" s="15"/>
      <c r="S111" s="15" t="s">
        <v>2112</v>
      </c>
      <c r="T111" s="15">
        <v>67</v>
      </c>
      <c r="U111" s="32" t="str">
        <f t="shared" si="7"/>
        <v>个</v>
      </c>
      <c r="V111" s="18"/>
      <c r="W111" s="35"/>
      <c r="X111" s="32">
        <f t="shared" si="8"/>
        <v>20</v>
      </c>
      <c r="Y111" s="32" t="str">
        <f t="shared" si="9"/>
        <v>个</v>
      </c>
      <c r="Z111" s="18"/>
      <c r="AA111" s="15"/>
      <c r="AB111" s="101"/>
    </row>
    <row r="112" spans="1:28" s="45" customFormat="1" ht="19.899999999999999" customHeight="1" x14ac:dyDescent="0.3">
      <c r="A112" s="34">
        <v>109</v>
      </c>
      <c r="B112" s="12" t="s">
        <v>355</v>
      </c>
      <c r="C112" s="29" t="s">
        <v>2</v>
      </c>
      <c r="D112" s="32" t="str">
        <f t="shared" si="5"/>
        <v>玻璃仪器</v>
      </c>
      <c r="E112" s="16" t="s">
        <v>283</v>
      </c>
      <c r="F112" s="16" t="s">
        <v>18</v>
      </c>
      <c r="G112" s="15"/>
      <c r="H112" s="15"/>
      <c r="I112" s="15"/>
      <c r="J112" s="29" t="s">
        <v>821</v>
      </c>
      <c r="K112" s="16">
        <v>108</v>
      </c>
      <c r="L112" s="37" t="s">
        <v>823</v>
      </c>
      <c r="M112" s="32" t="str">
        <f t="shared" si="6"/>
        <v>常规</v>
      </c>
      <c r="N112" s="25"/>
      <c r="O112" s="135" t="s">
        <v>2242</v>
      </c>
      <c r="P112" s="134" t="s">
        <v>2235</v>
      </c>
      <c r="Q112" s="14"/>
      <c r="R112" s="15"/>
      <c r="S112" s="15" t="s">
        <v>1247</v>
      </c>
      <c r="T112" s="15">
        <v>98</v>
      </c>
      <c r="U112" s="32" t="str">
        <f t="shared" si="7"/>
        <v>个</v>
      </c>
      <c r="V112" s="14"/>
      <c r="W112" s="35"/>
      <c r="X112" s="32">
        <f t="shared" si="8"/>
        <v>10</v>
      </c>
      <c r="Y112" s="32" t="str">
        <f t="shared" si="9"/>
        <v>个</v>
      </c>
      <c r="Z112" s="14"/>
      <c r="AA112" s="15"/>
      <c r="AB112" s="101"/>
    </row>
    <row r="113" spans="1:28" s="45" customFormat="1" ht="19.899999999999999" customHeight="1" x14ac:dyDescent="0.3">
      <c r="A113" s="34">
        <v>110</v>
      </c>
      <c r="B113" s="12" t="s">
        <v>355</v>
      </c>
      <c r="C113" s="29" t="s">
        <v>2</v>
      </c>
      <c r="D113" s="32" t="str">
        <f t="shared" si="5"/>
        <v>玻璃仪器</v>
      </c>
      <c r="E113" s="16" t="s">
        <v>283</v>
      </c>
      <c r="F113" s="16" t="s">
        <v>19</v>
      </c>
      <c r="G113" s="15"/>
      <c r="H113" s="15"/>
      <c r="I113" s="15"/>
      <c r="J113" s="29" t="s">
        <v>821</v>
      </c>
      <c r="K113" s="16">
        <v>132</v>
      </c>
      <c r="L113" s="37" t="s">
        <v>823</v>
      </c>
      <c r="M113" s="32" t="str">
        <f t="shared" si="6"/>
        <v>常规</v>
      </c>
      <c r="N113" s="25"/>
      <c r="O113" s="135" t="s">
        <v>2242</v>
      </c>
      <c r="P113" s="134" t="s">
        <v>2235</v>
      </c>
      <c r="Q113" s="14"/>
      <c r="R113" s="15"/>
      <c r="S113" s="15" t="s">
        <v>996</v>
      </c>
      <c r="T113" s="15">
        <v>48</v>
      </c>
      <c r="U113" s="32" t="str">
        <f t="shared" si="7"/>
        <v>个</v>
      </c>
      <c r="V113" s="14"/>
      <c r="W113" s="35"/>
      <c r="X113" s="32">
        <f t="shared" si="8"/>
        <v>84</v>
      </c>
      <c r="Y113" s="32" t="str">
        <f t="shared" si="9"/>
        <v>个</v>
      </c>
      <c r="Z113" s="14"/>
      <c r="AA113" s="15"/>
      <c r="AB113" s="101"/>
    </row>
    <row r="114" spans="1:28" s="212" customFormat="1" ht="19.899999999999999" customHeight="1" x14ac:dyDescent="0.3">
      <c r="A114" s="201">
        <v>111</v>
      </c>
      <c r="B114" s="202" t="s">
        <v>356</v>
      </c>
      <c r="C114" s="203" t="s">
        <v>2</v>
      </c>
      <c r="D114" s="204" t="str">
        <f t="shared" si="5"/>
        <v>玻璃仪器</v>
      </c>
      <c r="E114" s="205" t="s">
        <v>256</v>
      </c>
      <c r="F114" s="205" t="s">
        <v>13</v>
      </c>
      <c r="G114" s="206"/>
      <c r="H114" s="206"/>
      <c r="I114" s="206"/>
      <c r="J114" s="203" t="s">
        <v>821</v>
      </c>
      <c r="K114" s="202">
        <v>10</v>
      </c>
      <c r="L114" s="203" t="s">
        <v>823</v>
      </c>
      <c r="M114" s="204" t="str">
        <f t="shared" si="6"/>
        <v>常规</v>
      </c>
      <c r="N114" s="207"/>
      <c r="O114" s="208" t="s">
        <v>2242</v>
      </c>
      <c r="P114" s="209" t="s">
        <v>2236</v>
      </c>
      <c r="Q114" s="205"/>
      <c r="R114" s="206"/>
      <c r="S114" s="206" t="s">
        <v>974</v>
      </c>
      <c r="T114" s="206">
        <v>10</v>
      </c>
      <c r="U114" s="204" t="str">
        <f t="shared" si="7"/>
        <v>个</v>
      </c>
      <c r="V114" s="205"/>
      <c r="W114" s="210"/>
      <c r="X114" s="204" t="str">
        <f t="shared" si="8"/>
        <v/>
      </c>
      <c r="Y114" s="204" t="str">
        <f t="shared" si="9"/>
        <v>个</v>
      </c>
      <c r="Z114" s="205"/>
      <c r="AA114" s="206"/>
      <c r="AB114" s="211"/>
    </row>
    <row r="115" spans="1:28" s="45" customFormat="1" ht="19.899999999999999" customHeight="1" x14ac:dyDescent="0.3">
      <c r="A115" s="34">
        <v>112</v>
      </c>
      <c r="B115" s="12" t="s">
        <v>356</v>
      </c>
      <c r="C115" s="29" t="s">
        <v>2</v>
      </c>
      <c r="D115" s="32" t="str">
        <f t="shared" si="5"/>
        <v>玻璃仪器</v>
      </c>
      <c r="E115" s="14" t="s">
        <v>256</v>
      </c>
      <c r="F115" s="14" t="s">
        <v>35</v>
      </c>
      <c r="G115" s="15"/>
      <c r="H115" s="15"/>
      <c r="I115" s="15"/>
      <c r="J115" s="29" t="s">
        <v>821</v>
      </c>
      <c r="K115" s="16">
        <v>20</v>
      </c>
      <c r="L115" s="36" t="s">
        <v>823</v>
      </c>
      <c r="M115" s="32" t="str">
        <f t="shared" si="6"/>
        <v>常规</v>
      </c>
      <c r="N115" s="25"/>
      <c r="O115" s="135" t="s">
        <v>2242</v>
      </c>
      <c r="P115" s="134" t="s">
        <v>2236</v>
      </c>
      <c r="Q115" s="14"/>
      <c r="R115" s="15"/>
      <c r="S115" s="15"/>
      <c r="T115" s="15"/>
      <c r="U115" s="32" t="str">
        <f t="shared" si="7"/>
        <v>个</v>
      </c>
      <c r="V115" s="14"/>
      <c r="W115" s="35"/>
      <c r="X115" s="32">
        <f t="shared" si="8"/>
        <v>20</v>
      </c>
      <c r="Y115" s="32" t="str">
        <f t="shared" si="9"/>
        <v>个</v>
      </c>
      <c r="Z115" s="14"/>
      <c r="AA115" s="15"/>
      <c r="AB115" s="101"/>
    </row>
    <row r="116" spans="1:28" s="45" customFormat="1" ht="19.899999999999999" customHeight="1" x14ac:dyDescent="0.3">
      <c r="A116" s="34">
        <v>113</v>
      </c>
      <c r="B116" s="12" t="s">
        <v>2472</v>
      </c>
      <c r="C116" s="29" t="s">
        <v>2</v>
      </c>
      <c r="D116" s="32" t="s">
        <v>154</v>
      </c>
      <c r="E116" s="18" t="s">
        <v>2473</v>
      </c>
      <c r="F116" s="12" t="s">
        <v>18</v>
      </c>
      <c r="G116" s="15"/>
      <c r="H116" s="15"/>
      <c r="I116" s="15"/>
      <c r="J116" s="29" t="s">
        <v>1589</v>
      </c>
      <c r="K116" s="16">
        <v>10</v>
      </c>
      <c r="L116" s="36" t="s">
        <v>134</v>
      </c>
      <c r="M116" s="32" t="s">
        <v>2474</v>
      </c>
      <c r="N116" s="25"/>
      <c r="O116" s="135" t="s">
        <v>2475</v>
      </c>
      <c r="P116" s="134" t="s">
        <v>2476</v>
      </c>
      <c r="Q116" s="14"/>
      <c r="R116" s="15"/>
      <c r="S116" s="15"/>
      <c r="T116" s="15"/>
      <c r="U116" s="32" t="s">
        <v>134</v>
      </c>
      <c r="V116" s="14"/>
      <c r="W116" s="35"/>
      <c r="X116" s="32">
        <v>10</v>
      </c>
      <c r="Y116" s="32" t="s">
        <v>134</v>
      </c>
      <c r="Z116" s="14"/>
      <c r="AA116" s="15"/>
      <c r="AB116" s="101"/>
    </row>
    <row r="117" spans="1:28" s="45" customFormat="1" ht="19.899999999999999" customHeight="1" x14ac:dyDescent="0.3">
      <c r="A117" s="34">
        <v>114</v>
      </c>
      <c r="B117" s="12" t="s">
        <v>357</v>
      </c>
      <c r="C117" s="29" t="s">
        <v>2</v>
      </c>
      <c r="D117" s="32" t="str">
        <f t="shared" si="5"/>
        <v>玻璃仪器</v>
      </c>
      <c r="E117" s="14" t="s">
        <v>358</v>
      </c>
      <c r="F117" s="18" t="s">
        <v>19</v>
      </c>
      <c r="G117" s="15"/>
      <c r="H117" s="15"/>
      <c r="I117" s="15"/>
      <c r="J117" s="29" t="s">
        <v>821</v>
      </c>
      <c r="K117" s="16">
        <v>9</v>
      </c>
      <c r="L117" s="36" t="s">
        <v>823</v>
      </c>
      <c r="M117" s="32" t="str">
        <f t="shared" si="6"/>
        <v>常规</v>
      </c>
      <c r="N117" s="25"/>
      <c r="O117" s="135" t="s">
        <v>2242</v>
      </c>
      <c r="P117" s="134" t="s">
        <v>2236</v>
      </c>
      <c r="Q117" s="14"/>
      <c r="R117" s="15"/>
      <c r="S117" s="15" t="s">
        <v>2113</v>
      </c>
      <c r="T117" s="15">
        <v>2</v>
      </c>
      <c r="U117" s="32" t="str">
        <f t="shared" si="7"/>
        <v>个</v>
      </c>
      <c r="V117" s="14"/>
      <c r="W117" s="35"/>
      <c r="X117" s="32">
        <f t="shared" si="8"/>
        <v>7</v>
      </c>
      <c r="Y117" s="32" t="str">
        <f t="shared" si="9"/>
        <v>个</v>
      </c>
      <c r="Z117" s="14"/>
      <c r="AA117" s="15"/>
      <c r="AB117" s="101"/>
    </row>
    <row r="118" spans="1:28" s="45" customFormat="1" ht="19.899999999999999" customHeight="1" x14ac:dyDescent="0.3">
      <c r="A118" s="34">
        <v>115</v>
      </c>
      <c r="B118" s="12" t="s">
        <v>357</v>
      </c>
      <c r="C118" s="29" t="s">
        <v>2</v>
      </c>
      <c r="D118" s="32" t="str">
        <f t="shared" si="5"/>
        <v>玻璃仪器</v>
      </c>
      <c r="E118" s="14" t="s">
        <v>256</v>
      </c>
      <c r="F118" s="14" t="s">
        <v>27</v>
      </c>
      <c r="G118" s="15"/>
      <c r="H118" s="15"/>
      <c r="I118" s="15"/>
      <c r="J118" s="29" t="s">
        <v>821</v>
      </c>
      <c r="K118" s="16">
        <v>25</v>
      </c>
      <c r="L118" s="29" t="s">
        <v>823</v>
      </c>
      <c r="M118" s="32" t="str">
        <f t="shared" si="6"/>
        <v>常规</v>
      </c>
      <c r="N118" s="25" t="s">
        <v>2133</v>
      </c>
      <c r="O118" s="135" t="s">
        <v>2242</v>
      </c>
      <c r="P118" s="134" t="s">
        <v>2236</v>
      </c>
      <c r="Q118" s="14"/>
      <c r="R118" s="15"/>
      <c r="S118" s="15" t="s">
        <v>2114</v>
      </c>
      <c r="T118" s="15">
        <v>6</v>
      </c>
      <c r="U118" s="32" t="str">
        <f t="shared" si="7"/>
        <v>个</v>
      </c>
      <c r="V118" s="14"/>
      <c r="W118" s="35"/>
      <c r="X118" s="32">
        <f t="shared" si="8"/>
        <v>19</v>
      </c>
      <c r="Y118" s="32" t="str">
        <f t="shared" si="9"/>
        <v>个</v>
      </c>
      <c r="Z118" s="14"/>
      <c r="AA118" s="15"/>
      <c r="AB118" s="101"/>
    </row>
    <row r="119" spans="1:28" s="45" customFormat="1" ht="19.899999999999999" customHeight="1" x14ac:dyDescent="0.3">
      <c r="A119" s="34">
        <v>116</v>
      </c>
      <c r="B119" s="12" t="s">
        <v>357</v>
      </c>
      <c r="C119" s="29" t="s">
        <v>2</v>
      </c>
      <c r="D119" s="32" t="str">
        <f t="shared" si="5"/>
        <v>玻璃仪器</v>
      </c>
      <c r="E119" s="18" t="s">
        <v>256</v>
      </c>
      <c r="F119" s="18" t="s">
        <v>36</v>
      </c>
      <c r="G119" s="15"/>
      <c r="H119" s="15"/>
      <c r="I119" s="15"/>
      <c r="J119" s="29" t="s">
        <v>821</v>
      </c>
      <c r="K119" s="16">
        <v>15</v>
      </c>
      <c r="L119" s="36" t="s">
        <v>823</v>
      </c>
      <c r="M119" s="32" t="str">
        <f t="shared" si="6"/>
        <v>常规</v>
      </c>
      <c r="N119" s="25"/>
      <c r="O119" s="135" t="s">
        <v>2242</v>
      </c>
      <c r="P119" s="134" t="s">
        <v>2236</v>
      </c>
      <c r="Q119" s="14"/>
      <c r="R119" s="15"/>
      <c r="S119" s="15" t="s">
        <v>1075</v>
      </c>
      <c r="T119" s="15">
        <v>4</v>
      </c>
      <c r="U119" s="32" t="str">
        <f t="shared" si="7"/>
        <v>个</v>
      </c>
      <c r="V119" s="14"/>
      <c r="W119" s="35"/>
      <c r="X119" s="32">
        <f t="shared" si="8"/>
        <v>11</v>
      </c>
      <c r="Y119" s="32" t="str">
        <f t="shared" si="9"/>
        <v>个</v>
      </c>
      <c r="Z119" s="14"/>
      <c r="AA119" s="15"/>
      <c r="AB119" s="101"/>
    </row>
    <row r="120" spans="1:28" s="45" customFormat="1" ht="19.899999999999999" customHeight="1" x14ac:dyDescent="0.3">
      <c r="A120" s="34">
        <v>117</v>
      </c>
      <c r="B120" s="12" t="s">
        <v>359</v>
      </c>
      <c r="C120" s="29" t="s">
        <v>2</v>
      </c>
      <c r="D120" s="32" t="str">
        <f t="shared" si="5"/>
        <v>玻璃仪器</v>
      </c>
      <c r="E120" s="14" t="s">
        <v>358</v>
      </c>
      <c r="F120" s="14" t="s">
        <v>9</v>
      </c>
      <c r="G120" s="15"/>
      <c r="H120" s="15"/>
      <c r="I120" s="15"/>
      <c r="J120" s="29" t="s">
        <v>821</v>
      </c>
      <c r="K120" s="16">
        <v>1</v>
      </c>
      <c r="L120" s="29" t="s">
        <v>823</v>
      </c>
      <c r="M120" s="32" t="str">
        <f t="shared" si="6"/>
        <v>常规</v>
      </c>
      <c r="N120" s="27"/>
      <c r="O120" s="135" t="s">
        <v>2242</v>
      </c>
      <c r="P120" s="134" t="s">
        <v>2236</v>
      </c>
      <c r="Q120" s="14"/>
      <c r="R120" s="15"/>
      <c r="S120" s="15"/>
      <c r="T120" s="15"/>
      <c r="U120" s="32" t="str">
        <f t="shared" si="7"/>
        <v>个</v>
      </c>
      <c r="V120" s="14"/>
      <c r="W120" s="35"/>
      <c r="X120" s="32">
        <f t="shared" si="8"/>
        <v>1</v>
      </c>
      <c r="Y120" s="32" t="str">
        <f t="shared" si="9"/>
        <v>个</v>
      </c>
      <c r="Z120" s="14"/>
      <c r="AA120" s="15"/>
      <c r="AB120" s="101"/>
    </row>
    <row r="121" spans="1:28" s="45" customFormat="1" ht="19.899999999999999" customHeight="1" x14ac:dyDescent="0.3">
      <c r="A121" s="34">
        <v>118</v>
      </c>
      <c r="B121" s="12" t="s">
        <v>357</v>
      </c>
      <c r="C121" s="29" t="s">
        <v>2</v>
      </c>
      <c r="D121" s="32" t="str">
        <f t="shared" si="5"/>
        <v>玻璃仪器</v>
      </c>
      <c r="E121" s="14" t="s">
        <v>256</v>
      </c>
      <c r="F121" s="14" t="s">
        <v>10</v>
      </c>
      <c r="G121" s="15"/>
      <c r="H121" s="15"/>
      <c r="I121" s="15"/>
      <c r="J121" s="29" t="s">
        <v>821</v>
      </c>
      <c r="K121" s="16">
        <v>4</v>
      </c>
      <c r="L121" s="29" t="s">
        <v>823</v>
      </c>
      <c r="M121" s="32" t="str">
        <f t="shared" si="6"/>
        <v>常规</v>
      </c>
      <c r="N121" s="25"/>
      <c r="O121" s="135" t="s">
        <v>2242</v>
      </c>
      <c r="P121" s="134" t="s">
        <v>2236</v>
      </c>
      <c r="Q121" s="14"/>
      <c r="R121" s="15"/>
      <c r="S121" s="15" t="s">
        <v>2409</v>
      </c>
      <c r="T121" s="15">
        <v>3</v>
      </c>
      <c r="U121" s="32" t="str">
        <f t="shared" si="7"/>
        <v>个</v>
      </c>
      <c r="V121" s="14"/>
      <c r="W121" s="35"/>
      <c r="X121" s="32">
        <f t="shared" si="8"/>
        <v>1</v>
      </c>
      <c r="Y121" s="32" t="str">
        <f t="shared" si="9"/>
        <v>个</v>
      </c>
      <c r="Z121" s="14"/>
      <c r="AA121" s="15"/>
      <c r="AB121" s="101"/>
    </row>
    <row r="122" spans="1:28" s="45" customFormat="1" ht="19.899999999999999" customHeight="1" x14ac:dyDescent="0.3">
      <c r="A122" s="34">
        <v>119</v>
      </c>
      <c r="B122" s="12" t="s">
        <v>360</v>
      </c>
      <c r="C122" s="29" t="s">
        <v>2</v>
      </c>
      <c r="D122" s="32" t="str">
        <f t="shared" si="5"/>
        <v>玻璃仪器</v>
      </c>
      <c r="E122" s="18" t="s">
        <v>256</v>
      </c>
      <c r="F122" s="16" t="s">
        <v>37</v>
      </c>
      <c r="G122" s="15"/>
      <c r="H122" s="15"/>
      <c r="I122" s="15"/>
      <c r="J122" s="29" t="s">
        <v>821</v>
      </c>
      <c r="K122" s="16">
        <v>2</v>
      </c>
      <c r="L122" s="38" t="s">
        <v>823</v>
      </c>
      <c r="M122" s="32" t="str">
        <f t="shared" si="6"/>
        <v>常规</v>
      </c>
      <c r="N122" s="25"/>
      <c r="O122" s="135" t="s">
        <v>2242</v>
      </c>
      <c r="P122" s="134" t="s">
        <v>2236</v>
      </c>
      <c r="Q122" s="14"/>
      <c r="R122" s="15"/>
      <c r="S122" s="15"/>
      <c r="T122" s="15"/>
      <c r="U122" s="32" t="str">
        <f t="shared" si="7"/>
        <v>个</v>
      </c>
      <c r="V122" s="14"/>
      <c r="W122" s="35"/>
      <c r="X122" s="32">
        <f t="shared" si="8"/>
        <v>2</v>
      </c>
      <c r="Y122" s="32" t="str">
        <f t="shared" si="9"/>
        <v>个</v>
      </c>
      <c r="Z122" s="14"/>
      <c r="AA122" s="15"/>
      <c r="AB122" s="101"/>
    </row>
    <row r="123" spans="1:28" s="45" customFormat="1" ht="19.899999999999999" customHeight="1" x14ac:dyDescent="0.3">
      <c r="A123" s="34">
        <v>120</v>
      </c>
      <c r="B123" s="12" t="s">
        <v>361</v>
      </c>
      <c r="C123" s="29" t="s">
        <v>2</v>
      </c>
      <c r="D123" s="32" t="str">
        <f t="shared" si="5"/>
        <v>玻璃仪器</v>
      </c>
      <c r="E123" s="16" t="s">
        <v>283</v>
      </c>
      <c r="F123" s="16" t="s">
        <v>19</v>
      </c>
      <c r="G123" s="15"/>
      <c r="H123" s="15"/>
      <c r="I123" s="15"/>
      <c r="J123" s="29" t="s">
        <v>821</v>
      </c>
      <c r="K123" s="16">
        <v>8</v>
      </c>
      <c r="L123" s="36" t="s">
        <v>823</v>
      </c>
      <c r="M123" s="32" t="str">
        <f t="shared" si="6"/>
        <v>常规</v>
      </c>
      <c r="N123" s="25"/>
      <c r="O123" s="135" t="s">
        <v>2242</v>
      </c>
      <c r="P123" s="134" t="s">
        <v>2237</v>
      </c>
      <c r="Q123" s="14"/>
      <c r="R123" s="15"/>
      <c r="S123" s="15"/>
      <c r="T123" s="15"/>
      <c r="U123" s="32" t="str">
        <f t="shared" si="7"/>
        <v>个</v>
      </c>
      <c r="V123" s="14"/>
      <c r="W123" s="35"/>
      <c r="X123" s="32">
        <f t="shared" si="8"/>
        <v>8</v>
      </c>
      <c r="Y123" s="32" t="str">
        <f t="shared" si="9"/>
        <v>个</v>
      </c>
      <c r="Z123" s="14"/>
      <c r="AA123" s="15"/>
      <c r="AB123" s="101"/>
    </row>
    <row r="124" spans="1:28" s="45" customFormat="1" ht="19.899999999999999" customHeight="1" x14ac:dyDescent="0.3">
      <c r="A124" s="34">
        <v>121</v>
      </c>
      <c r="B124" s="12" t="s">
        <v>361</v>
      </c>
      <c r="C124" s="29" t="s">
        <v>2</v>
      </c>
      <c r="D124" s="32" t="str">
        <f t="shared" si="5"/>
        <v>玻璃仪器</v>
      </c>
      <c r="E124" s="16" t="s">
        <v>283</v>
      </c>
      <c r="F124" s="16" t="s">
        <v>31</v>
      </c>
      <c r="G124" s="15"/>
      <c r="H124" s="15"/>
      <c r="I124" s="15"/>
      <c r="J124" s="29" t="s">
        <v>821</v>
      </c>
      <c r="K124" s="16">
        <v>5</v>
      </c>
      <c r="L124" s="36" t="s">
        <v>823</v>
      </c>
      <c r="M124" s="32" t="str">
        <f t="shared" si="6"/>
        <v>常规</v>
      </c>
      <c r="N124" s="28"/>
      <c r="O124" s="135" t="s">
        <v>2242</v>
      </c>
      <c r="P124" s="134" t="s">
        <v>2237</v>
      </c>
      <c r="Q124" s="39"/>
      <c r="R124" s="15"/>
      <c r="S124" s="15"/>
      <c r="T124" s="15"/>
      <c r="U124" s="32" t="str">
        <f t="shared" si="7"/>
        <v>个</v>
      </c>
      <c r="V124" s="39"/>
      <c r="W124" s="35"/>
      <c r="X124" s="32">
        <f t="shared" si="8"/>
        <v>5</v>
      </c>
      <c r="Y124" s="32" t="str">
        <f t="shared" si="9"/>
        <v>个</v>
      </c>
      <c r="Z124" s="39"/>
      <c r="AA124" s="15"/>
      <c r="AB124" s="101"/>
    </row>
    <row r="125" spans="1:28" s="45" customFormat="1" ht="19.899999999999999" customHeight="1" x14ac:dyDescent="0.3">
      <c r="A125" s="34">
        <v>122</v>
      </c>
      <c r="B125" s="12" t="s">
        <v>361</v>
      </c>
      <c r="C125" s="29" t="s">
        <v>2</v>
      </c>
      <c r="D125" s="32" t="str">
        <f t="shared" si="5"/>
        <v>玻璃仪器</v>
      </c>
      <c r="E125" s="12" t="s">
        <v>283</v>
      </c>
      <c r="F125" s="12" t="s">
        <v>27</v>
      </c>
      <c r="G125" s="15"/>
      <c r="H125" s="15"/>
      <c r="I125" s="15"/>
      <c r="J125" s="29" t="s">
        <v>821</v>
      </c>
      <c r="K125" s="12">
        <v>15</v>
      </c>
      <c r="L125" s="29" t="s">
        <v>823</v>
      </c>
      <c r="M125" s="32" t="str">
        <f t="shared" si="6"/>
        <v>常规</v>
      </c>
      <c r="N125" s="20"/>
      <c r="O125" s="135" t="s">
        <v>2242</v>
      </c>
      <c r="P125" s="134" t="s">
        <v>2237</v>
      </c>
      <c r="Q125" s="14"/>
      <c r="R125" s="15"/>
      <c r="S125" s="12" t="s">
        <v>2194</v>
      </c>
      <c r="T125" s="12">
        <v>2</v>
      </c>
      <c r="U125" s="12" t="str">
        <f t="shared" si="7"/>
        <v>个</v>
      </c>
      <c r="V125" s="14"/>
      <c r="W125" s="35"/>
      <c r="X125" s="32">
        <f t="shared" si="8"/>
        <v>13</v>
      </c>
      <c r="Y125" s="32" t="str">
        <f t="shared" si="9"/>
        <v>个</v>
      </c>
      <c r="Z125" s="95"/>
      <c r="AA125" s="15"/>
      <c r="AB125" s="105"/>
    </row>
    <row r="126" spans="1:28" s="45" customFormat="1" ht="19.899999999999999" customHeight="1" x14ac:dyDescent="0.3">
      <c r="A126" s="34">
        <v>123</v>
      </c>
      <c r="B126" s="12" t="s">
        <v>361</v>
      </c>
      <c r="C126" s="29" t="s">
        <v>2</v>
      </c>
      <c r="D126" s="32" t="str">
        <f t="shared" si="5"/>
        <v>玻璃仪器</v>
      </c>
      <c r="E126" s="12" t="s">
        <v>283</v>
      </c>
      <c r="F126" s="12" t="s">
        <v>20</v>
      </c>
      <c r="G126" s="15"/>
      <c r="H126" s="15"/>
      <c r="I126" s="15"/>
      <c r="J126" s="29" t="s">
        <v>821</v>
      </c>
      <c r="K126" s="12">
        <v>8</v>
      </c>
      <c r="L126" s="29" t="s">
        <v>823</v>
      </c>
      <c r="M126" s="32" t="str">
        <f t="shared" si="6"/>
        <v>常规</v>
      </c>
      <c r="N126" s="20"/>
      <c r="O126" s="135" t="s">
        <v>2242</v>
      </c>
      <c r="P126" s="134" t="s">
        <v>2237</v>
      </c>
      <c r="Q126" s="14"/>
      <c r="R126" s="15"/>
      <c r="S126" s="15"/>
      <c r="T126" s="15"/>
      <c r="U126" s="32" t="str">
        <f t="shared" si="7"/>
        <v>个</v>
      </c>
      <c r="V126" s="14"/>
      <c r="W126" s="35"/>
      <c r="X126" s="32">
        <f t="shared" si="8"/>
        <v>8</v>
      </c>
      <c r="Y126" s="32" t="str">
        <f t="shared" si="9"/>
        <v>个</v>
      </c>
      <c r="Z126" s="14"/>
      <c r="AA126" s="15"/>
      <c r="AB126" s="105"/>
    </row>
    <row r="127" spans="1:28" s="45" customFormat="1" ht="19.899999999999999" customHeight="1" x14ac:dyDescent="0.3">
      <c r="A127" s="34">
        <v>124</v>
      </c>
      <c r="B127" s="12" t="s">
        <v>361</v>
      </c>
      <c r="C127" s="29" t="s">
        <v>2</v>
      </c>
      <c r="D127" s="32" t="str">
        <f t="shared" ref="D127" si="12">IF(C127="J1","常规化学品",IF(C127="J2","危险化学品",IF(C127="J3","标准物质",IF(C127="J4","玻璃仪器",IF(C127="J5","实验气体",IF(C127="J6","专用物耗",IF(C127="J7","备品配件",IF(C127="J8","专用工具",IF(C127="Z1","劳保物资",IF(C127="Z2","办公耗材",IF(C127="Z3","食品饮料",IF(C127="Z4","特殊物耗",IF(C127="Z5","通用物耗",IF(C127="Z6","通用工具",""))))))))))))))</f>
        <v>玻璃仪器</v>
      </c>
      <c r="E127" s="12"/>
      <c r="F127" s="12"/>
      <c r="G127" s="15"/>
      <c r="H127" s="15"/>
      <c r="I127" s="15" t="s">
        <v>2195</v>
      </c>
      <c r="J127" s="29" t="s">
        <v>821</v>
      </c>
      <c r="K127" s="12">
        <v>2</v>
      </c>
      <c r="L127" s="29" t="s">
        <v>823</v>
      </c>
      <c r="M127" s="32" t="str">
        <f t="shared" si="6"/>
        <v>常规</v>
      </c>
      <c r="N127" s="20"/>
      <c r="O127" s="135" t="s">
        <v>2242</v>
      </c>
      <c r="P127" s="134" t="s">
        <v>2237</v>
      </c>
      <c r="Q127" s="14"/>
      <c r="R127" s="15"/>
      <c r="S127" s="15"/>
      <c r="T127" s="15"/>
      <c r="U127" s="32"/>
      <c r="V127" s="14"/>
      <c r="W127" s="35"/>
      <c r="X127" s="32">
        <f t="shared" si="8"/>
        <v>2</v>
      </c>
      <c r="Y127" s="32" t="str">
        <f t="shared" si="9"/>
        <v>个</v>
      </c>
      <c r="Z127" s="95"/>
      <c r="AA127" s="15"/>
      <c r="AB127" s="105"/>
    </row>
    <row r="128" spans="1:28" s="45" customFormat="1" ht="19.899999999999999" customHeight="1" x14ac:dyDescent="0.3">
      <c r="A128" s="34">
        <v>125</v>
      </c>
      <c r="B128" s="12" t="s">
        <v>361</v>
      </c>
      <c r="C128" s="29" t="s">
        <v>2</v>
      </c>
      <c r="D128" s="32" t="str">
        <f t="shared" si="5"/>
        <v>玻璃仪器</v>
      </c>
      <c r="E128" s="12" t="s">
        <v>283</v>
      </c>
      <c r="F128" s="12" t="s">
        <v>9</v>
      </c>
      <c r="G128" s="15"/>
      <c r="H128" s="15"/>
      <c r="I128" s="15"/>
      <c r="J128" s="29" t="s">
        <v>821</v>
      </c>
      <c r="K128" s="16">
        <v>6</v>
      </c>
      <c r="L128" s="29" t="s">
        <v>823</v>
      </c>
      <c r="M128" s="32" t="str">
        <f t="shared" si="6"/>
        <v>常规</v>
      </c>
      <c r="N128" s="25"/>
      <c r="O128" s="135" t="s">
        <v>2242</v>
      </c>
      <c r="P128" s="134" t="s">
        <v>2237</v>
      </c>
      <c r="Q128" s="14"/>
      <c r="R128" s="15"/>
      <c r="S128" s="15"/>
      <c r="T128" s="15"/>
      <c r="U128" s="32" t="str">
        <f t="shared" si="7"/>
        <v>个</v>
      </c>
      <c r="V128" s="14"/>
      <c r="W128" s="35"/>
      <c r="X128" s="32">
        <f t="shared" si="8"/>
        <v>6</v>
      </c>
      <c r="Y128" s="32" t="str">
        <f t="shared" si="9"/>
        <v>个</v>
      </c>
      <c r="Z128" s="14"/>
      <c r="AA128" s="15"/>
      <c r="AB128" s="101"/>
    </row>
    <row r="129" spans="1:28" s="45" customFormat="1" ht="19.899999999999999" customHeight="1" x14ac:dyDescent="0.3">
      <c r="A129" s="34">
        <v>126</v>
      </c>
      <c r="B129" s="12" t="s">
        <v>362</v>
      </c>
      <c r="C129" s="29" t="s">
        <v>2</v>
      </c>
      <c r="D129" s="32" t="str">
        <f t="shared" si="5"/>
        <v>玻璃仪器</v>
      </c>
      <c r="E129" s="14" t="s">
        <v>256</v>
      </c>
      <c r="F129" s="14" t="s">
        <v>20</v>
      </c>
      <c r="G129" s="15"/>
      <c r="H129" s="15"/>
      <c r="I129" s="15"/>
      <c r="J129" s="29" t="s">
        <v>821</v>
      </c>
      <c r="K129" s="16">
        <v>3</v>
      </c>
      <c r="L129" s="29" t="s">
        <v>823</v>
      </c>
      <c r="M129" s="32" t="str">
        <f t="shared" si="6"/>
        <v>常规</v>
      </c>
      <c r="N129" s="25"/>
      <c r="O129" s="135" t="s">
        <v>2242</v>
      </c>
      <c r="P129" s="134" t="s">
        <v>2237</v>
      </c>
      <c r="Q129" s="14"/>
      <c r="R129" s="15"/>
      <c r="S129" s="15"/>
      <c r="T129" s="15"/>
      <c r="U129" s="32" t="str">
        <f t="shared" si="7"/>
        <v>个</v>
      </c>
      <c r="V129" s="14"/>
      <c r="W129" s="35"/>
      <c r="X129" s="32">
        <f t="shared" si="8"/>
        <v>3</v>
      </c>
      <c r="Y129" s="32" t="str">
        <f t="shared" si="9"/>
        <v>个</v>
      </c>
      <c r="Z129" s="14"/>
      <c r="AA129" s="15"/>
      <c r="AB129" s="101"/>
    </row>
    <row r="130" spans="1:28" s="45" customFormat="1" ht="19.899999999999999" customHeight="1" x14ac:dyDescent="0.3">
      <c r="A130" s="34">
        <v>127</v>
      </c>
      <c r="B130" s="12" t="s">
        <v>362</v>
      </c>
      <c r="C130" s="29" t="s">
        <v>2</v>
      </c>
      <c r="D130" s="32" t="str">
        <f t="shared" si="5"/>
        <v>玻璃仪器</v>
      </c>
      <c r="E130" s="14" t="s">
        <v>256</v>
      </c>
      <c r="F130" s="14" t="s">
        <v>9</v>
      </c>
      <c r="G130" s="15"/>
      <c r="H130" s="15"/>
      <c r="I130" s="15"/>
      <c r="J130" s="29" t="s">
        <v>821</v>
      </c>
      <c r="K130" s="16">
        <v>2</v>
      </c>
      <c r="L130" s="29" t="s">
        <v>823</v>
      </c>
      <c r="M130" s="32" t="str">
        <f t="shared" si="6"/>
        <v>常规</v>
      </c>
      <c r="N130" s="25"/>
      <c r="O130" s="135" t="s">
        <v>2242</v>
      </c>
      <c r="P130" s="134" t="s">
        <v>2237</v>
      </c>
      <c r="Q130" s="14"/>
      <c r="R130" s="15"/>
      <c r="S130" s="15"/>
      <c r="T130" s="15"/>
      <c r="U130" s="32" t="str">
        <f t="shared" si="7"/>
        <v>个</v>
      </c>
      <c r="V130" s="14"/>
      <c r="W130" s="35"/>
      <c r="X130" s="32">
        <f t="shared" si="8"/>
        <v>2</v>
      </c>
      <c r="Y130" s="32" t="str">
        <f t="shared" si="9"/>
        <v>个</v>
      </c>
      <c r="Z130" s="14"/>
      <c r="AA130" s="15"/>
      <c r="AB130" s="101"/>
    </row>
    <row r="131" spans="1:28" s="212" customFormat="1" ht="19.899999999999999" customHeight="1" x14ac:dyDescent="0.3">
      <c r="A131" s="201">
        <v>128</v>
      </c>
      <c r="B131" s="202" t="s">
        <v>363</v>
      </c>
      <c r="C131" s="203" t="s">
        <v>2</v>
      </c>
      <c r="D131" s="204" t="str">
        <f t="shared" si="5"/>
        <v>玻璃仪器</v>
      </c>
      <c r="E131" s="205" t="s">
        <v>256</v>
      </c>
      <c r="F131" s="202" t="s">
        <v>20</v>
      </c>
      <c r="G131" s="206"/>
      <c r="H131" s="206"/>
      <c r="I131" s="206"/>
      <c r="J131" s="203" t="s">
        <v>821</v>
      </c>
      <c r="K131" s="202">
        <v>8</v>
      </c>
      <c r="L131" s="213" t="s">
        <v>823</v>
      </c>
      <c r="M131" s="204" t="str">
        <f t="shared" si="6"/>
        <v>常规</v>
      </c>
      <c r="N131" s="207"/>
      <c r="O131" s="208" t="s">
        <v>2242</v>
      </c>
      <c r="P131" s="209" t="s">
        <v>2237</v>
      </c>
      <c r="Q131" s="205"/>
      <c r="R131" s="206"/>
      <c r="S131" s="206" t="s">
        <v>1057</v>
      </c>
      <c r="T131" s="206">
        <v>8</v>
      </c>
      <c r="U131" s="204" t="str">
        <f t="shared" si="7"/>
        <v>个</v>
      </c>
      <c r="V131" s="205"/>
      <c r="W131" s="210"/>
      <c r="X131" s="204" t="str">
        <f t="shared" si="8"/>
        <v/>
      </c>
      <c r="Y131" s="204" t="str">
        <f t="shared" si="9"/>
        <v>个</v>
      </c>
      <c r="Z131" s="205"/>
      <c r="AA131" s="206"/>
      <c r="AB131" s="211"/>
    </row>
    <row r="132" spans="1:28" s="45" customFormat="1" ht="19.899999999999999" customHeight="1" x14ac:dyDescent="0.3">
      <c r="A132" s="34">
        <v>129</v>
      </c>
      <c r="B132" s="12" t="s">
        <v>364</v>
      </c>
      <c r="C132" s="29" t="s">
        <v>2</v>
      </c>
      <c r="D132" s="32" t="str">
        <f t="shared" si="5"/>
        <v>玻璃仪器</v>
      </c>
      <c r="E132" s="14" t="s">
        <v>256</v>
      </c>
      <c r="F132" s="14" t="s">
        <v>27</v>
      </c>
      <c r="G132" s="15"/>
      <c r="H132" s="15"/>
      <c r="I132" s="15"/>
      <c r="J132" s="29" t="s">
        <v>821</v>
      </c>
      <c r="K132" s="16">
        <v>5</v>
      </c>
      <c r="L132" s="29" t="s">
        <v>823</v>
      </c>
      <c r="M132" s="32" t="str">
        <f t="shared" si="6"/>
        <v>常规</v>
      </c>
      <c r="N132" s="25"/>
      <c r="O132" s="135" t="s">
        <v>2242</v>
      </c>
      <c r="P132" s="134" t="s">
        <v>2238</v>
      </c>
      <c r="Q132" s="14"/>
      <c r="R132" s="15"/>
      <c r="S132" s="15"/>
      <c r="T132" s="15"/>
      <c r="U132" s="32" t="str">
        <f t="shared" si="7"/>
        <v>个</v>
      </c>
      <c r="V132" s="14"/>
      <c r="W132" s="35"/>
      <c r="X132" s="32">
        <f t="shared" si="8"/>
        <v>5</v>
      </c>
      <c r="Y132" s="32" t="str">
        <f t="shared" si="9"/>
        <v>个</v>
      </c>
      <c r="Z132" s="14"/>
      <c r="AA132" s="15"/>
      <c r="AB132" s="101"/>
    </row>
    <row r="133" spans="1:28" s="45" customFormat="1" ht="19.899999999999999" customHeight="1" x14ac:dyDescent="0.3">
      <c r="A133" s="34">
        <v>130</v>
      </c>
      <c r="B133" s="12" t="s">
        <v>364</v>
      </c>
      <c r="C133" s="29" t="s">
        <v>2</v>
      </c>
      <c r="D133" s="32" t="str">
        <f t="shared" si="5"/>
        <v>玻璃仪器</v>
      </c>
      <c r="E133" s="14" t="s">
        <v>256</v>
      </c>
      <c r="F133" s="14" t="s">
        <v>20</v>
      </c>
      <c r="G133" s="15"/>
      <c r="H133" s="15"/>
      <c r="I133" s="15"/>
      <c r="J133" s="29" t="s">
        <v>821</v>
      </c>
      <c r="K133" s="16">
        <v>5</v>
      </c>
      <c r="L133" s="29" t="s">
        <v>823</v>
      </c>
      <c r="M133" s="32" t="str">
        <f t="shared" si="6"/>
        <v>常规</v>
      </c>
      <c r="N133" s="25"/>
      <c r="O133" s="135" t="s">
        <v>2242</v>
      </c>
      <c r="P133" s="134" t="s">
        <v>2238</v>
      </c>
      <c r="Q133" s="14"/>
      <c r="R133" s="15"/>
      <c r="S133" s="15"/>
      <c r="T133" s="15"/>
      <c r="U133" s="32" t="str">
        <f t="shared" si="7"/>
        <v>个</v>
      </c>
      <c r="V133" s="14"/>
      <c r="W133" s="35"/>
      <c r="X133" s="32">
        <f t="shared" si="8"/>
        <v>5</v>
      </c>
      <c r="Y133" s="32" t="str">
        <f t="shared" si="9"/>
        <v>个</v>
      </c>
      <c r="Z133" s="14"/>
      <c r="AA133" s="15"/>
      <c r="AB133" s="101"/>
    </row>
    <row r="134" spans="1:28" s="45" customFormat="1" ht="19.899999999999999" customHeight="1" x14ac:dyDescent="0.3">
      <c r="A134" s="34">
        <v>131</v>
      </c>
      <c r="B134" s="12" t="s">
        <v>365</v>
      </c>
      <c r="C134" s="29" t="s">
        <v>2</v>
      </c>
      <c r="D134" s="32" t="str">
        <f t="shared" ref="D134:D198" si="13">IF(C134="J1","常规化学品",IF(C134="J2","危险化学品",IF(C134="J3","标准物质",IF(C134="J4","玻璃仪器",IF(C134="J5","实验气体",IF(C134="J6","专用物耗",IF(C134="J7","备品配件",IF(C134="J8","专用工具",IF(C134="Z1","劳保物资",IF(C134="Z2","办公耗材",IF(C134="Z3","食品饮料",IF(C134="Z4","特殊物耗",IF(C134="Z5","通用物耗",IF(C134="Z6","通用工具",""))))))))))))))</f>
        <v>玻璃仪器</v>
      </c>
      <c r="E134" s="18" t="s">
        <v>256</v>
      </c>
      <c r="F134" s="16" t="s">
        <v>19</v>
      </c>
      <c r="G134" s="15"/>
      <c r="H134" s="15"/>
      <c r="I134" s="15"/>
      <c r="J134" s="29" t="s">
        <v>821</v>
      </c>
      <c r="K134" s="16">
        <v>3</v>
      </c>
      <c r="L134" s="38" t="s">
        <v>823</v>
      </c>
      <c r="M134" s="32" t="str">
        <f t="shared" ref="M134:M198" si="14">IF(D134="危险化学品","五双",IF(D134="标准物资","严控",IF(D134&lt;&gt;"","常规","")))</f>
        <v>常规</v>
      </c>
      <c r="N134" s="25"/>
      <c r="O134" s="135" t="s">
        <v>2242</v>
      </c>
      <c r="P134" s="134" t="s">
        <v>2238</v>
      </c>
      <c r="Q134" s="14"/>
      <c r="R134" s="15"/>
      <c r="S134" s="15"/>
      <c r="T134" s="15"/>
      <c r="U134" s="32" t="str">
        <f t="shared" ref="U134:U198" si="15">IF(L134="","",L134)</f>
        <v>个</v>
      </c>
      <c r="V134" s="14"/>
      <c r="W134" s="35"/>
      <c r="X134" s="32">
        <f t="shared" ref="X134:X198" si="16">IF((K134-T134)&lt;=0,"",K134-T134)</f>
        <v>3</v>
      </c>
      <c r="Y134" s="32" t="str">
        <f t="shared" ref="Y134:Y198" si="17">IF(L134="","",L134)</f>
        <v>个</v>
      </c>
      <c r="Z134" s="14"/>
      <c r="AA134" s="15"/>
      <c r="AB134" s="101"/>
    </row>
    <row r="135" spans="1:28" s="45" customFormat="1" ht="19.899999999999999" customHeight="1" x14ac:dyDescent="0.3">
      <c r="A135" s="34">
        <v>132</v>
      </c>
      <c r="B135" s="12" t="s">
        <v>366</v>
      </c>
      <c r="C135" s="29" t="s">
        <v>2</v>
      </c>
      <c r="D135" s="32" t="str">
        <f t="shared" si="13"/>
        <v>玻璃仪器</v>
      </c>
      <c r="E135" s="18" t="s">
        <v>256</v>
      </c>
      <c r="F135" s="16" t="s">
        <v>367</v>
      </c>
      <c r="G135" s="15"/>
      <c r="H135" s="15"/>
      <c r="I135" s="15"/>
      <c r="J135" s="29" t="s">
        <v>821</v>
      </c>
      <c r="K135" s="16">
        <v>7</v>
      </c>
      <c r="L135" s="38" t="s">
        <v>823</v>
      </c>
      <c r="M135" s="32" t="str">
        <f t="shared" si="14"/>
        <v>常规</v>
      </c>
      <c r="N135" s="25" t="s">
        <v>368</v>
      </c>
      <c r="O135" s="135" t="s">
        <v>2242</v>
      </c>
      <c r="P135" s="134" t="s">
        <v>2238</v>
      </c>
      <c r="Q135" s="14"/>
      <c r="R135" s="15"/>
      <c r="S135" s="15"/>
      <c r="T135" s="15"/>
      <c r="U135" s="32" t="str">
        <f t="shared" si="15"/>
        <v>个</v>
      </c>
      <c r="V135" s="14"/>
      <c r="W135" s="35"/>
      <c r="X135" s="32">
        <f t="shared" si="16"/>
        <v>7</v>
      </c>
      <c r="Y135" s="32" t="str">
        <f t="shared" si="17"/>
        <v>个</v>
      </c>
      <c r="Z135" s="14"/>
      <c r="AA135" s="15"/>
      <c r="AB135" s="101"/>
    </row>
    <row r="136" spans="1:28" s="45" customFormat="1" ht="19.899999999999999" customHeight="1" x14ac:dyDescent="0.3">
      <c r="A136" s="34">
        <v>133</v>
      </c>
      <c r="B136" s="12" t="s">
        <v>365</v>
      </c>
      <c r="C136" s="29" t="s">
        <v>2</v>
      </c>
      <c r="D136" s="32" t="str">
        <f t="shared" si="13"/>
        <v>玻璃仪器</v>
      </c>
      <c r="E136" s="12" t="s">
        <v>283</v>
      </c>
      <c r="F136" s="12" t="s">
        <v>20</v>
      </c>
      <c r="G136" s="15"/>
      <c r="H136" s="15"/>
      <c r="I136" s="15"/>
      <c r="J136" s="29" t="s">
        <v>821</v>
      </c>
      <c r="K136" s="16">
        <v>4</v>
      </c>
      <c r="L136" s="29" t="s">
        <v>823</v>
      </c>
      <c r="M136" s="32" t="str">
        <f t="shared" si="14"/>
        <v>常规</v>
      </c>
      <c r="N136" s="25"/>
      <c r="O136" s="135" t="s">
        <v>2242</v>
      </c>
      <c r="P136" s="134" t="s">
        <v>2238</v>
      </c>
      <c r="Q136" s="14"/>
      <c r="R136" s="15"/>
      <c r="S136" s="15" t="s">
        <v>973</v>
      </c>
      <c r="T136" s="15">
        <v>1</v>
      </c>
      <c r="U136" s="32" t="str">
        <f t="shared" si="15"/>
        <v>个</v>
      </c>
      <c r="V136" s="14"/>
      <c r="W136" s="35"/>
      <c r="X136" s="32">
        <f t="shared" si="16"/>
        <v>3</v>
      </c>
      <c r="Y136" s="32" t="str">
        <f t="shared" si="17"/>
        <v>个</v>
      </c>
      <c r="Z136" s="14"/>
      <c r="AA136" s="15"/>
      <c r="AB136" s="101"/>
    </row>
    <row r="137" spans="1:28" s="45" customFormat="1" ht="19.899999999999999" customHeight="1" x14ac:dyDescent="0.3">
      <c r="A137" s="34">
        <v>134</v>
      </c>
      <c r="B137" s="12" t="s">
        <v>365</v>
      </c>
      <c r="C137" s="29" t="s">
        <v>2</v>
      </c>
      <c r="D137" s="32" t="str">
        <f t="shared" si="13"/>
        <v>玻璃仪器</v>
      </c>
      <c r="E137" s="12" t="s">
        <v>283</v>
      </c>
      <c r="F137" s="12" t="s">
        <v>9</v>
      </c>
      <c r="G137" s="15"/>
      <c r="H137" s="15"/>
      <c r="I137" s="15"/>
      <c r="J137" s="29" t="s">
        <v>821</v>
      </c>
      <c r="K137" s="16">
        <v>5</v>
      </c>
      <c r="L137" s="29" t="s">
        <v>823</v>
      </c>
      <c r="M137" s="32" t="str">
        <f t="shared" si="14"/>
        <v>常规</v>
      </c>
      <c r="N137" s="25"/>
      <c r="O137" s="135" t="s">
        <v>2242</v>
      </c>
      <c r="P137" s="134" t="s">
        <v>2238</v>
      </c>
      <c r="Q137" s="14"/>
      <c r="R137" s="15"/>
      <c r="S137" s="15"/>
      <c r="T137" s="15"/>
      <c r="U137" s="32" t="str">
        <f t="shared" si="15"/>
        <v>个</v>
      </c>
      <c r="V137" s="14"/>
      <c r="W137" s="35"/>
      <c r="X137" s="32">
        <f t="shared" si="16"/>
        <v>5</v>
      </c>
      <c r="Y137" s="32" t="str">
        <f t="shared" si="17"/>
        <v>个</v>
      </c>
      <c r="Z137" s="14"/>
      <c r="AA137" s="15"/>
      <c r="AB137" s="101"/>
    </row>
    <row r="138" spans="1:28" s="45" customFormat="1" ht="19.899999999999999" customHeight="1" x14ac:dyDescent="0.3">
      <c r="A138" s="34">
        <v>135</v>
      </c>
      <c r="B138" s="12" t="s">
        <v>365</v>
      </c>
      <c r="C138" s="29" t="s">
        <v>2</v>
      </c>
      <c r="D138" s="32" t="str">
        <f t="shared" si="13"/>
        <v>玻璃仪器</v>
      </c>
      <c r="E138" s="12" t="s">
        <v>283</v>
      </c>
      <c r="F138" s="12" t="s">
        <v>10</v>
      </c>
      <c r="G138" s="15"/>
      <c r="H138" s="15"/>
      <c r="I138" s="15"/>
      <c r="J138" s="29" t="s">
        <v>821</v>
      </c>
      <c r="K138" s="16">
        <v>3</v>
      </c>
      <c r="L138" s="29" t="s">
        <v>823</v>
      </c>
      <c r="M138" s="32" t="str">
        <f t="shared" si="14"/>
        <v>常规</v>
      </c>
      <c r="N138" s="25"/>
      <c r="O138" s="135" t="s">
        <v>2242</v>
      </c>
      <c r="P138" s="134" t="s">
        <v>2238</v>
      </c>
      <c r="Q138" s="14"/>
      <c r="R138" s="15"/>
      <c r="S138" s="15"/>
      <c r="T138" s="15"/>
      <c r="U138" s="32" t="str">
        <f t="shared" si="15"/>
        <v>个</v>
      </c>
      <c r="V138" s="14"/>
      <c r="W138" s="35"/>
      <c r="X138" s="32">
        <f t="shared" si="16"/>
        <v>3</v>
      </c>
      <c r="Y138" s="32" t="str">
        <f t="shared" si="17"/>
        <v>个</v>
      </c>
      <c r="Z138" s="14"/>
      <c r="AA138" s="15"/>
      <c r="AB138" s="101"/>
    </row>
    <row r="139" spans="1:28" s="45" customFormat="1" ht="19.899999999999999" customHeight="1" x14ac:dyDescent="0.3">
      <c r="A139" s="34">
        <v>136</v>
      </c>
      <c r="B139" s="12" t="s">
        <v>369</v>
      </c>
      <c r="C139" s="29" t="s">
        <v>2</v>
      </c>
      <c r="D139" s="32" t="str">
        <f t="shared" si="13"/>
        <v>玻璃仪器</v>
      </c>
      <c r="E139" s="14" t="s">
        <v>256</v>
      </c>
      <c r="F139" s="14" t="s">
        <v>18</v>
      </c>
      <c r="G139" s="15"/>
      <c r="H139" s="15"/>
      <c r="I139" s="15"/>
      <c r="J139" s="29" t="s">
        <v>821</v>
      </c>
      <c r="K139" s="16">
        <v>3</v>
      </c>
      <c r="L139" s="29" t="s">
        <v>823</v>
      </c>
      <c r="M139" s="32" t="str">
        <f t="shared" si="14"/>
        <v>常规</v>
      </c>
      <c r="N139" s="18"/>
      <c r="O139" s="135" t="s">
        <v>2242</v>
      </c>
      <c r="P139" s="134" t="s">
        <v>2238</v>
      </c>
      <c r="Q139" s="14"/>
      <c r="R139" s="15"/>
      <c r="S139" s="15"/>
      <c r="T139" s="15"/>
      <c r="U139" s="32" t="str">
        <f t="shared" si="15"/>
        <v>个</v>
      </c>
      <c r="V139" s="14"/>
      <c r="W139" s="35"/>
      <c r="X139" s="32">
        <f t="shared" si="16"/>
        <v>3</v>
      </c>
      <c r="Y139" s="32" t="str">
        <f t="shared" si="17"/>
        <v>个</v>
      </c>
      <c r="Z139" s="14"/>
      <c r="AA139" s="15"/>
      <c r="AB139" s="101"/>
    </row>
    <row r="140" spans="1:28" s="45" customFormat="1" ht="19.899999999999999" customHeight="1" x14ac:dyDescent="0.3">
      <c r="A140" s="34">
        <v>137</v>
      </c>
      <c r="B140" s="12" t="s">
        <v>369</v>
      </c>
      <c r="C140" s="29" t="s">
        <v>2</v>
      </c>
      <c r="D140" s="32" t="str">
        <f t="shared" si="13"/>
        <v>玻璃仪器</v>
      </c>
      <c r="E140" s="14" t="s">
        <v>256</v>
      </c>
      <c r="F140" s="14" t="s">
        <v>19</v>
      </c>
      <c r="G140" s="15"/>
      <c r="H140" s="15"/>
      <c r="I140" s="15"/>
      <c r="J140" s="29" t="s">
        <v>821</v>
      </c>
      <c r="K140" s="16">
        <v>3</v>
      </c>
      <c r="L140" s="29" t="s">
        <v>823</v>
      </c>
      <c r="M140" s="32" t="str">
        <f t="shared" si="14"/>
        <v>常规</v>
      </c>
      <c r="N140" s="25"/>
      <c r="O140" s="135" t="s">
        <v>2242</v>
      </c>
      <c r="P140" s="134" t="s">
        <v>2238</v>
      </c>
      <c r="Q140" s="14"/>
      <c r="R140" s="15"/>
      <c r="S140" s="15"/>
      <c r="T140" s="15"/>
      <c r="U140" s="32" t="str">
        <f t="shared" si="15"/>
        <v>个</v>
      </c>
      <c r="V140" s="14"/>
      <c r="W140" s="35"/>
      <c r="X140" s="32">
        <f t="shared" si="16"/>
        <v>3</v>
      </c>
      <c r="Y140" s="32" t="str">
        <f t="shared" si="17"/>
        <v>个</v>
      </c>
      <c r="Z140" s="14"/>
      <c r="AA140" s="15"/>
      <c r="AB140" s="101"/>
    </row>
    <row r="141" spans="1:28" s="45" customFormat="1" ht="19.899999999999999" customHeight="1" x14ac:dyDescent="0.3">
      <c r="A141" s="34">
        <v>138</v>
      </c>
      <c r="B141" s="12" t="s">
        <v>369</v>
      </c>
      <c r="C141" s="29" t="s">
        <v>2</v>
      </c>
      <c r="D141" s="32" t="str">
        <f t="shared" si="13"/>
        <v>玻璃仪器</v>
      </c>
      <c r="E141" s="14" t="s">
        <v>256</v>
      </c>
      <c r="F141" s="14" t="s">
        <v>27</v>
      </c>
      <c r="G141" s="15"/>
      <c r="H141" s="15"/>
      <c r="I141" s="15"/>
      <c r="J141" s="29" t="s">
        <v>821</v>
      </c>
      <c r="K141" s="16">
        <v>3</v>
      </c>
      <c r="L141" s="29" t="s">
        <v>823</v>
      </c>
      <c r="M141" s="32" t="str">
        <f t="shared" si="14"/>
        <v>常规</v>
      </c>
      <c r="N141" s="25"/>
      <c r="O141" s="135" t="s">
        <v>2242</v>
      </c>
      <c r="P141" s="134" t="s">
        <v>2238</v>
      </c>
      <c r="Q141" s="14"/>
      <c r="R141" s="15"/>
      <c r="S141" s="15"/>
      <c r="T141" s="15"/>
      <c r="U141" s="32" t="str">
        <f t="shared" si="15"/>
        <v>个</v>
      </c>
      <c r="V141" s="14"/>
      <c r="W141" s="35"/>
      <c r="X141" s="32">
        <f t="shared" si="16"/>
        <v>3</v>
      </c>
      <c r="Y141" s="32" t="str">
        <f t="shared" si="17"/>
        <v>个</v>
      </c>
      <c r="Z141" s="14"/>
      <c r="AA141" s="15"/>
      <c r="AB141" s="101"/>
    </row>
    <row r="142" spans="1:28" s="45" customFormat="1" ht="19.899999999999999" customHeight="1" x14ac:dyDescent="0.3">
      <c r="A142" s="34">
        <v>139</v>
      </c>
      <c r="B142" s="12" t="s">
        <v>370</v>
      </c>
      <c r="C142" s="29" t="s">
        <v>2</v>
      </c>
      <c r="D142" s="32" t="str">
        <f t="shared" si="13"/>
        <v>玻璃仪器</v>
      </c>
      <c r="E142" s="14" t="s">
        <v>256</v>
      </c>
      <c r="F142" s="12" t="s">
        <v>20</v>
      </c>
      <c r="G142" s="15"/>
      <c r="H142" s="15"/>
      <c r="I142" s="15"/>
      <c r="J142" s="29" t="s">
        <v>821</v>
      </c>
      <c r="K142" s="16">
        <v>5</v>
      </c>
      <c r="L142" s="29" t="s">
        <v>823</v>
      </c>
      <c r="M142" s="32" t="str">
        <f t="shared" si="14"/>
        <v>常规</v>
      </c>
      <c r="N142" s="25"/>
      <c r="O142" s="135" t="s">
        <v>2242</v>
      </c>
      <c r="P142" s="134" t="s">
        <v>2238</v>
      </c>
      <c r="Q142" s="14"/>
      <c r="R142" s="15"/>
      <c r="S142" s="15"/>
      <c r="T142" s="15"/>
      <c r="U142" s="32" t="str">
        <f t="shared" si="15"/>
        <v>个</v>
      </c>
      <c r="V142" s="14"/>
      <c r="W142" s="35"/>
      <c r="X142" s="32">
        <f t="shared" si="16"/>
        <v>5</v>
      </c>
      <c r="Y142" s="32" t="str">
        <f t="shared" si="17"/>
        <v>个</v>
      </c>
      <c r="Z142" s="14"/>
      <c r="AA142" s="15"/>
      <c r="AB142" s="101"/>
    </row>
    <row r="143" spans="1:28" s="45" customFormat="1" ht="19.899999999999999" customHeight="1" x14ac:dyDescent="0.3">
      <c r="A143" s="34">
        <v>140</v>
      </c>
      <c r="B143" s="12" t="s">
        <v>390</v>
      </c>
      <c r="C143" s="29" t="s">
        <v>2</v>
      </c>
      <c r="D143" s="32" t="str">
        <f t="shared" si="13"/>
        <v>玻璃仪器</v>
      </c>
      <c r="E143" s="14" t="s">
        <v>256</v>
      </c>
      <c r="F143" s="14" t="s">
        <v>44</v>
      </c>
      <c r="G143" s="15"/>
      <c r="H143" s="15"/>
      <c r="I143" s="15"/>
      <c r="J143" s="29" t="s">
        <v>821</v>
      </c>
      <c r="K143" s="16">
        <v>6</v>
      </c>
      <c r="L143" s="29" t="s">
        <v>823</v>
      </c>
      <c r="M143" s="32" t="str">
        <f t="shared" si="14"/>
        <v>常规</v>
      </c>
      <c r="N143" s="25"/>
      <c r="O143" s="136" t="s">
        <v>2243</v>
      </c>
      <c r="P143" s="134" t="s">
        <v>2237</v>
      </c>
      <c r="Q143" s="14"/>
      <c r="R143" s="15"/>
      <c r="S143" s="15" t="s">
        <v>2492</v>
      </c>
      <c r="T143" s="15">
        <v>2</v>
      </c>
      <c r="U143" s="32" t="str">
        <f t="shared" si="15"/>
        <v>个</v>
      </c>
      <c r="V143" s="14"/>
      <c r="W143" s="35"/>
      <c r="X143" s="32">
        <f t="shared" si="16"/>
        <v>4</v>
      </c>
      <c r="Y143" s="32" t="str">
        <f t="shared" si="17"/>
        <v>个</v>
      </c>
      <c r="Z143" s="14"/>
      <c r="AA143" s="15"/>
      <c r="AB143" s="101"/>
    </row>
    <row r="144" spans="1:28" s="173" customFormat="1" ht="19.899999999999999" customHeight="1" x14ac:dyDescent="0.3">
      <c r="A144" s="163">
        <v>141</v>
      </c>
      <c r="B144" s="164" t="s">
        <v>390</v>
      </c>
      <c r="C144" s="165" t="s">
        <v>2</v>
      </c>
      <c r="D144" s="166" t="str">
        <f t="shared" si="13"/>
        <v>玻璃仪器</v>
      </c>
      <c r="E144" s="168" t="s">
        <v>256</v>
      </c>
      <c r="F144" s="168" t="s">
        <v>45</v>
      </c>
      <c r="G144" s="167"/>
      <c r="H144" s="167"/>
      <c r="I144" s="167"/>
      <c r="J144" s="165" t="s">
        <v>821</v>
      </c>
      <c r="K144" s="164">
        <v>2</v>
      </c>
      <c r="L144" s="165" t="s">
        <v>823</v>
      </c>
      <c r="M144" s="166" t="str">
        <f t="shared" si="14"/>
        <v>常规</v>
      </c>
      <c r="N144" s="181"/>
      <c r="O144" s="180" t="s">
        <v>2243</v>
      </c>
      <c r="P144" s="170" t="s">
        <v>2237</v>
      </c>
      <c r="Q144" s="168"/>
      <c r="R144" s="167"/>
      <c r="S144" s="167" t="s">
        <v>939</v>
      </c>
      <c r="T144" s="167">
        <v>2</v>
      </c>
      <c r="U144" s="166" t="str">
        <f t="shared" si="15"/>
        <v>个</v>
      </c>
      <c r="V144" s="168"/>
      <c r="W144" s="172"/>
      <c r="X144" s="166" t="str">
        <f t="shared" si="16"/>
        <v/>
      </c>
      <c r="Y144" s="166" t="str">
        <f t="shared" si="17"/>
        <v>个</v>
      </c>
      <c r="Z144" s="168"/>
      <c r="AA144" s="167"/>
      <c r="AB144" s="238"/>
    </row>
    <row r="145" spans="1:28" s="45" customFormat="1" ht="19.899999999999999" customHeight="1" x14ac:dyDescent="0.3">
      <c r="A145" s="34">
        <v>142</v>
      </c>
      <c r="B145" s="12" t="s">
        <v>391</v>
      </c>
      <c r="C145" s="29" t="s">
        <v>2</v>
      </c>
      <c r="D145" s="32" t="str">
        <f t="shared" si="13"/>
        <v>玻璃仪器</v>
      </c>
      <c r="E145" s="14" t="s">
        <v>256</v>
      </c>
      <c r="F145" s="14" t="s">
        <v>46</v>
      </c>
      <c r="G145" s="15"/>
      <c r="H145" s="15"/>
      <c r="I145" s="15"/>
      <c r="J145" s="29" t="s">
        <v>821</v>
      </c>
      <c r="K145" s="16">
        <v>10</v>
      </c>
      <c r="L145" s="29" t="s">
        <v>823</v>
      </c>
      <c r="M145" s="32" t="str">
        <f t="shared" si="14"/>
        <v>常规</v>
      </c>
      <c r="N145" s="25"/>
      <c r="O145" s="136" t="s">
        <v>2243</v>
      </c>
      <c r="P145" s="134" t="s">
        <v>2237</v>
      </c>
      <c r="Q145" s="18"/>
      <c r="R145" s="15"/>
      <c r="S145" s="15"/>
      <c r="T145" s="15"/>
      <c r="U145" s="32" t="str">
        <f t="shared" si="15"/>
        <v>个</v>
      </c>
      <c r="V145" s="18"/>
      <c r="W145" s="35"/>
      <c r="X145" s="32">
        <f t="shared" si="16"/>
        <v>10</v>
      </c>
      <c r="Y145" s="32" t="str">
        <f t="shared" si="17"/>
        <v>个</v>
      </c>
      <c r="Z145" s="18"/>
      <c r="AA145" s="15"/>
      <c r="AB145" s="101"/>
    </row>
    <row r="146" spans="1:28" s="45" customFormat="1" ht="19.899999999999999" customHeight="1" x14ac:dyDescent="0.3">
      <c r="A146" s="34">
        <v>143</v>
      </c>
      <c r="B146" s="12" t="s">
        <v>391</v>
      </c>
      <c r="C146" s="29" t="s">
        <v>2</v>
      </c>
      <c r="D146" s="32" t="str">
        <f t="shared" si="13"/>
        <v>玻璃仪器</v>
      </c>
      <c r="E146" s="14" t="s">
        <v>256</v>
      </c>
      <c r="F146" s="14" t="s">
        <v>47</v>
      </c>
      <c r="G146" s="15"/>
      <c r="H146" s="15"/>
      <c r="I146" s="15"/>
      <c r="J146" s="29" t="s">
        <v>821</v>
      </c>
      <c r="K146" s="16">
        <v>10</v>
      </c>
      <c r="L146" s="29" t="s">
        <v>823</v>
      </c>
      <c r="M146" s="32" t="str">
        <f t="shared" si="14"/>
        <v>常规</v>
      </c>
      <c r="N146" s="25"/>
      <c r="O146" s="136" t="s">
        <v>2243</v>
      </c>
      <c r="P146" s="134" t="s">
        <v>2237</v>
      </c>
      <c r="Q146" s="14"/>
      <c r="R146" s="15"/>
      <c r="S146" s="15"/>
      <c r="T146" s="15"/>
      <c r="U146" s="32" t="str">
        <f t="shared" si="15"/>
        <v>个</v>
      </c>
      <c r="V146" s="14"/>
      <c r="W146" s="35"/>
      <c r="X146" s="32">
        <f t="shared" si="16"/>
        <v>10</v>
      </c>
      <c r="Y146" s="32" t="str">
        <f t="shared" si="17"/>
        <v>个</v>
      </c>
      <c r="Z146" s="14"/>
      <c r="AA146" s="15"/>
      <c r="AB146" s="101"/>
    </row>
    <row r="147" spans="1:28" s="45" customFormat="1" ht="19.899999999999999" customHeight="1" x14ac:dyDescent="0.3">
      <c r="A147" s="34">
        <v>144</v>
      </c>
      <c r="B147" s="12" t="s">
        <v>391</v>
      </c>
      <c r="C147" s="29" t="s">
        <v>2</v>
      </c>
      <c r="D147" s="32" t="str">
        <f t="shared" si="13"/>
        <v>玻璃仪器</v>
      </c>
      <c r="E147" s="14" t="s">
        <v>256</v>
      </c>
      <c r="F147" s="14" t="s">
        <v>48</v>
      </c>
      <c r="G147" s="15"/>
      <c r="H147" s="15"/>
      <c r="I147" s="15"/>
      <c r="J147" s="29" t="s">
        <v>821</v>
      </c>
      <c r="K147" s="16">
        <v>10</v>
      </c>
      <c r="L147" s="29" t="s">
        <v>823</v>
      </c>
      <c r="M147" s="32" t="str">
        <f t="shared" si="14"/>
        <v>常规</v>
      </c>
      <c r="N147" s="25"/>
      <c r="O147" s="136" t="s">
        <v>2243</v>
      </c>
      <c r="P147" s="134" t="s">
        <v>2237</v>
      </c>
      <c r="Q147" s="14"/>
      <c r="R147" s="15"/>
      <c r="S147" s="15"/>
      <c r="T147" s="15"/>
      <c r="U147" s="32" t="str">
        <f t="shared" si="15"/>
        <v>个</v>
      </c>
      <c r="V147" s="14"/>
      <c r="W147" s="35"/>
      <c r="X147" s="32">
        <f t="shared" si="16"/>
        <v>10</v>
      </c>
      <c r="Y147" s="32" t="str">
        <f t="shared" si="17"/>
        <v>个</v>
      </c>
      <c r="Z147" s="14"/>
      <c r="AA147" s="15"/>
      <c r="AB147" s="101"/>
    </row>
    <row r="148" spans="1:28" s="45" customFormat="1" ht="19.899999999999999" customHeight="1" x14ac:dyDescent="0.3">
      <c r="A148" s="34">
        <v>145</v>
      </c>
      <c r="B148" s="12" t="s">
        <v>457</v>
      </c>
      <c r="C148" s="29" t="s">
        <v>2</v>
      </c>
      <c r="D148" s="32" t="str">
        <f t="shared" si="13"/>
        <v>玻璃仪器</v>
      </c>
      <c r="E148" s="18"/>
      <c r="F148" s="12" t="s">
        <v>56</v>
      </c>
      <c r="G148" s="15"/>
      <c r="H148" s="15"/>
      <c r="I148" s="15"/>
      <c r="J148" s="29" t="s">
        <v>821</v>
      </c>
      <c r="K148" s="16">
        <v>9</v>
      </c>
      <c r="L148" s="37" t="s">
        <v>823</v>
      </c>
      <c r="M148" s="32" t="str">
        <f t="shared" si="14"/>
        <v>常规</v>
      </c>
      <c r="N148" s="25"/>
      <c r="O148" s="136" t="s">
        <v>2243</v>
      </c>
      <c r="P148" s="134" t="s">
        <v>2236</v>
      </c>
      <c r="Q148" s="14"/>
      <c r="R148" s="15"/>
      <c r="S148" s="15"/>
      <c r="T148" s="15"/>
      <c r="U148" s="32" t="str">
        <f t="shared" si="15"/>
        <v>个</v>
      </c>
      <c r="V148" s="14"/>
      <c r="W148" s="35"/>
      <c r="X148" s="32">
        <f t="shared" si="16"/>
        <v>9</v>
      </c>
      <c r="Y148" s="32" t="str">
        <f t="shared" si="17"/>
        <v>个</v>
      </c>
      <c r="Z148" s="14"/>
      <c r="AA148" s="15"/>
      <c r="AB148" s="101"/>
    </row>
    <row r="149" spans="1:28" s="45" customFormat="1" ht="19.899999999999999" customHeight="1" x14ac:dyDescent="0.3">
      <c r="A149" s="34">
        <v>146</v>
      </c>
      <c r="B149" s="12" t="s">
        <v>459</v>
      </c>
      <c r="C149" s="29" t="s">
        <v>2</v>
      </c>
      <c r="D149" s="32" t="str">
        <f t="shared" si="13"/>
        <v>玻璃仪器</v>
      </c>
      <c r="E149" s="12" t="s">
        <v>398</v>
      </c>
      <c r="F149" s="12"/>
      <c r="G149" s="15"/>
      <c r="H149" s="15"/>
      <c r="I149" s="15"/>
      <c r="J149" s="29" t="s">
        <v>821</v>
      </c>
      <c r="K149" s="16">
        <v>5</v>
      </c>
      <c r="L149" s="29" t="s">
        <v>822</v>
      </c>
      <c r="M149" s="32" t="str">
        <f t="shared" si="14"/>
        <v>常规</v>
      </c>
      <c r="N149" s="18"/>
      <c r="O149" s="136" t="s">
        <v>2243</v>
      </c>
      <c r="P149" s="134" t="s">
        <v>2236</v>
      </c>
      <c r="Q149" s="14"/>
      <c r="R149" s="15"/>
      <c r="S149" s="15"/>
      <c r="T149" s="15"/>
      <c r="U149" s="32" t="str">
        <f t="shared" si="15"/>
        <v>只</v>
      </c>
      <c r="V149" s="14"/>
      <c r="W149" s="35"/>
      <c r="X149" s="32">
        <f t="shared" si="16"/>
        <v>5</v>
      </c>
      <c r="Y149" s="32" t="str">
        <f t="shared" si="17"/>
        <v>只</v>
      </c>
      <c r="Z149" s="14"/>
      <c r="AA149" s="15"/>
      <c r="AB149" s="101"/>
    </row>
    <row r="150" spans="1:28" s="45" customFormat="1" ht="19.899999999999999" customHeight="1" x14ac:dyDescent="0.3">
      <c r="A150" s="34">
        <v>147</v>
      </c>
      <c r="B150" s="12" t="s">
        <v>460</v>
      </c>
      <c r="C150" s="29" t="s">
        <v>2</v>
      </c>
      <c r="D150" s="32" t="str">
        <f t="shared" si="13"/>
        <v>玻璃仪器</v>
      </c>
      <c r="E150" s="12" t="s">
        <v>398</v>
      </c>
      <c r="F150" s="12"/>
      <c r="G150" s="15"/>
      <c r="H150" s="15"/>
      <c r="I150" s="15"/>
      <c r="J150" s="29" t="s">
        <v>821</v>
      </c>
      <c r="K150" s="16">
        <v>2</v>
      </c>
      <c r="L150" s="29" t="s">
        <v>822</v>
      </c>
      <c r="M150" s="32" t="str">
        <f t="shared" si="14"/>
        <v>常规</v>
      </c>
      <c r="N150" s="18"/>
      <c r="O150" s="136" t="s">
        <v>2243</v>
      </c>
      <c r="P150" s="134" t="s">
        <v>2236</v>
      </c>
      <c r="Q150" s="14"/>
      <c r="R150" s="15"/>
      <c r="S150" s="15"/>
      <c r="T150" s="15"/>
      <c r="U150" s="32" t="str">
        <f t="shared" si="15"/>
        <v>只</v>
      </c>
      <c r="V150" s="14"/>
      <c r="W150" s="35"/>
      <c r="X150" s="32">
        <f t="shared" si="16"/>
        <v>2</v>
      </c>
      <c r="Y150" s="32" t="str">
        <f t="shared" si="17"/>
        <v>只</v>
      </c>
      <c r="Z150" s="14"/>
      <c r="AA150" s="15"/>
      <c r="AB150" s="101"/>
    </row>
    <row r="151" spans="1:28" s="173" customFormat="1" ht="19.899999999999999" customHeight="1" x14ac:dyDescent="0.3">
      <c r="A151" s="163">
        <v>148</v>
      </c>
      <c r="B151" s="164" t="s">
        <v>461</v>
      </c>
      <c r="C151" s="165" t="s">
        <v>2</v>
      </c>
      <c r="D151" s="166" t="str">
        <f t="shared" si="13"/>
        <v>玻璃仪器</v>
      </c>
      <c r="E151" s="168"/>
      <c r="F151" s="168" t="s">
        <v>7</v>
      </c>
      <c r="G151" s="167"/>
      <c r="H151" s="167"/>
      <c r="I151" s="167"/>
      <c r="J151" s="165" t="s">
        <v>821</v>
      </c>
      <c r="K151" s="164">
        <v>6</v>
      </c>
      <c r="L151" s="165" t="s">
        <v>823</v>
      </c>
      <c r="M151" s="166" t="str">
        <f t="shared" si="14"/>
        <v>常规</v>
      </c>
      <c r="N151" s="168"/>
      <c r="O151" s="180" t="s">
        <v>2243</v>
      </c>
      <c r="P151" s="170" t="s">
        <v>2236</v>
      </c>
      <c r="Q151" s="168"/>
      <c r="R151" s="167"/>
      <c r="S151" s="167" t="s">
        <v>57</v>
      </c>
      <c r="T151" s="167">
        <v>6</v>
      </c>
      <c r="U151" s="166" t="str">
        <f t="shared" si="15"/>
        <v>个</v>
      </c>
      <c r="V151" s="168"/>
      <c r="W151" s="172"/>
      <c r="X151" s="166" t="str">
        <f t="shared" si="16"/>
        <v/>
      </c>
      <c r="Y151" s="166" t="str">
        <f t="shared" si="17"/>
        <v>个</v>
      </c>
      <c r="Z151" s="168"/>
      <c r="AA151" s="167"/>
      <c r="AB151" s="238"/>
    </row>
    <row r="152" spans="1:28" s="173" customFormat="1" ht="19.899999999999999" customHeight="1" x14ac:dyDescent="0.3">
      <c r="A152" s="163">
        <v>149</v>
      </c>
      <c r="B152" s="164" t="s">
        <v>461</v>
      </c>
      <c r="C152" s="165" t="s">
        <v>2</v>
      </c>
      <c r="D152" s="166" t="str">
        <f t="shared" si="13"/>
        <v>玻璃仪器</v>
      </c>
      <c r="E152" s="168"/>
      <c r="F152" s="168" t="s">
        <v>58</v>
      </c>
      <c r="G152" s="167"/>
      <c r="H152" s="167"/>
      <c r="I152" s="167"/>
      <c r="J152" s="165" t="s">
        <v>821</v>
      </c>
      <c r="K152" s="164">
        <v>2</v>
      </c>
      <c r="L152" s="165" t="s">
        <v>823</v>
      </c>
      <c r="M152" s="166" t="str">
        <f t="shared" si="14"/>
        <v>常规</v>
      </c>
      <c r="N152" s="168"/>
      <c r="O152" s="180" t="s">
        <v>2243</v>
      </c>
      <c r="P152" s="170" t="s">
        <v>2236</v>
      </c>
      <c r="Q152" s="168"/>
      <c r="R152" s="167"/>
      <c r="S152" s="167" t="s">
        <v>59</v>
      </c>
      <c r="T152" s="167">
        <v>2</v>
      </c>
      <c r="U152" s="166" t="str">
        <f t="shared" si="15"/>
        <v>个</v>
      </c>
      <c r="V152" s="168"/>
      <c r="W152" s="172"/>
      <c r="X152" s="166" t="str">
        <f t="shared" si="16"/>
        <v/>
      </c>
      <c r="Y152" s="166" t="str">
        <f t="shared" si="17"/>
        <v>个</v>
      </c>
      <c r="Z152" s="168"/>
      <c r="AA152" s="167"/>
      <c r="AB152" s="238"/>
    </row>
    <row r="153" spans="1:28" s="45" customFormat="1" ht="19.899999999999999" customHeight="1" x14ac:dyDescent="0.3">
      <c r="A153" s="34">
        <v>150</v>
      </c>
      <c r="B153" s="12" t="s">
        <v>466</v>
      </c>
      <c r="C153" s="29" t="s">
        <v>2</v>
      </c>
      <c r="D153" s="32" t="str">
        <f t="shared" si="13"/>
        <v>玻璃仪器</v>
      </c>
      <c r="E153" s="18" t="s">
        <v>256</v>
      </c>
      <c r="F153" s="18" t="s">
        <v>35</v>
      </c>
      <c r="G153" s="15"/>
      <c r="H153" s="15"/>
      <c r="I153" s="15"/>
      <c r="J153" s="29" t="s">
        <v>821</v>
      </c>
      <c r="K153" s="16">
        <v>15</v>
      </c>
      <c r="L153" s="36" t="s">
        <v>823</v>
      </c>
      <c r="M153" s="32" t="str">
        <f t="shared" si="14"/>
        <v>常规</v>
      </c>
      <c r="N153" s="25"/>
      <c r="O153" s="136" t="s">
        <v>2243</v>
      </c>
      <c r="P153" s="134" t="s">
        <v>2237</v>
      </c>
      <c r="Q153" s="14"/>
      <c r="R153" s="15"/>
      <c r="S153" s="15" t="s">
        <v>885</v>
      </c>
      <c r="T153" s="15">
        <v>1</v>
      </c>
      <c r="U153" s="32" t="str">
        <f t="shared" si="15"/>
        <v>个</v>
      </c>
      <c r="V153" s="14"/>
      <c r="W153" s="35"/>
      <c r="X153" s="32">
        <f t="shared" si="16"/>
        <v>14</v>
      </c>
      <c r="Y153" s="32" t="str">
        <f t="shared" si="17"/>
        <v>个</v>
      </c>
      <c r="Z153" s="14"/>
      <c r="AA153" s="15"/>
      <c r="AB153" s="101"/>
    </row>
    <row r="154" spans="1:28" s="45" customFormat="1" ht="19.899999999999999" customHeight="1" x14ac:dyDescent="0.3">
      <c r="A154" s="34">
        <v>151</v>
      </c>
      <c r="B154" s="12" t="s">
        <v>466</v>
      </c>
      <c r="C154" s="29" t="s">
        <v>2</v>
      </c>
      <c r="D154" s="32" t="str">
        <f t="shared" si="13"/>
        <v>玻璃仪器</v>
      </c>
      <c r="E154" s="18" t="s">
        <v>256</v>
      </c>
      <c r="F154" s="18" t="s">
        <v>62</v>
      </c>
      <c r="G154" s="15"/>
      <c r="H154" s="15"/>
      <c r="I154" s="15"/>
      <c r="J154" s="29" t="s">
        <v>821</v>
      </c>
      <c r="K154" s="16">
        <v>20</v>
      </c>
      <c r="L154" s="36" t="s">
        <v>823</v>
      </c>
      <c r="M154" s="32" t="str">
        <f t="shared" si="14"/>
        <v>常规</v>
      </c>
      <c r="N154" s="25"/>
      <c r="O154" s="136" t="s">
        <v>2243</v>
      </c>
      <c r="P154" s="134" t="s">
        <v>2237</v>
      </c>
      <c r="Q154" s="14"/>
      <c r="R154" s="15"/>
      <c r="S154" s="15"/>
      <c r="T154" s="15"/>
      <c r="U154" s="32" t="str">
        <f t="shared" si="15"/>
        <v>个</v>
      </c>
      <c r="V154" s="14"/>
      <c r="W154" s="35"/>
      <c r="X154" s="32">
        <f t="shared" si="16"/>
        <v>20</v>
      </c>
      <c r="Y154" s="32" t="str">
        <f t="shared" si="17"/>
        <v>个</v>
      </c>
      <c r="Z154" s="14"/>
      <c r="AA154" s="15"/>
      <c r="AB154" s="101"/>
    </row>
    <row r="155" spans="1:28" s="45" customFormat="1" ht="19.899999999999999" customHeight="1" x14ac:dyDescent="0.3">
      <c r="A155" s="34">
        <v>152</v>
      </c>
      <c r="B155" s="12" t="s">
        <v>467</v>
      </c>
      <c r="C155" s="29" t="s">
        <v>2</v>
      </c>
      <c r="D155" s="32" t="str">
        <f t="shared" si="13"/>
        <v>玻璃仪器</v>
      </c>
      <c r="E155" s="18" t="s">
        <v>256</v>
      </c>
      <c r="F155" s="16" t="s">
        <v>63</v>
      </c>
      <c r="G155" s="15"/>
      <c r="H155" s="15"/>
      <c r="I155" s="15"/>
      <c r="J155" s="29" t="s">
        <v>821</v>
      </c>
      <c r="K155" s="16">
        <v>15</v>
      </c>
      <c r="L155" s="36" t="s">
        <v>823</v>
      </c>
      <c r="M155" s="32" t="str">
        <f t="shared" si="14"/>
        <v>常规</v>
      </c>
      <c r="N155" s="25"/>
      <c r="O155" s="136" t="s">
        <v>2243</v>
      </c>
      <c r="P155" s="134" t="s">
        <v>2237</v>
      </c>
      <c r="Q155" s="14"/>
      <c r="R155" s="15"/>
      <c r="S155" s="15"/>
      <c r="T155" s="15"/>
      <c r="U155" s="32" t="str">
        <f t="shared" si="15"/>
        <v>个</v>
      </c>
      <c r="V155" s="14"/>
      <c r="W155" s="35"/>
      <c r="X155" s="32">
        <f t="shared" si="16"/>
        <v>15</v>
      </c>
      <c r="Y155" s="32" t="str">
        <f t="shared" si="17"/>
        <v>个</v>
      </c>
      <c r="Z155" s="14"/>
      <c r="AA155" s="15"/>
      <c r="AB155" s="101"/>
    </row>
    <row r="156" spans="1:28" s="45" customFormat="1" ht="19.899999999999999" customHeight="1" x14ac:dyDescent="0.3">
      <c r="A156" s="34">
        <v>153</v>
      </c>
      <c r="B156" s="12" t="s">
        <v>468</v>
      </c>
      <c r="C156" s="29" t="s">
        <v>2</v>
      </c>
      <c r="D156" s="32" t="str">
        <f t="shared" si="13"/>
        <v>玻璃仪器</v>
      </c>
      <c r="E156" s="12" t="s">
        <v>283</v>
      </c>
      <c r="F156" s="12" t="s">
        <v>64</v>
      </c>
      <c r="G156" s="15"/>
      <c r="H156" s="15"/>
      <c r="I156" s="15"/>
      <c r="J156" s="29" t="s">
        <v>821</v>
      </c>
      <c r="K156" s="16">
        <v>3</v>
      </c>
      <c r="L156" s="29" t="s">
        <v>827</v>
      </c>
      <c r="M156" s="32" t="str">
        <f t="shared" si="14"/>
        <v>常规</v>
      </c>
      <c r="N156" s="25"/>
      <c r="O156" s="136" t="s">
        <v>2243</v>
      </c>
      <c r="P156" s="134" t="s">
        <v>2237</v>
      </c>
      <c r="Q156" s="14"/>
      <c r="R156" s="15"/>
      <c r="S156" s="15"/>
      <c r="T156" s="15"/>
      <c r="U156" s="32" t="str">
        <f t="shared" si="15"/>
        <v>套</v>
      </c>
      <c r="V156" s="14"/>
      <c r="W156" s="35"/>
      <c r="X156" s="32">
        <f t="shared" si="16"/>
        <v>3</v>
      </c>
      <c r="Y156" s="32" t="str">
        <f t="shared" si="17"/>
        <v>套</v>
      </c>
      <c r="Z156" s="14"/>
      <c r="AA156" s="15"/>
      <c r="AB156" s="101"/>
    </row>
    <row r="157" spans="1:28" s="45" customFormat="1" ht="19.899999999999999" customHeight="1" x14ac:dyDescent="0.3">
      <c r="A157" s="34">
        <v>154</v>
      </c>
      <c r="B157" s="12" t="s">
        <v>469</v>
      </c>
      <c r="C157" s="29" t="s">
        <v>2</v>
      </c>
      <c r="D157" s="32" t="str">
        <f t="shared" si="13"/>
        <v>玻璃仪器</v>
      </c>
      <c r="E157" s="14" t="s">
        <v>256</v>
      </c>
      <c r="F157" s="14" t="s">
        <v>470</v>
      </c>
      <c r="G157" s="15"/>
      <c r="H157" s="15"/>
      <c r="I157" s="15"/>
      <c r="J157" s="29" t="s">
        <v>821</v>
      </c>
      <c r="K157" s="16">
        <v>2</v>
      </c>
      <c r="L157" s="37" t="s">
        <v>823</v>
      </c>
      <c r="M157" s="32" t="str">
        <f t="shared" si="14"/>
        <v>常规</v>
      </c>
      <c r="N157" s="18"/>
      <c r="O157" s="136" t="s">
        <v>2243</v>
      </c>
      <c r="P157" s="134" t="s">
        <v>2237</v>
      </c>
      <c r="Q157" s="14"/>
      <c r="R157" s="15"/>
      <c r="S157" s="15"/>
      <c r="T157" s="15"/>
      <c r="U157" s="32" t="str">
        <f t="shared" si="15"/>
        <v>个</v>
      </c>
      <c r="V157" s="14"/>
      <c r="W157" s="35"/>
      <c r="X157" s="32">
        <f t="shared" si="16"/>
        <v>2</v>
      </c>
      <c r="Y157" s="32" t="str">
        <f t="shared" si="17"/>
        <v>个</v>
      </c>
      <c r="Z157" s="14"/>
      <c r="AA157" s="15"/>
      <c r="AB157" s="101"/>
    </row>
    <row r="158" spans="1:28" s="45" customFormat="1" ht="19.899999999999999" customHeight="1" x14ac:dyDescent="0.3">
      <c r="A158" s="34">
        <v>155</v>
      </c>
      <c r="B158" s="12" t="s">
        <v>471</v>
      </c>
      <c r="C158" s="29" t="s">
        <v>2</v>
      </c>
      <c r="D158" s="32" t="str">
        <f t="shared" si="13"/>
        <v>玻璃仪器</v>
      </c>
      <c r="E158" s="14" t="s">
        <v>256</v>
      </c>
      <c r="F158" s="14" t="s">
        <v>472</v>
      </c>
      <c r="G158" s="15"/>
      <c r="H158" s="15"/>
      <c r="I158" s="15"/>
      <c r="J158" s="29" t="s">
        <v>821</v>
      </c>
      <c r="K158" s="16">
        <v>4</v>
      </c>
      <c r="L158" s="29" t="s">
        <v>831</v>
      </c>
      <c r="M158" s="32" t="str">
        <f t="shared" si="14"/>
        <v>常规</v>
      </c>
      <c r="N158" s="25" t="s">
        <v>473</v>
      </c>
      <c r="O158" s="136" t="s">
        <v>2243</v>
      </c>
      <c r="P158" s="134" t="s">
        <v>2237</v>
      </c>
      <c r="Q158" s="14"/>
      <c r="R158" s="15"/>
      <c r="S158" s="15"/>
      <c r="T158" s="15"/>
      <c r="U158" s="32" t="str">
        <f t="shared" si="15"/>
        <v>根</v>
      </c>
      <c r="V158" s="14"/>
      <c r="W158" s="35"/>
      <c r="X158" s="32">
        <f t="shared" si="16"/>
        <v>4</v>
      </c>
      <c r="Y158" s="32" t="str">
        <f t="shared" si="17"/>
        <v>根</v>
      </c>
      <c r="Z158" s="14"/>
      <c r="AA158" s="15"/>
      <c r="AB158" s="101"/>
    </row>
    <row r="159" spans="1:28" s="45" customFormat="1" ht="19.899999999999999" customHeight="1" x14ac:dyDescent="0.3">
      <c r="A159" s="34">
        <v>156</v>
      </c>
      <c r="B159" s="12" t="s">
        <v>474</v>
      </c>
      <c r="C159" s="29" t="s">
        <v>2</v>
      </c>
      <c r="D159" s="32" t="str">
        <f t="shared" si="13"/>
        <v>玻璃仪器</v>
      </c>
      <c r="E159" s="18" t="s">
        <v>256</v>
      </c>
      <c r="F159" s="16"/>
      <c r="G159" s="15"/>
      <c r="H159" s="15"/>
      <c r="I159" s="15"/>
      <c r="J159" s="29" t="s">
        <v>821</v>
      </c>
      <c r="K159" s="16">
        <v>4</v>
      </c>
      <c r="L159" s="38" t="s">
        <v>831</v>
      </c>
      <c r="M159" s="32" t="str">
        <f t="shared" si="14"/>
        <v>常规</v>
      </c>
      <c r="N159" s="18"/>
      <c r="O159" s="136" t="s">
        <v>2243</v>
      </c>
      <c r="P159" s="134" t="s">
        <v>2237</v>
      </c>
      <c r="Q159" s="14"/>
      <c r="R159" s="15"/>
      <c r="S159" s="15"/>
      <c r="T159" s="15"/>
      <c r="U159" s="32" t="str">
        <f t="shared" si="15"/>
        <v>根</v>
      </c>
      <c r="V159" s="14"/>
      <c r="W159" s="35"/>
      <c r="X159" s="32">
        <f t="shared" si="16"/>
        <v>4</v>
      </c>
      <c r="Y159" s="32" t="str">
        <f t="shared" si="17"/>
        <v>根</v>
      </c>
      <c r="Z159" s="14"/>
      <c r="AA159" s="15"/>
      <c r="AB159" s="101"/>
    </row>
    <row r="160" spans="1:28" s="45" customFormat="1" ht="19.899999999999999" customHeight="1" x14ac:dyDescent="0.3">
      <c r="A160" s="34">
        <v>157</v>
      </c>
      <c r="B160" s="12" t="s">
        <v>475</v>
      </c>
      <c r="C160" s="29" t="s">
        <v>2</v>
      </c>
      <c r="D160" s="32" t="str">
        <f t="shared" si="13"/>
        <v>玻璃仪器</v>
      </c>
      <c r="E160" s="14" t="s">
        <v>256</v>
      </c>
      <c r="F160" s="16"/>
      <c r="G160" s="15"/>
      <c r="H160" s="15"/>
      <c r="I160" s="15"/>
      <c r="J160" s="29" t="s">
        <v>821</v>
      </c>
      <c r="K160" s="16">
        <v>2</v>
      </c>
      <c r="L160" s="37" t="s">
        <v>823</v>
      </c>
      <c r="M160" s="32" t="str">
        <f t="shared" si="14"/>
        <v>常规</v>
      </c>
      <c r="N160" s="18"/>
      <c r="O160" s="136" t="s">
        <v>2243</v>
      </c>
      <c r="P160" s="134" t="s">
        <v>2237</v>
      </c>
      <c r="Q160" s="14"/>
      <c r="R160" s="15"/>
      <c r="S160" s="15"/>
      <c r="T160" s="15"/>
      <c r="U160" s="32" t="str">
        <f t="shared" si="15"/>
        <v>个</v>
      </c>
      <c r="V160" s="14"/>
      <c r="W160" s="35"/>
      <c r="X160" s="32">
        <f t="shared" si="16"/>
        <v>2</v>
      </c>
      <c r="Y160" s="32" t="str">
        <f t="shared" si="17"/>
        <v>个</v>
      </c>
      <c r="Z160" s="14"/>
      <c r="AA160" s="15"/>
      <c r="AB160" s="101"/>
    </row>
    <row r="161" spans="1:28" s="212" customFormat="1" ht="19.899999999999999" customHeight="1" x14ac:dyDescent="0.3">
      <c r="A161" s="201">
        <v>158</v>
      </c>
      <c r="B161" s="202" t="s">
        <v>476</v>
      </c>
      <c r="C161" s="203" t="s">
        <v>2</v>
      </c>
      <c r="D161" s="204" t="str">
        <f t="shared" si="13"/>
        <v>玻璃仪器</v>
      </c>
      <c r="E161" s="205" t="s">
        <v>256</v>
      </c>
      <c r="F161" s="205" t="s">
        <v>65</v>
      </c>
      <c r="G161" s="206"/>
      <c r="H161" s="206"/>
      <c r="I161" s="206"/>
      <c r="J161" s="203" t="s">
        <v>821</v>
      </c>
      <c r="K161" s="202">
        <v>2</v>
      </c>
      <c r="L161" s="203" t="s">
        <v>823</v>
      </c>
      <c r="M161" s="204" t="str">
        <f t="shared" si="14"/>
        <v>常规</v>
      </c>
      <c r="N161" s="207"/>
      <c r="O161" s="208" t="s">
        <v>2243</v>
      </c>
      <c r="P161" s="209" t="s">
        <v>2237</v>
      </c>
      <c r="Q161" s="205"/>
      <c r="R161" s="206"/>
      <c r="S161" s="206" t="s">
        <v>2029</v>
      </c>
      <c r="T161" s="206">
        <v>2</v>
      </c>
      <c r="U161" s="204" t="str">
        <f t="shared" si="15"/>
        <v>个</v>
      </c>
      <c r="V161" s="205"/>
      <c r="W161" s="210"/>
      <c r="X161" s="204" t="str">
        <f t="shared" si="16"/>
        <v/>
      </c>
      <c r="Y161" s="204" t="str">
        <f t="shared" si="17"/>
        <v>个</v>
      </c>
      <c r="Z161" s="205"/>
      <c r="AA161" s="206"/>
      <c r="AB161" s="211"/>
    </row>
    <row r="162" spans="1:28" s="149" customFormat="1" ht="19.899999999999999" customHeight="1" x14ac:dyDescent="0.3">
      <c r="A162" s="34">
        <v>159</v>
      </c>
      <c r="B162" s="16" t="s">
        <v>477</v>
      </c>
      <c r="C162" s="36" t="s">
        <v>2</v>
      </c>
      <c r="D162" s="145" t="str">
        <f t="shared" si="13"/>
        <v>玻璃仪器</v>
      </c>
      <c r="E162" s="18" t="s">
        <v>256</v>
      </c>
      <c r="F162" s="18" t="s">
        <v>13</v>
      </c>
      <c r="G162" s="26"/>
      <c r="H162" s="26"/>
      <c r="I162" s="26"/>
      <c r="J162" s="36" t="s">
        <v>821</v>
      </c>
      <c r="K162" s="16">
        <v>20</v>
      </c>
      <c r="L162" s="36" t="s">
        <v>831</v>
      </c>
      <c r="M162" s="145" t="str">
        <f t="shared" si="14"/>
        <v>常规</v>
      </c>
      <c r="N162" s="25"/>
      <c r="O162" s="135" t="s">
        <v>2243</v>
      </c>
      <c r="P162" s="146" t="s">
        <v>2237</v>
      </c>
      <c r="Q162" s="18"/>
      <c r="R162" s="26"/>
      <c r="S162" s="26" t="s">
        <v>2319</v>
      </c>
      <c r="T162" s="26">
        <v>10</v>
      </c>
      <c r="U162" s="145" t="str">
        <f t="shared" si="15"/>
        <v>根</v>
      </c>
      <c r="V162" s="18"/>
      <c r="W162" s="147"/>
      <c r="X162" s="145">
        <f t="shared" si="16"/>
        <v>10</v>
      </c>
      <c r="Y162" s="145" t="str">
        <f t="shared" si="17"/>
        <v>根</v>
      </c>
      <c r="Z162" s="18"/>
      <c r="AA162" s="26"/>
      <c r="AB162" s="148"/>
    </row>
    <row r="163" spans="1:28" s="45" customFormat="1" ht="19.899999999999999" customHeight="1" x14ac:dyDescent="0.3">
      <c r="A163" s="34">
        <v>160</v>
      </c>
      <c r="B163" s="89" t="s">
        <v>1661</v>
      </c>
      <c r="C163" s="29" t="s">
        <v>2</v>
      </c>
      <c r="D163" s="32" t="str">
        <f t="shared" si="13"/>
        <v>玻璃仪器</v>
      </c>
      <c r="E163" s="14" t="s">
        <v>256</v>
      </c>
      <c r="F163" s="14" t="s">
        <v>66</v>
      </c>
      <c r="G163" s="15"/>
      <c r="H163" s="15"/>
      <c r="I163" s="15"/>
      <c r="J163" s="29" t="s">
        <v>821</v>
      </c>
      <c r="K163" s="16">
        <v>20</v>
      </c>
      <c r="L163" s="29" t="s">
        <v>823</v>
      </c>
      <c r="M163" s="32" t="str">
        <f t="shared" si="14"/>
        <v>常规</v>
      </c>
      <c r="N163" s="25" t="s">
        <v>478</v>
      </c>
      <c r="O163" s="136" t="s">
        <v>2243</v>
      </c>
      <c r="P163" s="134" t="s">
        <v>2237</v>
      </c>
      <c r="Q163" s="14"/>
      <c r="R163" s="15"/>
      <c r="S163" s="15"/>
      <c r="T163" s="15"/>
      <c r="U163" s="32" t="str">
        <f t="shared" si="15"/>
        <v>个</v>
      </c>
      <c r="V163" s="14"/>
      <c r="W163" s="35"/>
      <c r="X163" s="32">
        <f t="shared" si="16"/>
        <v>20</v>
      </c>
      <c r="Y163" s="32" t="str">
        <f t="shared" si="17"/>
        <v>个</v>
      </c>
      <c r="Z163" s="14"/>
      <c r="AA163" s="15"/>
      <c r="AB163" s="101"/>
    </row>
    <row r="164" spans="1:28" s="45" customFormat="1" ht="19.899999999999999" customHeight="1" x14ac:dyDescent="0.3">
      <c r="A164" s="34">
        <v>161</v>
      </c>
      <c r="B164" s="12" t="s">
        <v>479</v>
      </c>
      <c r="C164" s="29" t="s">
        <v>2</v>
      </c>
      <c r="D164" s="32" t="str">
        <f t="shared" si="13"/>
        <v>玻璃仪器</v>
      </c>
      <c r="E164" s="18" t="s">
        <v>256</v>
      </c>
      <c r="F164" s="16" t="s">
        <v>480</v>
      </c>
      <c r="G164" s="15"/>
      <c r="H164" s="15"/>
      <c r="I164" s="15"/>
      <c r="J164" s="29" t="s">
        <v>821</v>
      </c>
      <c r="K164" s="16">
        <v>31</v>
      </c>
      <c r="L164" s="38" t="s">
        <v>831</v>
      </c>
      <c r="M164" s="32" t="str">
        <f t="shared" si="14"/>
        <v>常规</v>
      </c>
      <c r="N164" s="25" t="s">
        <v>481</v>
      </c>
      <c r="O164" s="136" t="s">
        <v>2243</v>
      </c>
      <c r="P164" s="134" t="s">
        <v>2237</v>
      </c>
      <c r="Q164" s="14"/>
      <c r="R164" s="15"/>
      <c r="S164" s="15"/>
      <c r="T164" s="15"/>
      <c r="U164" s="32" t="str">
        <f t="shared" si="15"/>
        <v>根</v>
      </c>
      <c r="V164" s="14"/>
      <c r="W164" s="35"/>
      <c r="X164" s="32">
        <f t="shared" si="16"/>
        <v>31</v>
      </c>
      <c r="Y164" s="32" t="str">
        <f t="shared" si="17"/>
        <v>根</v>
      </c>
      <c r="Z164" s="14"/>
      <c r="AA164" s="15"/>
      <c r="AB164" s="101"/>
    </row>
    <row r="165" spans="1:28" s="45" customFormat="1" ht="19.899999999999999" customHeight="1" x14ac:dyDescent="0.3">
      <c r="A165" s="34">
        <v>162</v>
      </c>
      <c r="B165" s="12" t="s">
        <v>479</v>
      </c>
      <c r="C165" s="29" t="s">
        <v>2</v>
      </c>
      <c r="D165" s="32" t="str">
        <f t="shared" si="13"/>
        <v>玻璃仪器</v>
      </c>
      <c r="E165" s="18" t="s">
        <v>256</v>
      </c>
      <c r="F165" s="16" t="s">
        <v>482</v>
      </c>
      <c r="G165" s="15"/>
      <c r="H165" s="15"/>
      <c r="I165" s="15"/>
      <c r="J165" s="29" t="s">
        <v>821</v>
      </c>
      <c r="K165" s="16">
        <v>29</v>
      </c>
      <c r="L165" s="38" t="s">
        <v>831</v>
      </c>
      <c r="M165" s="32" t="str">
        <f t="shared" si="14"/>
        <v>常规</v>
      </c>
      <c r="N165" s="18" t="s">
        <v>1660</v>
      </c>
      <c r="O165" s="136" t="s">
        <v>2243</v>
      </c>
      <c r="P165" s="134" t="s">
        <v>2237</v>
      </c>
      <c r="Q165" s="14"/>
      <c r="R165" s="15"/>
      <c r="S165" s="15"/>
      <c r="T165" s="15"/>
      <c r="U165" s="32" t="str">
        <f t="shared" si="15"/>
        <v>根</v>
      </c>
      <c r="V165" s="14"/>
      <c r="W165" s="35"/>
      <c r="X165" s="32">
        <f t="shared" si="16"/>
        <v>29</v>
      </c>
      <c r="Y165" s="32" t="str">
        <f t="shared" si="17"/>
        <v>根</v>
      </c>
      <c r="Z165" s="14"/>
      <c r="AA165" s="15"/>
      <c r="AB165" s="101"/>
    </row>
    <row r="166" spans="1:28" s="45" customFormat="1" ht="19.899999999999999" customHeight="1" x14ac:dyDescent="0.3">
      <c r="A166" s="34">
        <v>163</v>
      </c>
      <c r="B166" s="12" t="s">
        <v>483</v>
      </c>
      <c r="C166" s="29" t="s">
        <v>2</v>
      </c>
      <c r="D166" s="32" t="str">
        <f t="shared" si="13"/>
        <v>玻璃仪器</v>
      </c>
      <c r="E166" s="14" t="s">
        <v>256</v>
      </c>
      <c r="F166" s="14" t="s">
        <v>67</v>
      </c>
      <c r="G166" s="15"/>
      <c r="H166" s="15"/>
      <c r="I166" s="15"/>
      <c r="J166" s="29" t="s">
        <v>821</v>
      </c>
      <c r="K166" s="16">
        <v>45</v>
      </c>
      <c r="L166" s="29" t="s">
        <v>823</v>
      </c>
      <c r="M166" s="32" t="str">
        <f t="shared" si="14"/>
        <v>常规</v>
      </c>
      <c r="N166" s="25" t="s">
        <v>484</v>
      </c>
      <c r="O166" s="136" t="s">
        <v>2243</v>
      </c>
      <c r="P166" s="134" t="s">
        <v>2237</v>
      </c>
      <c r="Q166" s="14"/>
      <c r="R166" s="15"/>
      <c r="S166" s="15" t="s">
        <v>913</v>
      </c>
      <c r="T166" s="15">
        <v>30</v>
      </c>
      <c r="U166" s="32" t="str">
        <f t="shared" si="15"/>
        <v>个</v>
      </c>
      <c r="V166" s="14"/>
      <c r="W166" s="35"/>
      <c r="X166" s="32">
        <f t="shared" si="16"/>
        <v>15</v>
      </c>
      <c r="Y166" s="32" t="str">
        <f t="shared" si="17"/>
        <v>个</v>
      </c>
      <c r="Z166" s="14"/>
      <c r="AA166" s="15"/>
      <c r="AB166" s="101"/>
    </row>
    <row r="167" spans="1:28" s="45" customFormat="1" ht="19.899999999999999" customHeight="1" x14ac:dyDescent="0.3">
      <c r="A167" s="34">
        <v>164</v>
      </c>
      <c r="B167" s="12" t="s">
        <v>485</v>
      </c>
      <c r="C167" s="29" t="s">
        <v>2</v>
      </c>
      <c r="D167" s="32" t="str">
        <f t="shared" si="13"/>
        <v>玻璃仪器</v>
      </c>
      <c r="E167" s="14"/>
      <c r="F167" s="14" t="s">
        <v>18</v>
      </c>
      <c r="G167" s="15"/>
      <c r="H167" s="15"/>
      <c r="I167" s="15"/>
      <c r="J167" s="29" t="s">
        <v>821</v>
      </c>
      <c r="K167" s="16">
        <v>10</v>
      </c>
      <c r="L167" s="29" t="s">
        <v>823</v>
      </c>
      <c r="M167" s="32" t="str">
        <f t="shared" si="14"/>
        <v>常规</v>
      </c>
      <c r="N167" s="18"/>
      <c r="O167" s="136" t="s">
        <v>2243</v>
      </c>
      <c r="P167" s="134" t="s">
        <v>2237</v>
      </c>
      <c r="Q167" s="14"/>
      <c r="R167" s="15"/>
      <c r="S167" s="15"/>
      <c r="T167" s="15"/>
      <c r="U167" s="32" t="str">
        <f t="shared" si="15"/>
        <v>个</v>
      </c>
      <c r="V167" s="14"/>
      <c r="W167" s="35"/>
      <c r="X167" s="32">
        <f t="shared" si="16"/>
        <v>10</v>
      </c>
      <c r="Y167" s="32" t="str">
        <f t="shared" si="17"/>
        <v>个</v>
      </c>
      <c r="Z167" s="14"/>
      <c r="AA167" s="15"/>
      <c r="AB167" s="101"/>
    </row>
    <row r="168" spans="1:28" s="212" customFormat="1" ht="19.899999999999999" customHeight="1" x14ac:dyDescent="0.3">
      <c r="A168" s="201">
        <v>165</v>
      </c>
      <c r="B168" s="202" t="s">
        <v>486</v>
      </c>
      <c r="C168" s="203" t="s">
        <v>2</v>
      </c>
      <c r="D168" s="204" t="str">
        <f t="shared" si="13"/>
        <v>玻璃仪器</v>
      </c>
      <c r="E168" s="202"/>
      <c r="F168" s="206" t="s">
        <v>487</v>
      </c>
      <c r="G168" s="206"/>
      <c r="H168" s="206"/>
      <c r="I168" s="206"/>
      <c r="J168" s="203" t="s">
        <v>821</v>
      </c>
      <c r="K168" s="206">
        <v>1</v>
      </c>
      <c r="L168" s="213" t="s">
        <v>822</v>
      </c>
      <c r="M168" s="204" t="str">
        <f t="shared" si="14"/>
        <v>常规</v>
      </c>
      <c r="N168" s="205"/>
      <c r="O168" s="208" t="s">
        <v>2243</v>
      </c>
      <c r="P168" s="209" t="s">
        <v>2237</v>
      </c>
      <c r="Q168" s="205"/>
      <c r="R168" s="206"/>
      <c r="S168" s="206" t="s">
        <v>887</v>
      </c>
      <c r="T168" s="206">
        <v>1</v>
      </c>
      <c r="U168" s="204" t="str">
        <f t="shared" si="15"/>
        <v>只</v>
      </c>
      <c r="V168" s="205"/>
      <c r="W168" s="210"/>
      <c r="X168" s="204" t="str">
        <f t="shared" si="16"/>
        <v/>
      </c>
      <c r="Y168" s="204" t="str">
        <f t="shared" si="17"/>
        <v>只</v>
      </c>
      <c r="Z168" s="205"/>
      <c r="AA168" s="206"/>
      <c r="AB168" s="211"/>
    </row>
    <row r="169" spans="1:28" s="45" customFormat="1" ht="19.899999999999999" customHeight="1" x14ac:dyDescent="0.3">
      <c r="A169" s="34">
        <v>166</v>
      </c>
      <c r="B169" s="12" t="s">
        <v>486</v>
      </c>
      <c r="C169" s="29" t="s">
        <v>2</v>
      </c>
      <c r="D169" s="32" t="str">
        <f t="shared" si="13"/>
        <v>玻璃仪器</v>
      </c>
      <c r="E169" s="12"/>
      <c r="F169" s="12" t="s">
        <v>488</v>
      </c>
      <c r="G169" s="15"/>
      <c r="H169" s="15"/>
      <c r="I169" s="15"/>
      <c r="J169" s="29" t="s">
        <v>821</v>
      </c>
      <c r="K169" s="26">
        <v>10</v>
      </c>
      <c r="L169" s="37" t="s">
        <v>822</v>
      </c>
      <c r="M169" s="32" t="str">
        <f t="shared" si="14"/>
        <v>常规</v>
      </c>
      <c r="N169" s="18"/>
      <c r="O169" s="136" t="s">
        <v>2243</v>
      </c>
      <c r="P169" s="134" t="s">
        <v>2237</v>
      </c>
      <c r="Q169" s="14"/>
      <c r="R169" s="15"/>
      <c r="S169" s="15" t="s">
        <v>1256</v>
      </c>
      <c r="T169" s="15">
        <v>3</v>
      </c>
      <c r="U169" s="32" t="str">
        <f t="shared" si="15"/>
        <v>只</v>
      </c>
      <c r="V169" s="14"/>
      <c r="W169" s="35"/>
      <c r="X169" s="32">
        <f t="shared" si="16"/>
        <v>7</v>
      </c>
      <c r="Y169" s="32" t="str">
        <f t="shared" si="17"/>
        <v>只</v>
      </c>
      <c r="Z169" s="14"/>
      <c r="AA169" s="15"/>
      <c r="AB169" s="101"/>
    </row>
    <row r="170" spans="1:28" s="45" customFormat="1" ht="19.899999999999999" customHeight="1" x14ac:dyDescent="0.3">
      <c r="A170" s="34">
        <v>167</v>
      </c>
      <c r="B170" s="12" t="s">
        <v>486</v>
      </c>
      <c r="C170" s="29" t="s">
        <v>2</v>
      </c>
      <c r="D170" s="32" t="str">
        <f t="shared" si="13"/>
        <v>玻璃仪器</v>
      </c>
      <c r="E170" s="12"/>
      <c r="F170" s="12" t="s">
        <v>489</v>
      </c>
      <c r="G170" s="15"/>
      <c r="H170" s="15"/>
      <c r="I170" s="15"/>
      <c r="J170" s="29" t="s">
        <v>821</v>
      </c>
      <c r="K170" s="26">
        <v>9</v>
      </c>
      <c r="L170" s="37" t="s">
        <v>822</v>
      </c>
      <c r="M170" s="32" t="str">
        <f t="shared" si="14"/>
        <v>常规</v>
      </c>
      <c r="N170" s="18"/>
      <c r="O170" s="136" t="s">
        <v>2243</v>
      </c>
      <c r="P170" s="134" t="s">
        <v>2237</v>
      </c>
      <c r="Q170" s="14"/>
      <c r="R170" s="15"/>
      <c r="S170" s="15" t="s">
        <v>1663</v>
      </c>
      <c r="T170" s="15">
        <v>6</v>
      </c>
      <c r="U170" s="32" t="str">
        <f t="shared" si="15"/>
        <v>只</v>
      </c>
      <c r="V170" s="14"/>
      <c r="W170" s="35"/>
      <c r="X170" s="32">
        <f t="shared" si="16"/>
        <v>3</v>
      </c>
      <c r="Y170" s="32" t="str">
        <f t="shared" si="17"/>
        <v>只</v>
      </c>
      <c r="Z170" s="14"/>
      <c r="AA170" s="15"/>
      <c r="AB170" s="101"/>
    </row>
    <row r="171" spans="1:28" s="45" customFormat="1" ht="19.899999999999999" customHeight="1" x14ac:dyDescent="0.3">
      <c r="A171" s="34">
        <v>168</v>
      </c>
      <c r="B171" s="12" t="s">
        <v>490</v>
      </c>
      <c r="C171" s="29" t="s">
        <v>2</v>
      </c>
      <c r="D171" s="32" t="str">
        <f t="shared" si="13"/>
        <v>玻璃仪器</v>
      </c>
      <c r="E171" s="12"/>
      <c r="F171" s="15" t="s">
        <v>487</v>
      </c>
      <c r="G171" s="15"/>
      <c r="H171" s="15"/>
      <c r="I171" s="15"/>
      <c r="J171" s="29" t="s">
        <v>821</v>
      </c>
      <c r="K171" s="18">
        <v>1</v>
      </c>
      <c r="L171" s="37" t="s">
        <v>822</v>
      </c>
      <c r="M171" s="32" t="str">
        <f t="shared" si="14"/>
        <v>常规</v>
      </c>
      <c r="N171" s="18"/>
      <c r="O171" s="136" t="s">
        <v>2243</v>
      </c>
      <c r="P171" s="134" t="s">
        <v>2237</v>
      </c>
      <c r="Q171" s="14"/>
      <c r="R171" s="15"/>
      <c r="S171" s="15"/>
      <c r="T171" s="15"/>
      <c r="U171" s="32" t="str">
        <f t="shared" si="15"/>
        <v>只</v>
      </c>
      <c r="V171" s="14"/>
      <c r="W171" s="35"/>
      <c r="X171" s="32">
        <f t="shared" si="16"/>
        <v>1</v>
      </c>
      <c r="Y171" s="32" t="str">
        <f t="shared" si="17"/>
        <v>只</v>
      </c>
      <c r="Z171" s="14"/>
      <c r="AA171" s="15"/>
      <c r="AB171" s="101"/>
    </row>
    <row r="172" spans="1:28" s="45" customFormat="1" ht="19.899999999999999" customHeight="1" x14ac:dyDescent="0.3">
      <c r="A172" s="34">
        <v>169</v>
      </c>
      <c r="B172" s="12" t="s">
        <v>490</v>
      </c>
      <c r="C172" s="29" t="s">
        <v>2</v>
      </c>
      <c r="D172" s="32" t="str">
        <f t="shared" si="13"/>
        <v>玻璃仪器</v>
      </c>
      <c r="E172" s="14" t="s">
        <v>491</v>
      </c>
      <c r="F172" s="15" t="s">
        <v>492</v>
      </c>
      <c r="G172" s="15"/>
      <c r="H172" s="15"/>
      <c r="I172" s="15"/>
      <c r="J172" s="29" t="s">
        <v>821</v>
      </c>
      <c r="K172" s="18">
        <v>1</v>
      </c>
      <c r="L172" s="37" t="s">
        <v>822</v>
      </c>
      <c r="M172" s="32" t="str">
        <f t="shared" si="14"/>
        <v>常规</v>
      </c>
      <c r="N172" s="18"/>
      <c r="O172" s="136" t="s">
        <v>2243</v>
      </c>
      <c r="P172" s="134" t="s">
        <v>2237</v>
      </c>
      <c r="Q172" s="14"/>
      <c r="R172" s="15"/>
      <c r="S172" s="15"/>
      <c r="T172" s="15"/>
      <c r="U172" s="32" t="str">
        <f t="shared" si="15"/>
        <v>只</v>
      </c>
      <c r="V172" s="14"/>
      <c r="W172" s="35"/>
      <c r="X172" s="32">
        <f t="shared" si="16"/>
        <v>1</v>
      </c>
      <c r="Y172" s="32" t="str">
        <f t="shared" si="17"/>
        <v>只</v>
      </c>
      <c r="Z172" s="14"/>
      <c r="AA172" s="15"/>
      <c r="AB172" s="101"/>
    </row>
    <row r="173" spans="1:28" s="45" customFormat="1" ht="19.899999999999999" customHeight="1" x14ac:dyDescent="0.3">
      <c r="A173" s="34">
        <v>170</v>
      </c>
      <c r="B173" s="21" t="s">
        <v>496</v>
      </c>
      <c r="C173" s="29" t="s">
        <v>2</v>
      </c>
      <c r="D173" s="32" t="str">
        <f t="shared" si="13"/>
        <v>玻璃仪器</v>
      </c>
      <c r="E173" s="14" t="s">
        <v>256</v>
      </c>
      <c r="F173" s="14" t="s">
        <v>2110</v>
      </c>
      <c r="G173" s="15"/>
      <c r="H173" s="15"/>
      <c r="I173" s="15"/>
      <c r="J173" s="29" t="s">
        <v>821</v>
      </c>
      <c r="K173" s="16">
        <v>8</v>
      </c>
      <c r="L173" s="29" t="s">
        <v>823</v>
      </c>
      <c r="M173" s="32" t="str">
        <f t="shared" si="14"/>
        <v>常规</v>
      </c>
      <c r="N173" s="25" t="s">
        <v>497</v>
      </c>
      <c r="O173" s="136" t="s">
        <v>2243</v>
      </c>
      <c r="P173" s="134" t="s">
        <v>2238</v>
      </c>
      <c r="Q173" s="14"/>
      <c r="R173" s="15"/>
      <c r="S173" s="15"/>
      <c r="T173" s="15"/>
      <c r="U173" s="32" t="str">
        <f t="shared" si="15"/>
        <v>个</v>
      </c>
      <c r="V173" s="14"/>
      <c r="W173" s="35"/>
      <c r="X173" s="32">
        <f t="shared" si="16"/>
        <v>8</v>
      </c>
      <c r="Y173" s="32" t="str">
        <f t="shared" si="17"/>
        <v>个</v>
      </c>
      <c r="Z173" s="14"/>
      <c r="AA173" s="15"/>
      <c r="AB173" s="101"/>
    </row>
    <row r="174" spans="1:28" s="45" customFormat="1" ht="19.899999999999999" customHeight="1" x14ac:dyDescent="0.3">
      <c r="A174" s="34">
        <v>171</v>
      </c>
      <c r="B174" s="21" t="s">
        <v>498</v>
      </c>
      <c r="C174" s="29" t="s">
        <v>2</v>
      </c>
      <c r="D174" s="32" t="str">
        <f t="shared" si="13"/>
        <v>玻璃仪器</v>
      </c>
      <c r="E174" s="14" t="s">
        <v>256</v>
      </c>
      <c r="F174" s="14" t="s">
        <v>499</v>
      </c>
      <c r="G174" s="15"/>
      <c r="H174" s="15"/>
      <c r="I174" s="15"/>
      <c r="J174" s="29" t="s">
        <v>821</v>
      </c>
      <c r="K174" s="16">
        <v>20</v>
      </c>
      <c r="L174" s="29" t="s">
        <v>823</v>
      </c>
      <c r="M174" s="32" t="str">
        <f t="shared" si="14"/>
        <v>常规</v>
      </c>
      <c r="N174" s="25" t="s">
        <v>500</v>
      </c>
      <c r="O174" s="136" t="s">
        <v>2243</v>
      </c>
      <c r="P174" s="134" t="s">
        <v>2238</v>
      </c>
      <c r="Q174" s="14"/>
      <c r="R174" s="15"/>
      <c r="S174" s="15"/>
      <c r="T174" s="15"/>
      <c r="U174" s="32" t="str">
        <f t="shared" si="15"/>
        <v>个</v>
      </c>
      <c r="V174" s="14"/>
      <c r="W174" s="35"/>
      <c r="X174" s="32">
        <f t="shared" si="16"/>
        <v>20</v>
      </c>
      <c r="Y174" s="32" t="str">
        <f t="shared" si="17"/>
        <v>个</v>
      </c>
      <c r="Z174" s="14"/>
      <c r="AA174" s="15"/>
      <c r="AB174" s="101"/>
    </row>
    <row r="175" spans="1:28" s="45" customFormat="1" ht="19.899999999999999" customHeight="1" x14ac:dyDescent="0.3">
      <c r="A175" s="34">
        <v>172</v>
      </c>
      <c r="B175" s="12" t="s">
        <v>501</v>
      </c>
      <c r="C175" s="29" t="s">
        <v>2</v>
      </c>
      <c r="D175" s="32" t="str">
        <f t="shared" si="13"/>
        <v>玻璃仪器</v>
      </c>
      <c r="E175" s="14" t="s">
        <v>256</v>
      </c>
      <c r="F175" s="14" t="s">
        <v>502</v>
      </c>
      <c r="G175" s="15"/>
      <c r="H175" s="15"/>
      <c r="I175" s="15"/>
      <c r="J175" s="29" t="s">
        <v>821</v>
      </c>
      <c r="K175" s="12">
        <v>3</v>
      </c>
      <c r="L175" s="29" t="s">
        <v>823</v>
      </c>
      <c r="M175" s="32" t="str">
        <f t="shared" si="14"/>
        <v>常规</v>
      </c>
      <c r="N175" s="20"/>
      <c r="O175" s="136" t="s">
        <v>2243</v>
      </c>
      <c r="P175" s="134" t="s">
        <v>2238</v>
      </c>
      <c r="Q175" s="14"/>
      <c r="R175" s="15"/>
      <c r="S175" s="15"/>
      <c r="T175" s="15"/>
      <c r="U175" s="32" t="str">
        <f t="shared" si="15"/>
        <v>个</v>
      </c>
      <c r="V175" s="14"/>
      <c r="W175" s="35"/>
      <c r="X175" s="32">
        <f t="shared" si="16"/>
        <v>3</v>
      </c>
      <c r="Y175" s="32" t="str">
        <f t="shared" si="17"/>
        <v>个</v>
      </c>
      <c r="Z175" s="14"/>
      <c r="AA175" s="15"/>
      <c r="AB175" s="105"/>
    </row>
    <row r="176" spans="1:28" s="45" customFormat="1" ht="19.899999999999999" customHeight="1" x14ac:dyDescent="0.3">
      <c r="A176" s="34">
        <v>173</v>
      </c>
      <c r="B176" s="12" t="s">
        <v>501</v>
      </c>
      <c r="C176" s="29" t="s">
        <v>2</v>
      </c>
      <c r="D176" s="32" t="str">
        <f t="shared" ref="D176" si="18">IF(C176="J1","常规化学品",IF(C176="J2","危险化学品",IF(C176="J3","标准物质",IF(C176="J4","玻璃仪器",IF(C176="J5","实验气体",IF(C176="J6","专用物耗",IF(C176="J7","备品配件",IF(C176="J8","专用工具",IF(C176="Z1","劳保物资",IF(C176="Z2","办公耗材",IF(C176="Z3","食品饮料",IF(C176="Z4","特殊物耗",IF(C176="Z5","通用物耗",IF(C176="Z6","通用工具",""))))))))))))))</f>
        <v>玻璃仪器</v>
      </c>
      <c r="E176" s="14" t="s">
        <v>256</v>
      </c>
      <c r="F176" s="14" t="s">
        <v>502</v>
      </c>
      <c r="G176" s="15"/>
      <c r="H176" s="15"/>
      <c r="I176" s="15" t="s">
        <v>2196</v>
      </c>
      <c r="J176" s="29" t="s">
        <v>821</v>
      </c>
      <c r="K176" s="12">
        <v>1</v>
      </c>
      <c r="L176" s="29" t="s">
        <v>823</v>
      </c>
      <c r="M176" s="32" t="str">
        <f t="shared" ref="M176" si="19">IF(D176="危险化学品","五双",IF(D176="标准物资","严控",IF(D176&lt;&gt;"","常规","")))</f>
        <v>常规</v>
      </c>
      <c r="N176" s="20"/>
      <c r="O176" s="136" t="s">
        <v>2243</v>
      </c>
      <c r="P176" s="134" t="s">
        <v>2238</v>
      </c>
      <c r="Q176" s="14"/>
      <c r="R176" s="15"/>
      <c r="S176" s="15"/>
      <c r="T176" s="15"/>
      <c r="U176" s="32" t="str">
        <f t="shared" ref="U176" si="20">IF(L176="","",L176)</f>
        <v>个</v>
      </c>
      <c r="V176" s="14"/>
      <c r="W176" s="35"/>
      <c r="X176" s="32">
        <f t="shared" ref="X176" si="21">IF((K176-T176)&lt;=0,"",K176-T176)</f>
        <v>1</v>
      </c>
      <c r="Y176" s="32" t="str">
        <f t="shared" ref="Y176" si="22">IF(L176="","",L176)</f>
        <v>个</v>
      </c>
      <c r="Z176" s="95"/>
      <c r="AA176" s="15"/>
      <c r="AB176" s="105"/>
    </row>
    <row r="177" spans="1:28" s="45" customFormat="1" ht="19.899999999999999" customHeight="1" x14ac:dyDescent="0.3">
      <c r="A177" s="34">
        <v>174</v>
      </c>
      <c r="B177" s="12" t="s">
        <v>501</v>
      </c>
      <c r="C177" s="29" t="s">
        <v>2</v>
      </c>
      <c r="D177" s="32" t="str">
        <f t="shared" si="13"/>
        <v>玻璃仪器</v>
      </c>
      <c r="E177" s="14" t="s">
        <v>376</v>
      </c>
      <c r="F177" s="14" t="s">
        <v>503</v>
      </c>
      <c r="G177" s="15"/>
      <c r="H177" s="15"/>
      <c r="I177" s="15"/>
      <c r="J177" s="29" t="s">
        <v>821</v>
      </c>
      <c r="K177" s="12">
        <v>30</v>
      </c>
      <c r="L177" s="29" t="s">
        <v>823</v>
      </c>
      <c r="M177" s="32" t="str">
        <f t="shared" si="14"/>
        <v>常规</v>
      </c>
      <c r="N177" s="14"/>
      <c r="O177" s="136" t="s">
        <v>2243</v>
      </c>
      <c r="P177" s="134" t="s">
        <v>2238</v>
      </c>
      <c r="Q177" s="14"/>
      <c r="R177" s="15"/>
      <c r="S177" s="15" t="s">
        <v>1082</v>
      </c>
      <c r="T177" s="15">
        <v>18</v>
      </c>
      <c r="U177" s="32" t="str">
        <f t="shared" si="15"/>
        <v>个</v>
      </c>
      <c r="V177" s="14"/>
      <c r="W177" s="35"/>
      <c r="X177" s="32">
        <f t="shared" si="16"/>
        <v>12</v>
      </c>
      <c r="Y177" s="32" t="str">
        <f t="shared" si="17"/>
        <v>个</v>
      </c>
      <c r="Z177" s="14"/>
      <c r="AA177" s="15"/>
      <c r="AB177" s="101"/>
    </row>
    <row r="178" spans="1:28" s="45" customFormat="1" ht="19.899999999999999" customHeight="1" x14ac:dyDescent="0.3">
      <c r="A178" s="34">
        <v>175</v>
      </c>
      <c r="B178" s="21" t="s">
        <v>504</v>
      </c>
      <c r="C178" s="29" t="s">
        <v>2</v>
      </c>
      <c r="D178" s="32" t="str">
        <f t="shared" si="13"/>
        <v>玻璃仪器</v>
      </c>
      <c r="E178" s="14" t="s">
        <v>256</v>
      </c>
      <c r="F178" s="14" t="s">
        <v>505</v>
      </c>
      <c r="G178" s="15"/>
      <c r="H178" s="15"/>
      <c r="I178" s="15"/>
      <c r="J178" s="29" t="s">
        <v>821</v>
      </c>
      <c r="K178" s="12">
        <v>4</v>
      </c>
      <c r="L178" s="29" t="s">
        <v>823</v>
      </c>
      <c r="M178" s="32" t="str">
        <f t="shared" si="14"/>
        <v>常规</v>
      </c>
      <c r="N178" s="20"/>
      <c r="O178" s="136" t="s">
        <v>2243</v>
      </c>
      <c r="P178" s="134" t="s">
        <v>2238</v>
      </c>
      <c r="Q178" s="14"/>
      <c r="R178" s="15"/>
      <c r="S178" s="15"/>
      <c r="T178" s="15"/>
      <c r="U178" s="32" t="str">
        <f t="shared" si="15"/>
        <v>个</v>
      </c>
      <c r="V178" s="14"/>
      <c r="W178" s="35"/>
      <c r="X178" s="32">
        <f t="shared" si="16"/>
        <v>4</v>
      </c>
      <c r="Y178" s="32" t="str">
        <f t="shared" si="17"/>
        <v>个</v>
      </c>
      <c r="Z178" s="14"/>
      <c r="AA178" s="15"/>
      <c r="AB178" s="101"/>
    </row>
    <row r="179" spans="1:28" s="45" customFormat="1" ht="19.899999999999999" customHeight="1" x14ac:dyDescent="0.3">
      <c r="A179" s="34">
        <v>176</v>
      </c>
      <c r="B179" s="12" t="s">
        <v>506</v>
      </c>
      <c r="C179" s="29" t="s">
        <v>2</v>
      </c>
      <c r="D179" s="32" t="str">
        <f t="shared" si="13"/>
        <v>玻璃仪器</v>
      </c>
      <c r="E179" s="12" t="s">
        <v>398</v>
      </c>
      <c r="F179" s="12" t="s">
        <v>2173</v>
      </c>
      <c r="G179" s="15"/>
      <c r="H179" s="15"/>
      <c r="I179" s="15"/>
      <c r="J179" s="29" t="s">
        <v>821</v>
      </c>
      <c r="K179" s="12">
        <v>9</v>
      </c>
      <c r="L179" s="29" t="s">
        <v>822</v>
      </c>
      <c r="M179" s="32" t="str">
        <f t="shared" si="14"/>
        <v>常规</v>
      </c>
      <c r="N179" s="14"/>
      <c r="O179" s="136" t="s">
        <v>2243</v>
      </c>
      <c r="P179" s="134" t="s">
        <v>2238</v>
      </c>
      <c r="Q179" s="14"/>
      <c r="R179" s="15"/>
      <c r="S179" s="15"/>
      <c r="T179" s="15"/>
      <c r="U179" s="32" t="str">
        <f t="shared" si="15"/>
        <v>只</v>
      </c>
      <c r="V179" s="14"/>
      <c r="W179" s="35"/>
      <c r="X179" s="32">
        <f t="shared" si="16"/>
        <v>9</v>
      </c>
      <c r="Y179" s="32" t="str">
        <f t="shared" si="17"/>
        <v>只</v>
      </c>
      <c r="Z179" s="14"/>
      <c r="AA179" s="15"/>
      <c r="AB179" s="101"/>
    </row>
    <row r="180" spans="1:28" s="45" customFormat="1" ht="19.899999999999999" customHeight="1" x14ac:dyDescent="0.3">
      <c r="A180" s="34">
        <v>177</v>
      </c>
      <c r="B180" s="89" t="s">
        <v>1664</v>
      </c>
      <c r="C180" s="29" t="s">
        <v>2</v>
      </c>
      <c r="D180" s="32" t="str">
        <f t="shared" si="13"/>
        <v>玻璃仪器</v>
      </c>
      <c r="E180" s="12" t="s">
        <v>398</v>
      </c>
      <c r="F180" s="12" t="s">
        <v>507</v>
      </c>
      <c r="G180" s="15"/>
      <c r="H180" s="15"/>
      <c r="I180" s="15"/>
      <c r="J180" s="29" t="s">
        <v>821</v>
      </c>
      <c r="K180" s="12">
        <v>49</v>
      </c>
      <c r="L180" s="29" t="s">
        <v>822</v>
      </c>
      <c r="M180" s="32" t="str">
        <f t="shared" si="14"/>
        <v>常规</v>
      </c>
      <c r="N180" s="14" t="s">
        <v>508</v>
      </c>
      <c r="O180" s="136" t="s">
        <v>2243</v>
      </c>
      <c r="P180" s="134" t="s">
        <v>2238</v>
      </c>
      <c r="Q180" s="14"/>
      <c r="R180" s="15"/>
      <c r="S180" s="12" t="s">
        <v>2799</v>
      </c>
      <c r="T180" s="15">
        <v>2</v>
      </c>
      <c r="U180" s="32" t="str">
        <f t="shared" si="15"/>
        <v>只</v>
      </c>
      <c r="V180" s="14"/>
      <c r="W180" s="35"/>
      <c r="X180" s="32">
        <f t="shared" si="16"/>
        <v>47</v>
      </c>
      <c r="Y180" s="32" t="str">
        <f t="shared" si="17"/>
        <v>只</v>
      </c>
      <c r="Z180" s="95"/>
      <c r="AA180" s="15"/>
      <c r="AB180" s="105"/>
    </row>
    <row r="181" spans="1:28" s="45" customFormat="1" ht="19.899999999999999" customHeight="1" x14ac:dyDescent="0.3">
      <c r="A181" s="34">
        <v>178</v>
      </c>
      <c r="B181" s="19" t="s">
        <v>850</v>
      </c>
      <c r="C181" s="29" t="s">
        <v>2</v>
      </c>
      <c r="D181" s="32" t="str">
        <f t="shared" si="13"/>
        <v>玻璃仪器</v>
      </c>
      <c r="E181" s="12" t="s">
        <v>398</v>
      </c>
      <c r="F181" s="12" t="s">
        <v>16</v>
      </c>
      <c r="G181" s="15"/>
      <c r="H181" s="15"/>
      <c r="I181" s="15"/>
      <c r="J181" s="29" t="s">
        <v>821</v>
      </c>
      <c r="K181" s="16">
        <v>1</v>
      </c>
      <c r="L181" s="29" t="s">
        <v>822</v>
      </c>
      <c r="M181" s="32" t="str">
        <f t="shared" si="14"/>
        <v>常规</v>
      </c>
      <c r="N181" s="18"/>
      <c r="O181" s="136" t="s">
        <v>2243</v>
      </c>
      <c r="P181" s="134" t="s">
        <v>2238</v>
      </c>
      <c r="Q181" s="14"/>
      <c r="R181" s="15"/>
      <c r="S181" s="15"/>
      <c r="T181" s="15"/>
      <c r="U181" s="32" t="str">
        <f t="shared" si="15"/>
        <v>只</v>
      </c>
      <c r="V181" s="14"/>
      <c r="W181" s="35"/>
      <c r="X181" s="32">
        <f t="shared" si="16"/>
        <v>1</v>
      </c>
      <c r="Y181" s="32" t="str">
        <f t="shared" si="17"/>
        <v>只</v>
      </c>
      <c r="Z181" s="14"/>
      <c r="AA181" s="15"/>
      <c r="AB181" s="101"/>
    </row>
    <row r="182" spans="1:28" s="45" customFormat="1" ht="19.899999999999999" customHeight="1" x14ac:dyDescent="0.3">
      <c r="A182" s="34">
        <v>179</v>
      </c>
      <c r="B182" s="12" t="s">
        <v>509</v>
      </c>
      <c r="C182" s="29" t="s">
        <v>2</v>
      </c>
      <c r="D182" s="32" t="str">
        <f t="shared" si="13"/>
        <v>玻璃仪器</v>
      </c>
      <c r="E182" s="12" t="s">
        <v>398</v>
      </c>
      <c r="F182" s="12" t="s">
        <v>16</v>
      </c>
      <c r="G182" s="15"/>
      <c r="H182" s="15"/>
      <c r="I182" s="15"/>
      <c r="J182" s="29" t="s">
        <v>821</v>
      </c>
      <c r="K182" s="16">
        <v>3</v>
      </c>
      <c r="L182" s="29" t="s">
        <v>822</v>
      </c>
      <c r="M182" s="32" t="str">
        <f t="shared" si="14"/>
        <v>常规</v>
      </c>
      <c r="N182" s="18"/>
      <c r="O182" s="136" t="s">
        <v>2243</v>
      </c>
      <c r="P182" s="134" t="s">
        <v>2238</v>
      </c>
      <c r="Q182" s="14"/>
      <c r="R182" s="15"/>
      <c r="S182" s="15"/>
      <c r="T182" s="15"/>
      <c r="U182" s="32" t="str">
        <f t="shared" si="15"/>
        <v>只</v>
      </c>
      <c r="V182" s="14"/>
      <c r="W182" s="35"/>
      <c r="X182" s="32">
        <f t="shared" si="16"/>
        <v>3</v>
      </c>
      <c r="Y182" s="32" t="str">
        <f t="shared" si="17"/>
        <v>只</v>
      </c>
      <c r="Z182" s="14"/>
      <c r="AA182" s="15"/>
      <c r="AB182" s="101"/>
    </row>
    <row r="183" spans="1:28" s="45" customFormat="1" ht="19.899999999999999" customHeight="1" x14ac:dyDescent="0.3">
      <c r="A183" s="34">
        <v>180</v>
      </c>
      <c r="B183" s="12" t="s">
        <v>510</v>
      </c>
      <c r="C183" s="29" t="s">
        <v>2</v>
      </c>
      <c r="D183" s="32" t="str">
        <f t="shared" si="13"/>
        <v>玻璃仪器</v>
      </c>
      <c r="E183" s="12" t="s">
        <v>398</v>
      </c>
      <c r="F183" s="12" t="s">
        <v>18</v>
      </c>
      <c r="G183" s="15"/>
      <c r="H183" s="15"/>
      <c r="I183" s="15"/>
      <c r="J183" s="29" t="s">
        <v>821</v>
      </c>
      <c r="K183" s="16">
        <v>1</v>
      </c>
      <c r="L183" s="29" t="s">
        <v>822</v>
      </c>
      <c r="M183" s="32" t="str">
        <f t="shared" si="14"/>
        <v>常规</v>
      </c>
      <c r="N183" s="18"/>
      <c r="O183" s="136" t="s">
        <v>2243</v>
      </c>
      <c r="P183" s="134" t="s">
        <v>2238</v>
      </c>
      <c r="Q183" s="14"/>
      <c r="R183" s="15"/>
      <c r="S183" s="15"/>
      <c r="T183" s="15"/>
      <c r="U183" s="32" t="str">
        <f t="shared" si="15"/>
        <v>只</v>
      </c>
      <c r="V183" s="14"/>
      <c r="W183" s="35"/>
      <c r="X183" s="32">
        <f t="shared" si="16"/>
        <v>1</v>
      </c>
      <c r="Y183" s="32" t="str">
        <f t="shared" si="17"/>
        <v>只</v>
      </c>
      <c r="Z183" s="14"/>
      <c r="AA183" s="15"/>
      <c r="AB183" s="101"/>
    </row>
    <row r="184" spans="1:28" s="45" customFormat="1" ht="19.899999999999999" customHeight="1" x14ac:dyDescent="0.3">
      <c r="A184" s="34">
        <v>181</v>
      </c>
      <c r="B184" s="12" t="s">
        <v>511</v>
      </c>
      <c r="C184" s="29" t="s">
        <v>2</v>
      </c>
      <c r="D184" s="32" t="str">
        <f t="shared" si="13"/>
        <v>玻璃仪器</v>
      </c>
      <c r="E184" s="12"/>
      <c r="F184" s="12"/>
      <c r="G184" s="15"/>
      <c r="H184" s="15"/>
      <c r="I184" s="15"/>
      <c r="J184" s="29" t="s">
        <v>821</v>
      </c>
      <c r="K184" s="16">
        <v>3</v>
      </c>
      <c r="L184" s="29" t="s">
        <v>822</v>
      </c>
      <c r="M184" s="32" t="str">
        <f t="shared" si="14"/>
        <v>常规</v>
      </c>
      <c r="N184" s="18"/>
      <c r="O184" s="136" t="s">
        <v>2243</v>
      </c>
      <c r="P184" s="134" t="s">
        <v>2238</v>
      </c>
      <c r="Q184" s="14"/>
      <c r="R184" s="15"/>
      <c r="S184" s="15"/>
      <c r="T184" s="15"/>
      <c r="U184" s="32" t="str">
        <f t="shared" si="15"/>
        <v>只</v>
      </c>
      <c r="V184" s="14"/>
      <c r="W184" s="35"/>
      <c r="X184" s="32">
        <f t="shared" si="16"/>
        <v>3</v>
      </c>
      <c r="Y184" s="32" t="str">
        <f t="shared" si="17"/>
        <v>只</v>
      </c>
      <c r="Z184" s="14"/>
      <c r="AA184" s="15"/>
      <c r="AB184" s="101"/>
    </row>
    <row r="185" spans="1:28" s="45" customFormat="1" ht="19.899999999999999" customHeight="1" x14ac:dyDescent="0.3">
      <c r="A185" s="34">
        <v>182</v>
      </c>
      <c r="B185" s="12" t="s">
        <v>512</v>
      </c>
      <c r="C185" s="29" t="s">
        <v>2</v>
      </c>
      <c r="D185" s="32" t="str">
        <f t="shared" si="13"/>
        <v>玻璃仪器</v>
      </c>
      <c r="E185" s="18" t="s">
        <v>256</v>
      </c>
      <c r="F185" s="18" t="s">
        <v>513</v>
      </c>
      <c r="G185" s="15"/>
      <c r="H185" s="15"/>
      <c r="I185" s="15"/>
      <c r="J185" s="29" t="s">
        <v>821</v>
      </c>
      <c r="K185" s="16">
        <v>2</v>
      </c>
      <c r="L185" s="36" t="s">
        <v>827</v>
      </c>
      <c r="M185" s="32" t="str">
        <f t="shared" si="14"/>
        <v>常规</v>
      </c>
      <c r="N185" s="25" t="s">
        <v>514</v>
      </c>
      <c r="O185" s="136" t="s">
        <v>2243</v>
      </c>
      <c r="P185" s="134" t="s">
        <v>2239</v>
      </c>
      <c r="Q185" s="14"/>
      <c r="R185" s="15"/>
      <c r="S185" s="15"/>
      <c r="T185" s="15"/>
      <c r="U185" s="32" t="str">
        <f t="shared" si="15"/>
        <v>套</v>
      </c>
      <c r="V185" s="14"/>
      <c r="W185" s="35"/>
      <c r="X185" s="32">
        <f t="shared" si="16"/>
        <v>2</v>
      </c>
      <c r="Y185" s="32" t="str">
        <f t="shared" si="17"/>
        <v>套</v>
      </c>
      <c r="Z185" s="14"/>
      <c r="AA185" s="15"/>
      <c r="AB185" s="101"/>
    </row>
    <row r="186" spans="1:28" s="45" customFormat="1" ht="19.899999999999999" customHeight="1" x14ac:dyDescent="0.3">
      <c r="A186" s="34">
        <v>183</v>
      </c>
      <c r="B186" s="12" t="s">
        <v>515</v>
      </c>
      <c r="C186" s="29" t="s">
        <v>2</v>
      </c>
      <c r="D186" s="32" t="str">
        <f t="shared" si="13"/>
        <v>玻璃仪器</v>
      </c>
      <c r="E186" s="12" t="s">
        <v>283</v>
      </c>
      <c r="F186" s="12" t="s">
        <v>33</v>
      </c>
      <c r="G186" s="15"/>
      <c r="H186" s="15"/>
      <c r="I186" s="15"/>
      <c r="J186" s="29" t="s">
        <v>821</v>
      </c>
      <c r="K186" s="16">
        <v>1</v>
      </c>
      <c r="L186" s="29" t="s">
        <v>823</v>
      </c>
      <c r="M186" s="32" t="str">
        <f t="shared" si="14"/>
        <v>常规</v>
      </c>
      <c r="N186" s="25" t="s">
        <v>516</v>
      </c>
      <c r="O186" s="136" t="s">
        <v>2243</v>
      </c>
      <c r="P186" s="134" t="s">
        <v>2239</v>
      </c>
      <c r="Q186" s="14"/>
      <c r="R186" s="15"/>
      <c r="S186" s="15"/>
      <c r="T186" s="15"/>
      <c r="U186" s="32" t="str">
        <f t="shared" si="15"/>
        <v>个</v>
      </c>
      <c r="V186" s="14"/>
      <c r="W186" s="35"/>
      <c r="X186" s="32">
        <f t="shared" si="16"/>
        <v>1</v>
      </c>
      <c r="Y186" s="32" t="str">
        <f t="shared" si="17"/>
        <v>个</v>
      </c>
      <c r="Z186" s="14"/>
      <c r="AA186" s="15"/>
      <c r="AB186" s="101"/>
    </row>
    <row r="187" spans="1:28" s="45" customFormat="1" ht="19.899999999999999" customHeight="1" x14ac:dyDescent="0.3">
      <c r="A187" s="34">
        <v>184</v>
      </c>
      <c r="B187" s="12" t="s">
        <v>517</v>
      </c>
      <c r="C187" s="29" t="s">
        <v>2</v>
      </c>
      <c r="D187" s="32" t="str">
        <f t="shared" si="13"/>
        <v>玻璃仪器</v>
      </c>
      <c r="E187" s="14"/>
      <c r="F187" s="14" t="s">
        <v>518</v>
      </c>
      <c r="G187" s="15"/>
      <c r="H187" s="15"/>
      <c r="I187" s="15"/>
      <c r="J187" s="29" t="s">
        <v>821</v>
      </c>
      <c r="K187" s="18">
        <v>4</v>
      </c>
      <c r="L187" s="29" t="s">
        <v>827</v>
      </c>
      <c r="M187" s="32" t="str">
        <f t="shared" si="14"/>
        <v>常规</v>
      </c>
      <c r="N187" s="18" t="s">
        <v>519</v>
      </c>
      <c r="O187" s="136" t="s">
        <v>2243</v>
      </c>
      <c r="P187" s="134" t="s">
        <v>2239</v>
      </c>
      <c r="Q187" s="14"/>
      <c r="R187" s="15"/>
      <c r="S187" s="15"/>
      <c r="T187" s="15"/>
      <c r="U187" s="32" t="str">
        <f t="shared" si="15"/>
        <v>套</v>
      </c>
      <c r="V187" s="14"/>
      <c r="W187" s="35"/>
      <c r="X187" s="32">
        <f t="shared" si="16"/>
        <v>4</v>
      </c>
      <c r="Y187" s="32" t="str">
        <f t="shared" si="17"/>
        <v>套</v>
      </c>
      <c r="Z187" s="14"/>
      <c r="AA187" s="15"/>
      <c r="AB187" s="101"/>
    </row>
    <row r="188" spans="1:28" s="45" customFormat="1" ht="19.899999999999999" customHeight="1" x14ac:dyDescent="0.3">
      <c r="A188" s="34">
        <v>185</v>
      </c>
      <c r="B188" s="12" t="s">
        <v>520</v>
      </c>
      <c r="C188" s="29" t="s">
        <v>2</v>
      </c>
      <c r="D188" s="32" t="str">
        <f t="shared" si="13"/>
        <v>玻璃仪器</v>
      </c>
      <c r="E188" s="14" t="s">
        <v>358</v>
      </c>
      <c r="F188" s="14" t="s">
        <v>27</v>
      </c>
      <c r="G188" s="15"/>
      <c r="H188" s="15"/>
      <c r="I188" s="15"/>
      <c r="J188" s="29" t="s">
        <v>821</v>
      </c>
      <c r="K188" s="16">
        <v>4</v>
      </c>
      <c r="L188" s="29" t="s">
        <v>827</v>
      </c>
      <c r="M188" s="32" t="str">
        <f t="shared" si="14"/>
        <v>常规</v>
      </c>
      <c r="N188" s="18"/>
      <c r="O188" s="136" t="s">
        <v>2243</v>
      </c>
      <c r="P188" s="134" t="s">
        <v>2239</v>
      </c>
      <c r="Q188" s="14"/>
      <c r="R188" s="15"/>
      <c r="S188" s="15"/>
      <c r="T188" s="15"/>
      <c r="U188" s="32" t="str">
        <f t="shared" si="15"/>
        <v>套</v>
      </c>
      <c r="V188" s="14"/>
      <c r="W188" s="35"/>
      <c r="X188" s="32">
        <f t="shared" si="16"/>
        <v>4</v>
      </c>
      <c r="Y188" s="32" t="str">
        <f t="shared" si="17"/>
        <v>套</v>
      </c>
      <c r="Z188" s="14"/>
      <c r="AA188" s="15"/>
      <c r="AB188" s="101"/>
    </row>
    <row r="189" spans="1:28" s="45" customFormat="1" ht="19.899999999999999" customHeight="1" x14ac:dyDescent="0.3">
      <c r="A189" s="34">
        <v>186</v>
      </c>
      <c r="B189" s="12" t="s">
        <v>521</v>
      </c>
      <c r="C189" s="29" t="s">
        <v>2</v>
      </c>
      <c r="D189" s="32" t="str">
        <f t="shared" si="13"/>
        <v>玻璃仪器</v>
      </c>
      <c r="E189" s="18" t="s">
        <v>256</v>
      </c>
      <c r="F189" s="18" t="s">
        <v>17</v>
      </c>
      <c r="G189" s="15"/>
      <c r="H189" s="15"/>
      <c r="I189" s="15"/>
      <c r="J189" s="29" t="s">
        <v>821</v>
      </c>
      <c r="K189" s="16">
        <v>11</v>
      </c>
      <c r="L189" s="36" t="s">
        <v>831</v>
      </c>
      <c r="M189" s="32" t="str">
        <f t="shared" si="14"/>
        <v>常规</v>
      </c>
      <c r="N189" s="27" t="s">
        <v>522</v>
      </c>
      <c r="O189" s="135" t="s">
        <v>2244</v>
      </c>
      <c r="P189" s="134" t="s">
        <v>2236</v>
      </c>
      <c r="Q189" s="14"/>
      <c r="R189" s="15"/>
      <c r="S189" s="15"/>
      <c r="T189" s="15"/>
      <c r="U189" s="32" t="str">
        <f t="shared" si="15"/>
        <v>根</v>
      </c>
      <c r="V189" s="14"/>
      <c r="W189" s="35"/>
      <c r="X189" s="32">
        <f t="shared" si="16"/>
        <v>11</v>
      </c>
      <c r="Y189" s="32" t="str">
        <f t="shared" si="17"/>
        <v>根</v>
      </c>
      <c r="Z189" s="14"/>
      <c r="AA189" s="15"/>
      <c r="AB189" s="101"/>
    </row>
    <row r="190" spans="1:28" s="45" customFormat="1" ht="19.899999999999999" customHeight="1" x14ac:dyDescent="0.3">
      <c r="A190" s="34">
        <v>187</v>
      </c>
      <c r="B190" s="12" t="s">
        <v>521</v>
      </c>
      <c r="C190" s="29" t="s">
        <v>2</v>
      </c>
      <c r="D190" s="32" t="str">
        <f t="shared" si="13"/>
        <v>玻璃仪器</v>
      </c>
      <c r="E190" s="18" t="s">
        <v>256</v>
      </c>
      <c r="F190" s="18" t="s">
        <v>68</v>
      </c>
      <c r="G190" s="15"/>
      <c r="H190" s="15"/>
      <c r="I190" s="15"/>
      <c r="J190" s="29" t="s">
        <v>821</v>
      </c>
      <c r="K190" s="16">
        <v>4</v>
      </c>
      <c r="L190" s="36" t="s">
        <v>831</v>
      </c>
      <c r="M190" s="32" t="str">
        <f t="shared" si="14"/>
        <v>常规</v>
      </c>
      <c r="N190" s="18"/>
      <c r="O190" s="135" t="s">
        <v>2244</v>
      </c>
      <c r="P190" s="134" t="s">
        <v>2236</v>
      </c>
      <c r="Q190" s="14"/>
      <c r="R190" s="15"/>
      <c r="S190" s="15"/>
      <c r="T190" s="15"/>
      <c r="U190" s="32" t="str">
        <f t="shared" si="15"/>
        <v>根</v>
      </c>
      <c r="V190" s="14"/>
      <c r="W190" s="35"/>
      <c r="X190" s="32">
        <f t="shared" si="16"/>
        <v>4</v>
      </c>
      <c r="Y190" s="32" t="str">
        <f t="shared" si="17"/>
        <v>根</v>
      </c>
      <c r="Z190" s="14"/>
      <c r="AA190" s="15"/>
      <c r="AB190" s="101"/>
    </row>
    <row r="191" spans="1:28" s="45" customFormat="1" ht="19.899999999999999" customHeight="1" x14ac:dyDescent="0.3">
      <c r="A191" s="34">
        <v>188</v>
      </c>
      <c r="B191" s="12" t="s">
        <v>521</v>
      </c>
      <c r="C191" s="29" t="s">
        <v>2</v>
      </c>
      <c r="D191" s="32" t="str">
        <f t="shared" si="13"/>
        <v>玻璃仪器</v>
      </c>
      <c r="E191" s="18" t="s">
        <v>256</v>
      </c>
      <c r="F191" s="18" t="s">
        <v>69</v>
      </c>
      <c r="G191" s="15"/>
      <c r="H191" s="15"/>
      <c r="I191" s="15"/>
      <c r="J191" s="29" t="s">
        <v>821</v>
      </c>
      <c r="K191" s="16">
        <v>8</v>
      </c>
      <c r="L191" s="36" t="s">
        <v>831</v>
      </c>
      <c r="M191" s="32" t="str">
        <f t="shared" si="14"/>
        <v>常规</v>
      </c>
      <c r="N191" s="18"/>
      <c r="O191" s="135" t="s">
        <v>2244</v>
      </c>
      <c r="P191" s="134" t="s">
        <v>2236</v>
      </c>
      <c r="Q191" s="14"/>
      <c r="R191" s="15"/>
      <c r="S191" s="15" t="s">
        <v>998</v>
      </c>
      <c r="T191" s="15">
        <v>1</v>
      </c>
      <c r="U191" s="32" t="str">
        <f t="shared" si="15"/>
        <v>根</v>
      </c>
      <c r="V191" s="14"/>
      <c r="W191" s="35"/>
      <c r="X191" s="32">
        <f t="shared" si="16"/>
        <v>7</v>
      </c>
      <c r="Y191" s="32" t="str">
        <f t="shared" si="17"/>
        <v>根</v>
      </c>
      <c r="Z191" s="14"/>
      <c r="AA191" s="15"/>
      <c r="AB191" s="101"/>
    </row>
    <row r="192" spans="1:28" s="45" customFormat="1" ht="19.899999999999999" customHeight="1" x14ac:dyDescent="0.3">
      <c r="A192" s="34">
        <v>189</v>
      </c>
      <c r="B192" s="12" t="s">
        <v>521</v>
      </c>
      <c r="C192" s="29" t="s">
        <v>2</v>
      </c>
      <c r="D192" s="32" t="str">
        <f t="shared" si="13"/>
        <v>玻璃仪器</v>
      </c>
      <c r="E192" s="14" t="s">
        <v>491</v>
      </c>
      <c r="F192" s="18" t="s">
        <v>14</v>
      </c>
      <c r="G192" s="15"/>
      <c r="H192" s="15"/>
      <c r="I192" s="15"/>
      <c r="J192" s="29" t="s">
        <v>821</v>
      </c>
      <c r="K192" s="16">
        <v>4</v>
      </c>
      <c r="L192" s="36" t="s">
        <v>831</v>
      </c>
      <c r="M192" s="32" t="str">
        <f t="shared" si="14"/>
        <v>常规</v>
      </c>
      <c r="N192" s="18"/>
      <c r="O192" s="135" t="s">
        <v>2244</v>
      </c>
      <c r="P192" s="134" t="s">
        <v>2236</v>
      </c>
      <c r="Q192" s="14"/>
      <c r="R192" s="15"/>
      <c r="S192" s="15" t="s">
        <v>886</v>
      </c>
      <c r="T192" s="15">
        <v>2</v>
      </c>
      <c r="U192" s="32" t="str">
        <f t="shared" si="15"/>
        <v>根</v>
      </c>
      <c r="V192" s="14"/>
      <c r="W192" s="35"/>
      <c r="X192" s="32">
        <f t="shared" si="16"/>
        <v>2</v>
      </c>
      <c r="Y192" s="32" t="str">
        <f t="shared" si="17"/>
        <v>根</v>
      </c>
      <c r="Z192" s="14"/>
      <c r="AA192" s="15"/>
      <c r="AB192" s="101"/>
    </row>
    <row r="193" spans="1:28" s="45" customFormat="1" ht="19.899999999999999" customHeight="1" x14ac:dyDescent="0.3">
      <c r="A193" s="34">
        <v>190</v>
      </c>
      <c r="B193" s="12" t="s">
        <v>521</v>
      </c>
      <c r="C193" s="29" t="s">
        <v>2</v>
      </c>
      <c r="D193" s="32" t="str">
        <f t="shared" si="13"/>
        <v>玻璃仪器</v>
      </c>
      <c r="E193" s="18" t="s">
        <v>256</v>
      </c>
      <c r="F193" s="18" t="s">
        <v>15</v>
      </c>
      <c r="G193" s="15"/>
      <c r="H193" s="15"/>
      <c r="I193" s="15"/>
      <c r="J193" s="29" t="s">
        <v>821</v>
      </c>
      <c r="K193" s="16">
        <v>8</v>
      </c>
      <c r="L193" s="36" t="s">
        <v>831</v>
      </c>
      <c r="M193" s="32" t="str">
        <f t="shared" si="14"/>
        <v>常规</v>
      </c>
      <c r="N193" s="18"/>
      <c r="O193" s="135" t="s">
        <v>2244</v>
      </c>
      <c r="P193" s="134" t="s">
        <v>2236</v>
      </c>
      <c r="Q193" s="14"/>
      <c r="R193" s="15"/>
      <c r="S193" s="15" t="s">
        <v>1073</v>
      </c>
      <c r="T193" s="15">
        <v>2</v>
      </c>
      <c r="U193" s="32" t="str">
        <f t="shared" si="15"/>
        <v>根</v>
      </c>
      <c r="V193" s="14"/>
      <c r="W193" s="35"/>
      <c r="X193" s="32">
        <f t="shared" si="16"/>
        <v>6</v>
      </c>
      <c r="Y193" s="32" t="str">
        <f t="shared" si="17"/>
        <v>根</v>
      </c>
      <c r="Z193" s="14"/>
      <c r="AA193" s="15"/>
      <c r="AB193" s="101"/>
    </row>
    <row r="194" spans="1:28" s="45" customFormat="1" ht="19.899999999999999" customHeight="1" x14ac:dyDescent="0.3">
      <c r="A194" s="34">
        <v>191</v>
      </c>
      <c r="B194" s="12" t="s">
        <v>521</v>
      </c>
      <c r="C194" s="29" t="s">
        <v>2</v>
      </c>
      <c r="D194" s="32" t="str">
        <f t="shared" si="13"/>
        <v>玻璃仪器</v>
      </c>
      <c r="E194" s="18" t="s">
        <v>256</v>
      </c>
      <c r="F194" s="18" t="s">
        <v>7</v>
      </c>
      <c r="G194" s="15"/>
      <c r="H194" s="15"/>
      <c r="I194" s="15"/>
      <c r="J194" s="29" t="s">
        <v>821</v>
      </c>
      <c r="K194" s="16">
        <v>12</v>
      </c>
      <c r="L194" s="36" t="s">
        <v>831</v>
      </c>
      <c r="M194" s="32" t="str">
        <f t="shared" si="14"/>
        <v>常规</v>
      </c>
      <c r="N194" s="18"/>
      <c r="O194" s="135" t="s">
        <v>2244</v>
      </c>
      <c r="P194" s="134" t="s">
        <v>2236</v>
      </c>
      <c r="Q194" s="14"/>
      <c r="R194" s="15"/>
      <c r="S194" s="15" t="s">
        <v>1072</v>
      </c>
      <c r="T194" s="15">
        <v>4</v>
      </c>
      <c r="U194" s="32" t="str">
        <f t="shared" si="15"/>
        <v>根</v>
      </c>
      <c r="V194" s="14"/>
      <c r="W194" s="35"/>
      <c r="X194" s="32">
        <f t="shared" si="16"/>
        <v>8</v>
      </c>
      <c r="Y194" s="32" t="str">
        <f t="shared" si="17"/>
        <v>根</v>
      </c>
      <c r="Z194" s="14"/>
      <c r="AA194" s="15"/>
      <c r="AB194" s="101"/>
    </row>
    <row r="195" spans="1:28" s="45" customFormat="1" ht="19.899999999999999" customHeight="1" x14ac:dyDescent="0.3">
      <c r="A195" s="34">
        <v>192</v>
      </c>
      <c r="B195" s="12" t="s">
        <v>521</v>
      </c>
      <c r="C195" s="29" t="s">
        <v>2</v>
      </c>
      <c r="D195" s="32" t="str">
        <f t="shared" si="13"/>
        <v>玻璃仪器</v>
      </c>
      <c r="E195" s="18" t="s">
        <v>256</v>
      </c>
      <c r="F195" s="18" t="s">
        <v>16</v>
      </c>
      <c r="G195" s="15"/>
      <c r="H195" s="15"/>
      <c r="I195" s="15"/>
      <c r="J195" s="29" t="s">
        <v>821</v>
      </c>
      <c r="K195" s="16">
        <v>8</v>
      </c>
      <c r="L195" s="36" t="s">
        <v>831</v>
      </c>
      <c r="M195" s="32" t="str">
        <f t="shared" si="14"/>
        <v>常规</v>
      </c>
      <c r="N195" s="18"/>
      <c r="O195" s="135" t="s">
        <v>2244</v>
      </c>
      <c r="P195" s="134" t="s">
        <v>2236</v>
      </c>
      <c r="Q195" s="14"/>
      <c r="R195" s="15"/>
      <c r="S195" s="15" t="s">
        <v>2084</v>
      </c>
      <c r="T195" s="15">
        <v>6</v>
      </c>
      <c r="U195" s="32" t="str">
        <f t="shared" si="15"/>
        <v>根</v>
      </c>
      <c r="V195" s="14"/>
      <c r="W195" s="35"/>
      <c r="X195" s="32">
        <f t="shared" si="16"/>
        <v>2</v>
      </c>
      <c r="Y195" s="32" t="str">
        <f t="shared" si="17"/>
        <v>根</v>
      </c>
      <c r="Z195" s="14"/>
      <c r="AA195" s="15"/>
      <c r="AB195" s="101"/>
    </row>
    <row r="196" spans="1:28" s="45" customFormat="1" ht="19.899999999999999" customHeight="1" x14ac:dyDescent="0.3">
      <c r="A196" s="34">
        <v>193</v>
      </c>
      <c r="B196" s="12" t="s">
        <v>521</v>
      </c>
      <c r="C196" s="29" t="s">
        <v>2</v>
      </c>
      <c r="D196" s="32" t="str">
        <f t="shared" si="13"/>
        <v>玻璃仪器</v>
      </c>
      <c r="E196" s="18" t="s">
        <v>256</v>
      </c>
      <c r="F196" s="18" t="s">
        <v>8</v>
      </c>
      <c r="G196" s="15"/>
      <c r="H196" s="15"/>
      <c r="I196" s="15"/>
      <c r="J196" s="29" t="s">
        <v>821</v>
      </c>
      <c r="K196" s="16">
        <v>4</v>
      </c>
      <c r="L196" s="36" t="s">
        <v>831</v>
      </c>
      <c r="M196" s="32" t="str">
        <f t="shared" si="14"/>
        <v>常规</v>
      </c>
      <c r="N196" s="18"/>
      <c r="O196" s="135" t="s">
        <v>2244</v>
      </c>
      <c r="P196" s="134" t="s">
        <v>2236</v>
      </c>
      <c r="Q196" s="14"/>
      <c r="R196" s="15"/>
      <c r="S196" s="60"/>
      <c r="T196" s="15"/>
      <c r="U196" s="32" t="str">
        <f t="shared" si="15"/>
        <v>根</v>
      </c>
      <c r="V196" s="14"/>
      <c r="W196" s="35"/>
      <c r="X196" s="32">
        <f t="shared" si="16"/>
        <v>4</v>
      </c>
      <c r="Y196" s="32" t="str">
        <f t="shared" si="17"/>
        <v>根</v>
      </c>
      <c r="Z196" s="14"/>
      <c r="AA196" s="15"/>
      <c r="AB196" s="101"/>
    </row>
    <row r="197" spans="1:28" s="45" customFormat="1" ht="19.899999999999999" customHeight="1" x14ac:dyDescent="0.3">
      <c r="A197" s="34">
        <v>194</v>
      </c>
      <c r="B197" s="12" t="s">
        <v>521</v>
      </c>
      <c r="C197" s="29" t="s">
        <v>2</v>
      </c>
      <c r="D197" s="32" t="str">
        <f t="shared" si="13"/>
        <v>玻璃仪器</v>
      </c>
      <c r="E197" s="14" t="s">
        <v>256</v>
      </c>
      <c r="F197" s="16" t="s">
        <v>18</v>
      </c>
      <c r="G197" s="15"/>
      <c r="H197" s="15"/>
      <c r="I197" s="15"/>
      <c r="J197" s="29" t="s">
        <v>821</v>
      </c>
      <c r="K197" s="16">
        <v>1</v>
      </c>
      <c r="L197" s="29" t="s">
        <v>831</v>
      </c>
      <c r="M197" s="32" t="str">
        <f t="shared" si="14"/>
        <v>常规</v>
      </c>
      <c r="N197" s="18"/>
      <c r="O197" s="135" t="s">
        <v>2244</v>
      </c>
      <c r="P197" s="134" t="s">
        <v>2236</v>
      </c>
      <c r="Q197" s="14"/>
      <c r="R197" s="15"/>
      <c r="S197" s="15"/>
      <c r="T197" s="15"/>
      <c r="U197" s="32" t="str">
        <f t="shared" si="15"/>
        <v>根</v>
      </c>
      <c r="V197" s="14"/>
      <c r="W197" s="35"/>
      <c r="X197" s="32">
        <f t="shared" si="16"/>
        <v>1</v>
      </c>
      <c r="Y197" s="32" t="str">
        <f t="shared" si="17"/>
        <v>根</v>
      </c>
      <c r="Z197" s="14"/>
      <c r="AA197" s="15"/>
      <c r="AB197" s="101"/>
    </row>
    <row r="198" spans="1:28" s="45" customFormat="1" ht="19.899999999999999" customHeight="1" x14ac:dyDescent="0.3">
      <c r="A198" s="34">
        <v>195</v>
      </c>
      <c r="B198" s="12" t="s">
        <v>523</v>
      </c>
      <c r="C198" s="29" t="s">
        <v>2</v>
      </c>
      <c r="D198" s="32" t="str">
        <f t="shared" si="13"/>
        <v>玻璃仪器</v>
      </c>
      <c r="E198" s="14" t="s">
        <v>256</v>
      </c>
      <c r="F198" s="14" t="s">
        <v>524</v>
      </c>
      <c r="G198" s="15"/>
      <c r="H198" s="15"/>
      <c r="I198" s="15"/>
      <c r="J198" s="29" t="s">
        <v>821</v>
      </c>
      <c r="K198" s="16">
        <v>16</v>
      </c>
      <c r="L198" s="29" t="s">
        <v>823</v>
      </c>
      <c r="M198" s="32" t="str">
        <f t="shared" si="14"/>
        <v>常规</v>
      </c>
      <c r="N198" s="18" t="s">
        <v>2134</v>
      </c>
      <c r="O198" s="135" t="s">
        <v>2244</v>
      </c>
      <c r="P198" s="134" t="s">
        <v>2236</v>
      </c>
      <c r="Q198" s="14"/>
      <c r="R198" s="15"/>
      <c r="S198" s="15" t="s">
        <v>1067</v>
      </c>
      <c r="T198" s="15">
        <v>4</v>
      </c>
      <c r="U198" s="32" t="str">
        <f t="shared" si="15"/>
        <v>个</v>
      </c>
      <c r="V198" s="14"/>
      <c r="W198" s="35"/>
      <c r="X198" s="32">
        <f t="shared" si="16"/>
        <v>12</v>
      </c>
      <c r="Y198" s="32" t="str">
        <f t="shared" si="17"/>
        <v>个</v>
      </c>
      <c r="Z198" s="14"/>
      <c r="AA198" s="15"/>
      <c r="AB198" s="101"/>
    </row>
    <row r="199" spans="1:28" s="45" customFormat="1" ht="19.899999999999999" customHeight="1" x14ac:dyDescent="0.3">
      <c r="A199" s="34">
        <v>196</v>
      </c>
      <c r="B199" s="12" t="s">
        <v>525</v>
      </c>
      <c r="C199" s="29" t="s">
        <v>2</v>
      </c>
      <c r="D199" s="32" t="str">
        <f t="shared" ref="D199:D262" si="23">IF(C199="J1","常规化学品",IF(C199="J2","危险化学品",IF(C199="J3","标准物质",IF(C199="J4","玻璃仪器",IF(C199="J5","实验气体",IF(C199="J6","专用物耗",IF(C199="J7","备品配件",IF(C199="J8","专用工具",IF(C199="Z1","劳保物资",IF(C199="Z2","办公耗材",IF(C199="Z3","食品饮料",IF(C199="Z4","特殊物耗",IF(C199="Z5","通用物耗",IF(C199="Z6","通用工具",""))))))))))))))</f>
        <v>玻璃仪器</v>
      </c>
      <c r="E199" s="14"/>
      <c r="F199" s="14" t="s">
        <v>526</v>
      </c>
      <c r="G199" s="15"/>
      <c r="H199" s="15"/>
      <c r="I199" s="15"/>
      <c r="J199" s="29" t="s">
        <v>821</v>
      </c>
      <c r="K199" s="18">
        <v>3</v>
      </c>
      <c r="L199" s="29" t="s">
        <v>823</v>
      </c>
      <c r="M199" s="32" t="str">
        <f t="shared" ref="M199:M262" si="24">IF(D199="危险化学品","五双",IF(D199="标准物资","严控",IF(D199&lt;&gt;"","常规","")))</f>
        <v>常规</v>
      </c>
      <c r="N199" s="18"/>
      <c r="O199" s="135" t="s">
        <v>2244</v>
      </c>
      <c r="P199" s="134" t="s">
        <v>2236</v>
      </c>
      <c r="Q199" s="14"/>
      <c r="R199" s="15"/>
      <c r="S199" s="15" t="s">
        <v>952</v>
      </c>
      <c r="T199" s="15">
        <v>1</v>
      </c>
      <c r="U199" s="32" t="str">
        <f t="shared" ref="U199:U267" si="25">IF(L199="","",L199)</f>
        <v>个</v>
      </c>
      <c r="V199" s="14"/>
      <c r="W199" s="35"/>
      <c r="X199" s="32">
        <f t="shared" ref="X199:X261" si="26">IF((K199-T199)&lt;=0,"",K199-T199)</f>
        <v>2</v>
      </c>
      <c r="Y199" s="32" t="str">
        <f t="shared" ref="Y199:Y262" si="27">IF(L199="","",L199)</f>
        <v>个</v>
      </c>
      <c r="Z199" s="14"/>
      <c r="AA199" s="15"/>
      <c r="AB199" s="101"/>
    </row>
    <row r="200" spans="1:28" s="45" customFormat="1" ht="19.899999999999999" customHeight="1" x14ac:dyDescent="0.3">
      <c r="A200" s="34">
        <v>197</v>
      </c>
      <c r="B200" s="12" t="s">
        <v>527</v>
      </c>
      <c r="C200" s="29" t="s">
        <v>2</v>
      </c>
      <c r="D200" s="32" t="str">
        <f t="shared" si="23"/>
        <v>玻璃仪器</v>
      </c>
      <c r="E200" s="14"/>
      <c r="F200" s="16" t="s">
        <v>528</v>
      </c>
      <c r="G200" s="15"/>
      <c r="H200" s="15"/>
      <c r="I200" s="15"/>
      <c r="J200" s="29" t="s">
        <v>821</v>
      </c>
      <c r="K200" s="18">
        <v>9</v>
      </c>
      <c r="L200" s="37" t="s">
        <v>823</v>
      </c>
      <c r="M200" s="32" t="str">
        <f t="shared" si="24"/>
        <v>常规</v>
      </c>
      <c r="N200" s="18" t="s">
        <v>2135</v>
      </c>
      <c r="O200" s="135" t="s">
        <v>2244</v>
      </c>
      <c r="P200" s="134" t="s">
        <v>2236</v>
      </c>
      <c r="Q200" s="18"/>
      <c r="R200" s="15"/>
      <c r="S200" s="15" t="s">
        <v>956</v>
      </c>
      <c r="T200" s="15">
        <v>1</v>
      </c>
      <c r="U200" s="32" t="str">
        <f t="shared" si="25"/>
        <v>个</v>
      </c>
      <c r="V200" s="18"/>
      <c r="W200" s="35"/>
      <c r="X200" s="32">
        <f t="shared" si="26"/>
        <v>8</v>
      </c>
      <c r="Y200" s="32" t="str">
        <f t="shared" si="27"/>
        <v>个</v>
      </c>
      <c r="Z200" s="18"/>
      <c r="AA200" s="15"/>
      <c r="AB200" s="101"/>
    </row>
    <row r="201" spans="1:28" s="45" customFormat="1" ht="19.899999999999999" customHeight="1" x14ac:dyDescent="0.3">
      <c r="A201" s="34">
        <v>198</v>
      </c>
      <c r="B201" s="12" t="s">
        <v>529</v>
      </c>
      <c r="C201" s="29" t="s">
        <v>2</v>
      </c>
      <c r="D201" s="32" t="str">
        <f t="shared" si="23"/>
        <v>玻璃仪器</v>
      </c>
      <c r="E201" s="14" t="s">
        <v>358</v>
      </c>
      <c r="F201" s="14" t="s">
        <v>530</v>
      </c>
      <c r="G201" s="15"/>
      <c r="H201" s="15"/>
      <c r="I201" s="15"/>
      <c r="J201" s="29" t="s">
        <v>821</v>
      </c>
      <c r="K201" s="16">
        <v>10</v>
      </c>
      <c r="L201" s="29" t="s">
        <v>823</v>
      </c>
      <c r="M201" s="32" t="str">
        <f t="shared" si="24"/>
        <v>常规</v>
      </c>
      <c r="N201" s="18"/>
      <c r="O201" s="135" t="s">
        <v>2244</v>
      </c>
      <c r="P201" s="134" t="s">
        <v>2236</v>
      </c>
      <c r="Q201" s="14"/>
      <c r="R201" s="15"/>
      <c r="S201" s="15" t="s">
        <v>1077</v>
      </c>
      <c r="T201" s="15">
        <v>1</v>
      </c>
      <c r="U201" s="32" t="str">
        <f t="shared" si="25"/>
        <v>个</v>
      </c>
      <c r="V201" s="14"/>
      <c r="W201" s="35"/>
      <c r="X201" s="32">
        <f t="shared" si="26"/>
        <v>9</v>
      </c>
      <c r="Y201" s="32" t="str">
        <f t="shared" si="27"/>
        <v>个</v>
      </c>
      <c r="Z201" s="14"/>
      <c r="AA201" s="15"/>
      <c r="AB201" s="101"/>
    </row>
    <row r="202" spans="1:28" s="45" customFormat="1" ht="19.899999999999999" customHeight="1" x14ac:dyDescent="0.3">
      <c r="A202" s="34">
        <v>199</v>
      </c>
      <c r="B202" s="12" t="s">
        <v>535</v>
      </c>
      <c r="C202" s="29" t="s">
        <v>2</v>
      </c>
      <c r="D202" s="32" t="str">
        <f t="shared" si="23"/>
        <v>玻璃仪器</v>
      </c>
      <c r="E202" s="18" t="s">
        <v>256</v>
      </c>
      <c r="F202" s="18" t="s">
        <v>14</v>
      </c>
      <c r="G202" s="15"/>
      <c r="H202" s="15"/>
      <c r="I202" s="15"/>
      <c r="J202" s="29" t="s">
        <v>821</v>
      </c>
      <c r="K202" s="16">
        <v>10</v>
      </c>
      <c r="L202" s="36" t="s">
        <v>831</v>
      </c>
      <c r="M202" s="32" t="str">
        <f t="shared" si="24"/>
        <v>常规</v>
      </c>
      <c r="N202" s="18" t="s">
        <v>536</v>
      </c>
      <c r="O202" s="135" t="s">
        <v>2244</v>
      </c>
      <c r="P202" s="134" t="s">
        <v>2237</v>
      </c>
      <c r="Q202" s="14"/>
      <c r="R202" s="15"/>
      <c r="S202" s="15" t="s">
        <v>2082</v>
      </c>
      <c r="T202" s="15">
        <v>7</v>
      </c>
      <c r="U202" s="32" t="str">
        <f t="shared" si="25"/>
        <v>根</v>
      </c>
      <c r="V202" s="14"/>
      <c r="W202" s="35"/>
      <c r="X202" s="32">
        <f t="shared" si="26"/>
        <v>3</v>
      </c>
      <c r="Y202" s="32" t="str">
        <f t="shared" si="27"/>
        <v>根</v>
      </c>
      <c r="Z202" s="14"/>
      <c r="AA202" s="15"/>
      <c r="AB202" s="101"/>
    </row>
    <row r="203" spans="1:28" s="45" customFormat="1" ht="19.899999999999999" customHeight="1" x14ac:dyDescent="0.3">
      <c r="A203" s="34">
        <v>200</v>
      </c>
      <c r="B203" s="12" t="s">
        <v>535</v>
      </c>
      <c r="C203" s="29" t="s">
        <v>2</v>
      </c>
      <c r="D203" s="32" t="str">
        <f t="shared" si="23"/>
        <v>玻璃仪器</v>
      </c>
      <c r="E203" s="18" t="s">
        <v>256</v>
      </c>
      <c r="F203" s="18" t="s">
        <v>15</v>
      </c>
      <c r="G203" s="15"/>
      <c r="H203" s="15"/>
      <c r="I203" s="15"/>
      <c r="J203" s="29" t="s">
        <v>821</v>
      </c>
      <c r="K203" s="16">
        <v>18</v>
      </c>
      <c r="L203" s="36" t="s">
        <v>831</v>
      </c>
      <c r="M203" s="32" t="str">
        <f t="shared" si="24"/>
        <v>常规</v>
      </c>
      <c r="N203" s="18" t="s">
        <v>536</v>
      </c>
      <c r="O203" s="135" t="s">
        <v>2244</v>
      </c>
      <c r="P203" s="134" t="s">
        <v>2237</v>
      </c>
      <c r="Q203" s="14"/>
      <c r="R203" s="15"/>
      <c r="S203" s="15" t="s">
        <v>1258</v>
      </c>
      <c r="T203" s="15">
        <v>4</v>
      </c>
      <c r="U203" s="32" t="str">
        <f t="shared" si="25"/>
        <v>根</v>
      </c>
      <c r="V203" s="14"/>
      <c r="W203" s="35"/>
      <c r="X203" s="32">
        <f t="shared" si="26"/>
        <v>14</v>
      </c>
      <c r="Y203" s="32" t="str">
        <f t="shared" si="27"/>
        <v>根</v>
      </c>
      <c r="Z203" s="14"/>
      <c r="AA203" s="15"/>
      <c r="AB203" s="101"/>
    </row>
    <row r="204" spans="1:28" s="45" customFormat="1" ht="19.899999999999999" customHeight="1" x14ac:dyDescent="0.3">
      <c r="A204" s="34">
        <v>201</v>
      </c>
      <c r="B204" s="12" t="s">
        <v>535</v>
      </c>
      <c r="C204" s="29" t="s">
        <v>2</v>
      </c>
      <c r="D204" s="32" t="str">
        <f t="shared" si="23"/>
        <v>玻璃仪器</v>
      </c>
      <c r="E204" s="18" t="s">
        <v>256</v>
      </c>
      <c r="F204" s="18" t="s">
        <v>24</v>
      </c>
      <c r="G204" s="15"/>
      <c r="H204" s="15"/>
      <c r="I204" s="15"/>
      <c r="J204" s="29" t="s">
        <v>821</v>
      </c>
      <c r="K204" s="16">
        <v>21</v>
      </c>
      <c r="L204" s="36" t="s">
        <v>831</v>
      </c>
      <c r="M204" s="32" t="str">
        <f t="shared" si="24"/>
        <v>常规</v>
      </c>
      <c r="N204" s="18" t="s">
        <v>536</v>
      </c>
      <c r="O204" s="135" t="s">
        <v>2244</v>
      </c>
      <c r="P204" s="134" t="s">
        <v>2237</v>
      </c>
      <c r="Q204" s="14"/>
      <c r="R204" s="15"/>
      <c r="S204" s="15" t="s">
        <v>1069</v>
      </c>
      <c r="T204" s="15">
        <v>2</v>
      </c>
      <c r="U204" s="32" t="str">
        <f t="shared" si="25"/>
        <v>根</v>
      </c>
      <c r="V204" s="14"/>
      <c r="W204" s="35"/>
      <c r="X204" s="32">
        <f t="shared" si="26"/>
        <v>19</v>
      </c>
      <c r="Y204" s="32" t="str">
        <f t="shared" si="27"/>
        <v>根</v>
      </c>
      <c r="Z204" s="14"/>
      <c r="AA204" s="15"/>
      <c r="AB204" s="101"/>
    </row>
    <row r="205" spans="1:28" s="45" customFormat="1" ht="19.899999999999999" customHeight="1" x14ac:dyDescent="0.3">
      <c r="A205" s="34">
        <v>202</v>
      </c>
      <c r="B205" s="12" t="s">
        <v>535</v>
      </c>
      <c r="C205" s="29" t="s">
        <v>2</v>
      </c>
      <c r="D205" s="32" t="str">
        <f t="shared" si="23"/>
        <v>玻璃仪器</v>
      </c>
      <c r="E205" s="18" t="s">
        <v>256</v>
      </c>
      <c r="F205" s="18" t="s">
        <v>7</v>
      </c>
      <c r="G205" s="15"/>
      <c r="H205" s="15"/>
      <c r="I205" s="15"/>
      <c r="J205" s="29" t="s">
        <v>821</v>
      </c>
      <c r="K205" s="16">
        <v>8</v>
      </c>
      <c r="L205" s="36" t="s">
        <v>831</v>
      </c>
      <c r="M205" s="32" t="str">
        <f t="shared" si="24"/>
        <v>常规</v>
      </c>
      <c r="N205" s="18" t="s">
        <v>536</v>
      </c>
      <c r="O205" s="135" t="s">
        <v>2244</v>
      </c>
      <c r="P205" s="134" t="s">
        <v>2237</v>
      </c>
      <c r="Q205" s="14"/>
      <c r="R205" s="15"/>
      <c r="S205" s="15" t="s">
        <v>1070</v>
      </c>
      <c r="T205" s="15">
        <v>2</v>
      </c>
      <c r="U205" s="32" t="str">
        <f t="shared" si="25"/>
        <v>根</v>
      </c>
      <c r="V205" s="14"/>
      <c r="W205" s="35"/>
      <c r="X205" s="32">
        <f t="shared" si="26"/>
        <v>6</v>
      </c>
      <c r="Y205" s="32" t="str">
        <f t="shared" si="27"/>
        <v>根</v>
      </c>
      <c r="Z205" s="14"/>
      <c r="AA205" s="15"/>
      <c r="AB205" s="101"/>
    </row>
    <row r="206" spans="1:28" s="45" customFormat="1" ht="19.899999999999999" customHeight="1" x14ac:dyDescent="0.3">
      <c r="A206" s="34">
        <v>203</v>
      </c>
      <c r="B206" s="12" t="s">
        <v>535</v>
      </c>
      <c r="C206" s="29" t="s">
        <v>2</v>
      </c>
      <c r="D206" s="32" t="str">
        <f t="shared" si="23"/>
        <v>玻璃仪器</v>
      </c>
      <c r="E206" s="18" t="s">
        <v>256</v>
      </c>
      <c r="F206" s="18" t="s">
        <v>16</v>
      </c>
      <c r="G206" s="15"/>
      <c r="H206" s="15"/>
      <c r="I206" s="15"/>
      <c r="J206" s="29" t="s">
        <v>821</v>
      </c>
      <c r="K206" s="16">
        <v>9</v>
      </c>
      <c r="L206" s="36" t="s">
        <v>831</v>
      </c>
      <c r="M206" s="32" t="str">
        <f t="shared" si="24"/>
        <v>常规</v>
      </c>
      <c r="N206" s="18" t="s">
        <v>536</v>
      </c>
      <c r="O206" s="135" t="s">
        <v>2244</v>
      </c>
      <c r="P206" s="134" t="s">
        <v>2237</v>
      </c>
      <c r="Q206" s="14"/>
      <c r="R206" s="15"/>
      <c r="S206" s="15"/>
      <c r="T206" s="15"/>
      <c r="U206" s="32" t="str">
        <f t="shared" si="25"/>
        <v>根</v>
      </c>
      <c r="V206" s="14"/>
      <c r="W206" s="35"/>
      <c r="X206" s="32">
        <f t="shared" si="26"/>
        <v>9</v>
      </c>
      <c r="Y206" s="32" t="str">
        <f t="shared" si="27"/>
        <v>根</v>
      </c>
      <c r="Z206" s="14"/>
      <c r="AA206" s="15"/>
      <c r="AB206" s="101"/>
    </row>
    <row r="207" spans="1:28" s="45" customFormat="1" ht="19.899999999999999" customHeight="1" x14ac:dyDescent="0.3">
      <c r="A207" s="34">
        <v>204</v>
      </c>
      <c r="B207" s="12" t="s">
        <v>535</v>
      </c>
      <c r="C207" s="29" t="s">
        <v>2</v>
      </c>
      <c r="D207" s="32" t="str">
        <f t="shared" si="23"/>
        <v>玻璃仪器</v>
      </c>
      <c r="E207" s="18" t="s">
        <v>256</v>
      </c>
      <c r="F207" s="18" t="s">
        <v>25</v>
      </c>
      <c r="G207" s="15"/>
      <c r="H207" s="15"/>
      <c r="I207" s="15"/>
      <c r="J207" s="29" t="s">
        <v>821</v>
      </c>
      <c r="K207" s="16">
        <v>11</v>
      </c>
      <c r="L207" s="36" t="s">
        <v>831</v>
      </c>
      <c r="M207" s="32" t="str">
        <f t="shared" si="24"/>
        <v>常规</v>
      </c>
      <c r="N207" s="18" t="s">
        <v>536</v>
      </c>
      <c r="O207" s="135" t="s">
        <v>2244</v>
      </c>
      <c r="P207" s="134" t="s">
        <v>2237</v>
      </c>
      <c r="Q207" s="14"/>
      <c r="R207" s="15"/>
      <c r="S207" s="15"/>
      <c r="T207" s="15"/>
      <c r="U207" s="32" t="str">
        <f t="shared" si="25"/>
        <v>根</v>
      </c>
      <c r="V207" s="14"/>
      <c r="W207" s="35"/>
      <c r="X207" s="32">
        <f t="shared" si="26"/>
        <v>11</v>
      </c>
      <c r="Y207" s="32" t="str">
        <f t="shared" si="27"/>
        <v>根</v>
      </c>
      <c r="Z207" s="14"/>
      <c r="AA207" s="15"/>
      <c r="AB207" s="101"/>
    </row>
    <row r="208" spans="1:28" s="45" customFormat="1" ht="19.899999999999999" customHeight="1" x14ac:dyDescent="0.3">
      <c r="A208" s="34">
        <v>205</v>
      </c>
      <c r="B208" s="12" t="s">
        <v>535</v>
      </c>
      <c r="C208" s="29" t="s">
        <v>2</v>
      </c>
      <c r="D208" s="32" t="str">
        <f t="shared" si="23"/>
        <v>玻璃仪器</v>
      </c>
      <c r="E208" s="18" t="s">
        <v>256</v>
      </c>
      <c r="F208" s="18" t="s">
        <v>26</v>
      </c>
      <c r="G208" s="15"/>
      <c r="H208" s="15"/>
      <c r="I208" s="15"/>
      <c r="J208" s="29" t="s">
        <v>821</v>
      </c>
      <c r="K208" s="16">
        <v>10</v>
      </c>
      <c r="L208" s="36" t="s">
        <v>831</v>
      </c>
      <c r="M208" s="32" t="str">
        <f t="shared" si="24"/>
        <v>常规</v>
      </c>
      <c r="N208" s="18" t="s">
        <v>536</v>
      </c>
      <c r="O208" s="135" t="s">
        <v>2244</v>
      </c>
      <c r="P208" s="134" t="s">
        <v>2237</v>
      </c>
      <c r="Q208" s="14"/>
      <c r="R208" s="15"/>
      <c r="S208" s="15" t="s">
        <v>1071</v>
      </c>
      <c r="T208" s="15">
        <v>2</v>
      </c>
      <c r="U208" s="32" t="str">
        <f t="shared" si="25"/>
        <v>根</v>
      </c>
      <c r="V208" s="14"/>
      <c r="W208" s="35"/>
      <c r="X208" s="32">
        <f t="shared" si="26"/>
        <v>8</v>
      </c>
      <c r="Y208" s="32" t="str">
        <f t="shared" si="27"/>
        <v>根</v>
      </c>
      <c r="Z208" s="14"/>
      <c r="AA208" s="15"/>
      <c r="AB208" s="101"/>
    </row>
    <row r="209" spans="1:28" s="45" customFormat="1" ht="19.899999999999999" customHeight="1" x14ac:dyDescent="0.3">
      <c r="A209" s="34">
        <v>206</v>
      </c>
      <c r="B209" s="12" t="s">
        <v>535</v>
      </c>
      <c r="C209" s="29" t="s">
        <v>2</v>
      </c>
      <c r="D209" s="32" t="str">
        <f t="shared" si="23"/>
        <v>玻璃仪器</v>
      </c>
      <c r="E209" s="18" t="s">
        <v>256</v>
      </c>
      <c r="F209" s="18" t="s">
        <v>8</v>
      </c>
      <c r="G209" s="15"/>
      <c r="H209" s="15"/>
      <c r="I209" s="15"/>
      <c r="J209" s="29" t="s">
        <v>821</v>
      </c>
      <c r="K209" s="16">
        <v>6</v>
      </c>
      <c r="L209" s="36" t="s">
        <v>831</v>
      </c>
      <c r="M209" s="32" t="str">
        <f t="shared" si="24"/>
        <v>常规</v>
      </c>
      <c r="N209" s="18" t="s">
        <v>536</v>
      </c>
      <c r="O209" s="135" t="s">
        <v>2244</v>
      </c>
      <c r="P209" s="134" t="s">
        <v>2237</v>
      </c>
      <c r="Q209" s="14"/>
      <c r="R209" s="15"/>
      <c r="S209" s="15" t="s">
        <v>1068</v>
      </c>
      <c r="T209" s="15">
        <v>2</v>
      </c>
      <c r="U209" s="32" t="str">
        <f t="shared" si="25"/>
        <v>根</v>
      </c>
      <c r="V209" s="14"/>
      <c r="W209" s="35"/>
      <c r="X209" s="32">
        <f t="shared" si="26"/>
        <v>4</v>
      </c>
      <c r="Y209" s="32" t="str">
        <f t="shared" si="27"/>
        <v>根</v>
      </c>
      <c r="Z209" s="14"/>
      <c r="AA209" s="15"/>
      <c r="AB209" s="101"/>
    </row>
    <row r="210" spans="1:28" s="45" customFormat="1" ht="19.899999999999999" customHeight="1" x14ac:dyDescent="0.3">
      <c r="A210" s="34">
        <v>207</v>
      </c>
      <c r="B210" s="12" t="s">
        <v>535</v>
      </c>
      <c r="C210" s="29" t="s">
        <v>2</v>
      </c>
      <c r="D210" s="32" t="str">
        <f t="shared" si="23"/>
        <v>玻璃仪器</v>
      </c>
      <c r="E210" s="18" t="s">
        <v>256</v>
      </c>
      <c r="F210" s="18" t="s">
        <v>18</v>
      </c>
      <c r="G210" s="15"/>
      <c r="H210" s="15"/>
      <c r="I210" s="15"/>
      <c r="J210" s="29" t="s">
        <v>821</v>
      </c>
      <c r="K210" s="16">
        <v>10</v>
      </c>
      <c r="L210" s="36" t="s">
        <v>831</v>
      </c>
      <c r="M210" s="32" t="str">
        <f t="shared" si="24"/>
        <v>常规</v>
      </c>
      <c r="N210" s="18" t="s">
        <v>536</v>
      </c>
      <c r="O210" s="135" t="s">
        <v>2244</v>
      </c>
      <c r="P210" s="134" t="s">
        <v>2237</v>
      </c>
      <c r="Q210" s="14"/>
      <c r="R210" s="15"/>
      <c r="S210" s="15" t="s">
        <v>2083</v>
      </c>
      <c r="T210" s="15">
        <v>2</v>
      </c>
      <c r="U210" s="32" t="str">
        <f t="shared" si="25"/>
        <v>根</v>
      </c>
      <c r="V210" s="14"/>
      <c r="W210" s="35"/>
      <c r="X210" s="32">
        <f t="shared" si="26"/>
        <v>8</v>
      </c>
      <c r="Y210" s="32" t="str">
        <f t="shared" si="27"/>
        <v>根</v>
      </c>
      <c r="Z210" s="14"/>
      <c r="AA210" s="15"/>
      <c r="AB210" s="101"/>
    </row>
    <row r="211" spans="1:28" s="45" customFormat="1" ht="19.899999999999999" customHeight="1" x14ac:dyDescent="0.3">
      <c r="A211" s="34">
        <v>208</v>
      </c>
      <c r="B211" s="12" t="s">
        <v>537</v>
      </c>
      <c r="C211" s="29" t="s">
        <v>2</v>
      </c>
      <c r="D211" s="32" t="str">
        <f t="shared" si="23"/>
        <v>玻璃仪器</v>
      </c>
      <c r="E211" s="14" t="s">
        <v>256</v>
      </c>
      <c r="F211" s="14" t="s">
        <v>16</v>
      </c>
      <c r="G211" s="15"/>
      <c r="H211" s="15"/>
      <c r="I211" s="15"/>
      <c r="J211" s="29" t="s">
        <v>821</v>
      </c>
      <c r="K211" s="18">
        <v>4</v>
      </c>
      <c r="L211" s="37" t="s">
        <v>823</v>
      </c>
      <c r="M211" s="32" t="str">
        <f t="shared" si="24"/>
        <v>常规</v>
      </c>
      <c r="N211" s="18"/>
      <c r="O211" s="135" t="s">
        <v>2244</v>
      </c>
      <c r="P211" s="134" t="s">
        <v>2237</v>
      </c>
      <c r="Q211" s="14"/>
      <c r="R211" s="15"/>
      <c r="S211" s="15"/>
      <c r="T211" s="15"/>
      <c r="U211" s="32" t="str">
        <f t="shared" si="25"/>
        <v>个</v>
      </c>
      <c r="V211" s="14"/>
      <c r="W211" s="35"/>
      <c r="X211" s="32">
        <f t="shared" si="26"/>
        <v>4</v>
      </c>
      <c r="Y211" s="32" t="str">
        <f t="shared" si="27"/>
        <v>个</v>
      </c>
      <c r="Z211" s="14"/>
      <c r="AA211" s="15"/>
      <c r="AB211" s="101"/>
    </row>
    <row r="212" spans="1:28" s="45" customFormat="1" ht="19.899999999999999" customHeight="1" x14ac:dyDescent="0.3">
      <c r="A212" s="34">
        <v>209</v>
      </c>
      <c r="B212" s="12" t="s">
        <v>537</v>
      </c>
      <c r="C212" s="29" t="s">
        <v>2</v>
      </c>
      <c r="D212" s="32" t="str">
        <f t="shared" si="23"/>
        <v>玻璃仪器</v>
      </c>
      <c r="E212" s="14" t="s">
        <v>256</v>
      </c>
      <c r="F212" s="12" t="s">
        <v>8</v>
      </c>
      <c r="G212" s="15"/>
      <c r="H212" s="15"/>
      <c r="I212" s="15"/>
      <c r="J212" s="29" t="s">
        <v>821</v>
      </c>
      <c r="K212" s="18">
        <v>3</v>
      </c>
      <c r="L212" s="37" t="s">
        <v>823</v>
      </c>
      <c r="M212" s="32" t="str">
        <f t="shared" si="24"/>
        <v>常规</v>
      </c>
      <c r="N212" s="18"/>
      <c r="O212" s="135" t="s">
        <v>2244</v>
      </c>
      <c r="P212" s="134" t="s">
        <v>2237</v>
      </c>
      <c r="Q212" s="14"/>
      <c r="R212" s="15"/>
      <c r="S212" s="15" t="s">
        <v>944</v>
      </c>
      <c r="T212" s="15">
        <v>1</v>
      </c>
      <c r="U212" s="32" t="str">
        <f t="shared" si="25"/>
        <v>个</v>
      </c>
      <c r="V212" s="14"/>
      <c r="W212" s="35"/>
      <c r="X212" s="32">
        <f t="shared" si="26"/>
        <v>2</v>
      </c>
      <c r="Y212" s="32" t="str">
        <f t="shared" si="27"/>
        <v>个</v>
      </c>
      <c r="Z212" s="14"/>
      <c r="AA212" s="15"/>
      <c r="AB212" s="101"/>
    </row>
    <row r="213" spans="1:28" s="45" customFormat="1" ht="19.899999999999999" customHeight="1" x14ac:dyDescent="0.3">
      <c r="A213" s="34">
        <v>210</v>
      </c>
      <c r="B213" s="12" t="s">
        <v>537</v>
      </c>
      <c r="C213" s="29" t="s">
        <v>2</v>
      </c>
      <c r="D213" s="32" t="str">
        <f t="shared" si="23"/>
        <v>玻璃仪器</v>
      </c>
      <c r="E213" s="14" t="s">
        <v>256</v>
      </c>
      <c r="F213" s="14" t="s">
        <v>18</v>
      </c>
      <c r="G213" s="15"/>
      <c r="H213" s="15"/>
      <c r="I213" s="15"/>
      <c r="J213" s="29" t="s">
        <v>821</v>
      </c>
      <c r="K213" s="16">
        <v>2</v>
      </c>
      <c r="L213" s="37" t="s">
        <v>823</v>
      </c>
      <c r="M213" s="32" t="str">
        <f t="shared" si="24"/>
        <v>常规</v>
      </c>
      <c r="N213" s="18"/>
      <c r="O213" s="135" t="s">
        <v>2244</v>
      </c>
      <c r="P213" s="134" t="s">
        <v>2237</v>
      </c>
      <c r="Q213" s="14"/>
      <c r="R213" s="15"/>
      <c r="S213" s="15" t="s">
        <v>945</v>
      </c>
      <c r="T213" s="15">
        <v>1</v>
      </c>
      <c r="U213" s="32" t="str">
        <f t="shared" si="25"/>
        <v>个</v>
      </c>
      <c r="V213" s="14"/>
      <c r="W213" s="35"/>
      <c r="X213" s="32">
        <f t="shared" si="26"/>
        <v>1</v>
      </c>
      <c r="Y213" s="32" t="str">
        <f t="shared" si="27"/>
        <v>个</v>
      </c>
      <c r="Z213" s="14"/>
      <c r="AA213" s="15"/>
      <c r="AB213" s="101"/>
    </row>
    <row r="214" spans="1:28" s="45" customFormat="1" ht="19.899999999999999" customHeight="1" x14ac:dyDescent="0.3">
      <c r="A214" s="34">
        <v>211</v>
      </c>
      <c r="B214" s="12" t="s">
        <v>537</v>
      </c>
      <c r="C214" s="29" t="s">
        <v>2</v>
      </c>
      <c r="D214" s="32" t="str">
        <f t="shared" si="23"/>
        <v>玻璃仪器</v>
      </c>
      <c r="E214" s="14" t="s">
        <v>256</v>
      </c>
      <c r="F214" s="14" t="s">
        <v>19</v>
      </c>
      <c r="G214" s="15"/>
      <c r="H214" s="15"/>
      <c r="I214" s="15"/>
      <c r="J214" s="29" t="s">
        <v>821</v>
      </c>
      <c r="K214" s="16">
        <v>5</v>
      </c>
      <c r="L214" s="37" t="s">
        <v>823</v>
      </c>
      <c r="M214" s="32" t="str">
        <f t="shared" si="24"/>
        <v>常规</v>
      </c>
      <c r="N214" s="18"/>
      <c r="O214" s="135" t="s">
        <v>2244</v>
      </c>
      <c r="P214" s="134" t="s">
        <v>2237</v>
      </c>
      <c r="Q214" s="14"/>
      <c r="R214" s="15"/>
      <c r="S214" s="15" t="s">
        <v>1259</v>
      </c>
      <c r="T214" s="15">
        <v>3</v>
      </c>
      <c r="U214" s="32" t="str">
        <f t="shared" si="25"/>
        <v>个</v>
      </c>
      <c r="V214" s="14"/>
      <c r="W214" s="35"/>
      <c r="X214" s="32">
        <f t="shared" si="26"/>
        <v>2</v>
      </c>
      <c r="Y214" s="32" t="str">
        <f t="shared" si="27"/>
        <v>个</v>
      </c>
      <c r="Z214" s="14"/>
      <c r="AA214" s="15"/>
      <c r="AB214" s="101"/>
    </row>
    <row r="215" spans="1:28" s="45" customFormat="1" ht="19.899999999999999" customHeight="1" x14ac:dyDescent="0.3">
      <c r="A215" s="34">
        <v>212</v>
      </c>
      <c r="B215" s="12" t="s">
        <v>537</v>
      </c>
      <c r="C215" s="29" t="s">
        <v>2</v>
      </c>
      <c r="D215" s="32" t="str">
        <f t="shared" si="23"/>
        <v>玻璃仪器</v>
      </c>
      <c r="E215" s="14" t="s">
        <v>256</v>
      </c>
      <c r="F215" s="14" t="s">
        <v>2117</v>
      </c>
      <c r="G215" s="15"/>
      <c r="H215" s="15"/>
      <c r="I215" s="15"/>
      <c r="J215" s="29" t="s">
        <v>821</v>
      </c>
      <c r="K215" s="16">
        <v>7</v>
      </c>
      <c r="L215" s="37" t="s">
        <v>823</v>
      </c>
      <c r="M215" s="32" t="str">
        <f t="shared" si="24"/>
        <v>常规</v>
      </c>
      <c r="N215" s="18"/>
      <c r="O215" s="135" t="s">
        <v>2244</v>
      </c>
      <c r="P215" s="134" t="s">
        <v>2237</v>
      </c>
      <c r="Q215" s="14"/>
      <c r="R215" s="15"/>
      <c r="S215" s="15" t="s">
        <v>1074</v>
      </c>
      <c r="T215" s="15">
        <v>1</v>
      </c>
      <c r="U215" s="32" t="str">
        <f t="shared" si="25"/>
        <v>个</v>
      </c>
      <c r="V215" s="14"/>
      <c r="W215" s="35"/>
      <c r="X215" s="32">
        <f t="shared" si="26"/>
        <v>6</v>
      </c>
      <c r="Y215" s="32" t="str">
        <f t="shared" si="27"/>
        <v>个</v>
      </c>
      <c r="Z215" s="14"/>
      <c r="AA215" s="15"/>
      <c r="AB215" s="101"/>
    </row>
    <row r="216" spans="1:28" s="45" customFormat="1" ht="19.899999999999999" customHeight="1" x14ac:dyDescent="0.3">
      <c r="A216" s="34">
        <v>213</v>
      </c>
      <c r="B216" s="12" t="s">
        <v>537</v>
      </c>
      <c r="C216" s="29" t="s">
        <v>2</v>
      </c>
      <c r="D216" s="32" t="str">
        <f t="shared" si="23"/>
        <v>玻璃仪器</v>
      </c>
      <c r="E216" s="14" t="s">
        <v>256</v>
      </c>
      <c r="F216" s="14" t="s">
        <v>20</v>
      </c>
      <c r="G216" s="15"/>
      <c r="H216" s="15"/>
      <c r="I216" s="15"/>
      <c r="J216" s="29" t="s">
        <v>821</v>
      </c>
      <c r="K216" s="16">
        <v>1</v>
      </c>
      <c r="L216" s="37" t="s">
        <v>823</v>
      </c>
      <c r="M216" s="32" t="str">
        <f t="shared" si="24"/>
        <v>常规</v>
      </c>
      <c r="N216" s="18"/>
      <c r="O216" s="135" t="s">
        <v>2244</v>
      </c>
      <c r="P216" s="134" t="s">
        <v>2237</v>
      </c>
      <c r="Q216" s="14"/>
      <c r="R216" s="15"/>
      <c r="S216" s="15"/>
      <c r="T216" s="15"/>
      <c r="U216" s="32" t="str">
        <f t="shared" si="25"/>
        <v>个</v>
      </c>
      <c r="V216" s="14"/>
      <c r="W216" s="35"/>
      <c r="X216" s="32">
        <f t="shared" si="26"/>
        <v>1</v>
      </c>
      <c r="Y216" s="32" t="str">
        <f t="shared" si="27"/>
        <v>个</v>
      </c>
      <c r="Z216" s="14"/>
      <c r="AA216" s="15"/>
      <c r="AB216" s="101"/>
    </row>
    <row r="217" spans="1:28" s="212" customFormat="1" ht="19.899999999999999" customHeight="1" x14ac:dyDescent="0.3">
      <c r="A217" s="201">
        <v>214</v>
      </c>
      <c r="B217" s="202" t="s">
        <v>544</v>
      </c>
      <c r="C217" s="203" t="s">
        <v>2</v>
      </c>
      <c r="D217" s="204" t="str">
        <f t="shared" si="23"/>
        <v>玻璃仪器</v>
      </c>
      <c r="E217" s="205"/>
      <c r="F217" s="205" t="s">
        <v>73</v>
      </c>
      <c r="G217" s="206"/>
      <c r="H217" s="206"/>
      <c r="I217" s="206"/>
      <c r="J217" s="203" t="s">
        <v>821</v>
      </c>
      <c r="K217" s="250">
        <v>71</v>
      </c>
      <c r="L217" s="203" t="s">
        <v>823</v>
      </c>
      <c r="M217" s="204" t="str">
        <f t="shared" si="24"/>
        <v>常规</v>
      </c>
      <c r="N217" s="205" t="s">
        <v>545</v>
      </c>
      <c r="O217" s="208" t="s">
        <v>2245</v>
      </c>
      <c r="P217" s="209" t="s">
        <v>2236</v>
      </c>
      <c r="Q217" s="205"/>
      <c r="R217" s="206"/>
      <c r="S217" s="206" t="s">
        <v>920</v>
      </c>
      <c r="T217" s="206">
        <v>71</v>
      </c>
      <c r="U217" s="204" t="str">
        <f t="shared" si="25"/>
        <v>个</v>
      </c>
      <c r="V217" s="205"/>
      <c r="W217" s="210"/>
      <c r="X217" s="204" t="str">
        <f t="shared" si="26"/>
        <v/>
      </c>
      <c r="Y217" s="204" t="str">
        <f t="shared" si="27"/>
        <v>个</v>
      </c>
      <c r="Z217" s="205"/>
      <c r="AA217" s="206"/>
      <c r="AB217" s="211"/>
    </row>
    <row r="218" spans="1:28" s="45" customFormat="1" ht="19.899999999999999" customHeight="1" x14ac:dyDescent="0.3">
      <c r="A218" s="34">
        <v>215</v>
      </c>
      <c r="B218" s="12" t="s">
        <v>601</v>
      </c>
      <c r="C218" s="29" t="s">
        <v>2</v>
      </c>
      <c r="D218" s="32" t="str">
        <f t="shared" si="23"/>
        <v>玻璃仪器</v>
      </c>
      <c r="E218" s="14" t="s">
        <v>256</v>
      </c>
      <c r="F218" s="14" t="s">
        <v>21</v>
      </c>
      <c r="G218" s="15"/>
      <c r="H218" s="15"/>
      <c r="I218" s="15"/>
      <c r="J218" s="29" t="s">
        <v>821</v>
      </c>
      <c r="K218" s="18">
        <v>8</v>
      </c>
      <c r="L218" s="29" t="s">
        <v>823</v>
      </c>
      <c r="M218" s="32" t="str">
        <f t="shared" si="24"/>
        <v>常规</v>
      </c>
      <c r="N218" s="18"/>
      <c r="O218" s="135" t="s">
        <v>2246</v>
      </c>
      <c r="P218" s="134" t="s">
        <v>2237</v>
      </c>
      <c r="Q218" s="14"/>
      <c r="R218" s="15"/>
      <c r="S218" s="15"/>
      <c r="T218" s="15"/>
      <c r="U218" s="32" t="str">
        <f t="shared" si="25"/>
        <v>个</v>
      </c>
      <c r="V218" s="14"/>
      <c r="W218" s="35"/>
      <c r="X218" s="32">
        <f t="shared" si="26"/>
        <v>8</v>
      </c>
      <c r="Y218" s="32" t="str">
        <f t="shared" si="27"/>
        <v>个</v>
      </c>
      <c r="Z218" s="14"/>
      <c r="AA218" s="15"/>
      <c r="AB218" s="101"/>
    </row>
    <row r="219" spans="1:28" s="45" customFormat="1" ht="19.899999999999999" customHeight="1" x14ac:dyDescent="0.3">
      <c r="A219" s="34">
        <v>216</v>
      </c>
      <c r="B219" s="12" t="s">
        <v>601</v>
      </c>
      <c r="C219" s="29" t="s">
        <v>2</v>
      </c>
      <c r="D219" s="32" t="str">
        <f t="shared" si="23"/>
        <v>玻璃仪器</v>
      </c>
      <c r="E219" s="14" t="s">
        <v>256</v>
      </c>
      <c r="F219" s="14" t="s">
        <v>79</v>
      </c>
      <c r="G219" s="15"/>
      <c r="H219" s="15"/>
      <c r="I219" s="15"/>
      <c r="J219" s="29" t="s">
        <v>821</v>
      </c>
      <c r="K219" s="18">
        <v>7</v>
      </c>
      <c r="L219" s="29" t="s">
        <v>823</v>
      </c>
      <c r="M219" s="32" t="str">
        <f t="shared" si="24"/>
        <v>常规</v>
      </c>
      <c r="N219" s="18"/>
      <c r="O219" s="135" t="s">
        <v>2246</v>
      </c>
      <c r="P219" s="134" t="s">
        <v>2237</v>
      </c>
      <c r="Q219" s="14"/>
      <c r="R219" s="15"/>
      <c r="S219" s="15" t="s">
        <v>2091</v>
      </c>
      <c r="T219" s="15">
        <v>1</v>
      </c>
      <c r="U219" s="32" t="str">
        <f t="shared" si="25"/>
        <v>个</v>
      </c>
      <c r="V219" s="14"/>
      <c r="W219" s="35"/>
      <c r="X219" s="32">
        <f t="shared" si="26"/>
        <v>6</v>
      </c>
      <c r="Y219" s="32" t="str">
        <f t="shared" si="27"/>
        <v>个</v>
      </c>
      <c r="Z219" s="14"/>
      <c r="AA219" s="15"/>
      <c r="AB219" s="101"/>
    </row>
    <row r="220" spans="1:28" s="45" customFormat="1" ht="19.899999999999999" customHeight="1" x14ac:dyDescent="0.3">
      <c r="A220" s="34">
        <v>217</v>
      </c>
      <c r="B220" s="12" t="s">
        <v>601</v>
      </c>
      <c r="C220" s="29" t="s">
        <v>2</v>
      </c>
      <c r="D220" s="32" t="str">
        <f t="shared" si="23"/>
        <v>玻璃仪器</v>
      </c>
      <c r="E220" s="14" t="s">
        <v>256</v>
      </c>
      <c r="F220" s="14" t="s">
        <v>80</v>
      </c>
      <c r="G220" s="15"/>
      <c r="H220" s="15"/>
      <c r="I220" s="15"/>
      <c r="J220" s="29" t="s">
        <v>821</v>
      </c>
      <c r="K220" s="18">
        <v>1</v>
      </c>
      <c r="L220" s="29" t="s">
        <v>823</v>
      </c>
      <c r="M220" s="32" t="str">
        <f t="shared" si="24"/>
        <v>常规</v>
      </c>
      <c r="N220" s="18"/>
      <c r="O220" s="135" t="s">
        <v>2246</v>
      </c>
      <c r="P220" s="134" t="s">
        <v>2237</v>
      </c>
      <c r="Q220" s="14"/>
      <c r="R220" s="15"/>
      <c r="S220" s="15"/>
      <c r="T220" s="15"/>
      <c r="U220" s="32" t="str">
        <f t="shared" si="25"/>
        <v>个</v>
      </c>
      <c r="V220" s="14"/>
      <c r="W220" s="35"/>
      <c r="X220" s="32">
        <f t="shared" si="26"/>
        <v>1</v>
      </c>
      <c r="Y220" s="32" t="str">
        <f t="shared" si="27"/>
        <v>个</v>
      </c>
      <c r="Z220" s="14"/>
      <c r="AA220" s="15"/>
      <c r="AB220" s="101"/>
    </row>
    <row r="221" spans="1:28" s="45" customFormat="1" ht="19.899999999999999" customHeight="1" x14ac:dyDescent="0.3">
      <c r="A221" s="34">
        <v>218</v>
      </c>
      <c r="B221" s="12" t="s">
        <v>601</v>
      </c>
      <c r="C221" s="29" t="s">
        <v>2</v>
      </c>
      <c r="D221" s="32" t="str">
        <f t="shared" si="23"/>
        <v>玻璃仪器</v>
      </c>
      <c r="E221" s="14" t="s">
        <v>256</v>
      </c>
      <c r="F221" s="14" t="s">
        <v>81</v>
      </c>
      <c r="G221" s="15"/>
      <c r="H221" s="15"/>
      <c r="I221" s="15"/>
      <c r="J221" s="29" t="s">
        <v>821</v>
      </c>
      <c r="K221" s="16">
        <v>1</v>
      </c>
      <c r="L221" s="29" t="s">
        <v>823</v>
      </c>
      <c r="M221" s="32" t="str">
        <f t="shared" si="24"/>
        <v>常规</v>
      </c>
      <c r="N221" s="14"/>
      <c r="O221" s="135" t="s">
        <v>2246</v>
      </c>
      <c r="P221" s="134" t="s">
        <v>2237</v>
      </c>
      <c r="Q221" s="14"/>
      <c r="R221" s="15"/>
      <c r="S221" s="15"/>
      <c r="T221" s="15"/>
      <c r="U221" s="32" t="str">
        <f t="shared" si="25"/>
        <v>个</v>
      </c>
      <c r="V221" s="14"/>
      <c r="W221" s="35"/>
      <c r="X221" s="32">
        <f t="shared" si="26"/>
        <v>1</v>
      </c>
      <c r="Y221" s="32" t="str">
        <f t="shared" si="27"/>
        <v>个</v>
      </c>
      <c r="Z221" s="14"/>
      <c r="AA221" s="15"/>
      <c r="AB221" s="101"/>
    </row>
    <row r="222" spans="1:28" s="45" customFormat="1" ht="19.899999999999999" customHeight="1" x14ac:dyDescent="0.3">
      <c r="A222" s="34">
        <v>219</v>
      </c>
      <c r="B222" s="12" t="s">
        <v>601</v>
      </c>
      <c r="C222" s="29" t="s">
        <v>2</v>
      </c>
      <c r="D222" s="32" t="str">
        <f t="shared" si="23"/>
        <v>玻璃仪器</v>
      </c>
      <c r="E222" s="14" t="s">
        <v>256</v>
      </c>
      <c r="F222" s="14" t="s">
        <v>82</v>
      </c>
      <c r="G222" s="15"/>
      <c r="H222" s="15"/>
      <c r="I222" s="15"/>
      <c r="J222" s="29" t="s">
        <v>821</v>
      </c>
      <c r="K222" s="16">
        <v>3</v>
      </c>
      <c r="L222" s="29" t="s">
        <v>823</v>
      </c>
      <c r="M222" s="32" t="str">
        <f t="shared" si="24"/>
        <v>常规</v>
      </c>
      <c r="N222" s="18"/>
      <c r="O222" s="135" t="s">
        <v>2246</v>
      </c>
      <c r="P222" s="134" t="s">
        <v>2237</v>
      </c>
      <c r="Q222" s="14"/>
      <c r="R222" s="15"/>
      <c r="S222" s="15"/>
      <c r="T222" s="15"/>
      <c r="U222" s="32" t="str">
        <f t="shared" si="25"/>
        <v>个</v>
      </c>
      <c r="V222" s="14"/>
      <c r="W222" s="35"/>
      <c r="X222" s="32">
        <f t="shared" si="26"/>
        <v>3</v>
      </c>
      <c r="Y222" s="32" t="str">
        <f t="shared" si="27"/>
        <v>个</v>
      </c>
      <c r="Z222" s="14"/>
      <c r="AA222" s="15"/>
      <c r="AB222" s="101"/>
    </row>
    <row r="223" spans="1:28" s="45" customFormat="1" ht="19.899999999999999" customHeight="1" x14ac:dyDescent="0.3">
      <c r="A223" s="34">
        <v>220</v>
      </c>
      <c r="B223" s="12" t="s">
        <v>601</v>
      </c>
      <c r="C223" s="29" t="s">
        <v>2</v>
      </c>
      <c r="D223" s="32" t="str">
        <f t="shared" si="23"/>
        <v>玻璃仪器</v>
      </c>
      <c r="E223" s="14" t="s">
        <v>256</v>
      </c>
      <c r="F223" s="14" t="s">
        <v>83</v>
      </c>
      <c r="G223" s="15"/>
      <c r="H223" s="15"/>
      <c r="I223" s="15"/>
      <c r="J223" s="29" t="s">
        <v>821</v>
      </c>
      <c r="K223" s="16">
        <v>4</v>
      </c>
      <c r="L223" s="29" t="s">
        <v>823</v>
      </c>
      <c r="M223" s="32" t="str">
        <f t="shared" si="24"/>
        <v>常规</v>
      </c>
      <c r="N223" s="14"/>
      <c r="O223" s="135" t="s">
        <v>2246</v>
      </c>
      <c r="P223" s="134" t="s">
        <v>2237</v>
      </c>
      <c r="Q223" s="14"/>
      <c r="R223" s="15"/>
      <c r="S223" s="15"/>
      <c r="T223" s="15"/>
      <c r="U223" s="32" t="str">
        <f t="shared" si="25"/>
        <v>个</v>
      </c>
      <c r="V223" s="14"/>
      <c r="W223" s="35"/>
      <c r="X223" s="32">
        <f t="shared" si="26"/>
        <v>4</v>
      </c>
      <c r="Y223" s="32" t="str">
        <f t="shared" si="27"/>
        <v>个</v>
      </c>
      <c r="Z223" s="14"/>
      <c r="AA223" s="15"/>
      <c r="AB223" s="101"/>
    </row>
    <row r="224" spans="1:28" s="45" customFormat="1" ht="19.899999999999999" customHeight="1" x14ac:dyDescent="0.3">
      <c r="A224" s="34">
        <v>221</v>
      </c>
      <c r="B224" s="12" t="s">
        <v>601</v>
      </c>
      <c r="C224" s="29" t="s">
        <v>2</v>
      </c>
      <c r="D224" s="32" t="str">
        <f t="shared" si="23"/>
        <v>玻璃仪器</v>
      </c>
      <c r="E224" s="14"/>
      <c r="F224" s="14" t="s">
        <v>84</v>
      </c>
      <c r="G224" s="15"/>
      <c r="H224" s="15"/>
      <c r="I224" s="15"/>
      <c r="J224" s="29" t="s">
        <v>821</v>
      </c>
      <c r="K224" s="16">
        <v>2</v>
      </c>
      <c r="L224" s="29" t="s">
        <v>823</v>
      </c>
      <c r="M224" s="32" t="str">
        <f t="shared" si="24"/>
        <v>常规</v>
      </c>
      <c r="N224" s="18"/>
      <c r="O224" s="135" t="s">
        <v>2246</v>
      </c>
      <c r="P224" s="134" t="s">
        <v>2237</v>
      </c>
      <c r="Q224" s="14"/>
      <c r="R224" s="15"/>
      <c r="S224" s="15"/>
      <c r="T224" s="15"/>
      <c r="U224" s="32" t="str">
        <f t="shared" si="25"/>
        <v>个</v>
      </c>
      <c r="V224" s="14"/>
      <c r="W224" s="35"/>
      <c r="X224" s="32">
        <f t="shared" si="26"/>
        <v>2</v>
      </c>
      <c r="Y224" s="32" t="str">
        <f t="shared" si="27"/>
        <v>个</v>
      </c>
      <c r="Z224" s="14"/>
      <c r="AA224" s="15"/>
      <c r="AB224" s="101"/>
    </row>
    <row r="225" spans="1:28" s="45" customFormat="1" ht="19.899999999999999" customHeight="1" x14ac:dyDescent="0.3">
      <c r="A225" s="34">
        <v>222</v>
      </c>
      <c r="B225" s="12" t="s">
        <v>602</v>
      </c>
      <c r="C225" s="29" t="s">
        <v>2</v>
      </c>
      <c r="D225" s="32" t="str">
        <f t="shared" si="23"/>
        <v>玻璃仪器</v>
      </c>
      <c r="E225" s="14" t="s">
        <v>603</v>
      </c>
      <c r="F225" s="14" t="s">
        <v>85</v>
      </c>
      <c r="G225" s="15"/>
      <c r="H225" s="15"/>
      <c r="I225" s="15"/>
      <c r="J225" s="29" t="s">
        <v>821</v>
      </c>
      <c r="K225" s="18">
        <v>1</v>
      </c>
      <c r="L225" s="29" t="s">
        <v>824</v>
      </c>
      <c r="M225" s="32" t="str">
        <f t="shared" si="24"/>
        <v>常规</v>
      </c>
      <c r="N225" s="18"/>
      <c r="O225" s="135" t="s">
        <v>2247</v>
      </c>
      <c r="P225" s="134" t="s">
        <v>2237</v>
      </c>
      <c r="Q225" s="14"/>
      <c r="R225" s="15"/>
      <c r="S225" s="15"/>
      <c r="T225" s="15"/>
      <c r="U225" s="32" t="str">
        <f t="shared" si="25"/>
        <v>支</v>
      </c>
      <c r="V225" s="14"/>
      <c r="W225" s="35"/>
      <c r="X225" s="32">
        <f t="shared" si="26"/>
        <v>1</v>
      </c>
      <c r="Y225" s="32" t="str">
        <f t="shared" si="27"/>
        <v>支</v>
      </c>
      <c r="Z225" s="14"/>
      <c r="AA225" s="15"/>
      <c r="AB225" s="101"/>
    </row>
    <row r="226" spans="1:28" s="45" customFormat="1" ht="19.899999999999999" customHeight="1" x14ac:dyDescent="0.3">
      <c r="A226" s="34">
        <v>223</v>
      </c>
      <c r="B226" s="12" t="s">
        <v>604</v>
      </c>
      <c r="C226" s="29" t="s">
        <v>2</v>
      </c>
      <c r="D226" s="32" t="str">
        <f t="shared" si="23"/>
        <v>玻璃仪器</v>
      </c>
      <c r="E226" s="14" t="s">
        <v>256</v>
      </c>
      <c r="F226" s="14" t="s">
        <v>86</v>
      </c>
      <c r="G226" s="15"/>
      <c r="H226" s="15"/>
      <c r="I226" s="15"/>
      <c r="J226" s="29" t="s">
        <v>821</v>
      </c>
      <c r="K226" s="16">
        <v>1</v>
      </c>
      <c r="L226" s="29" t="s">
        <v>823</v>
      </c>
      <c r="M226" s="32" t="str">
        <f t="shared" si="24"/>
        <v>常规</v>
      </c>
      <c r="N226" s="18"/>
      <c r="O226" s="135" t="s">
        <v>2247</v>
      </c>
      <c r="P226" s="134" t="s">
        <v>2237</v>
      </c>
      <c r="Q226" s="14"/>
      <c r="R226" s="15"/>
      <c r="S226" s="15"/>
      <c r="T226" s="15"/>
      <c r="U226" s="32" t="str">
        <f t="shared" si="25"/>
        <v>个</v>
      </c>
      <c r="V226" s="14"/>
      <c r="W226" s="35"/>
      <c r="X226" s="32">
        <f t="shared" si="26"/>
        <v>1</v>
      </c>
      <c r="Y226" s="32" t="str">
        <f t="shared" si="27"/>
        <v>个</v>
      </c>
      <c r="Z226" s="14"/>
      <c r="AA226" s="15"/>
      <c r="AB226" s="101"/>
    </row>
    <row r="227" spans="1:28" s="45" customFormat="1" ht="19.899999999999999" customHeight="1" x14ac:dyDescent="0.3">
      <c r="A227" s="34">
        <v>224</v>
      </c>
      <c r="B227" s="12" t="s">
        <v>604</v>
      </c>
      <c r="C227" s="29" t="s">
        <v>2</v>
      </c>
      <c r="D227" s="32" t="str">
        <f t="shared" si="23"/>
        <v>玻璃仪器</v>
      </c>
      <c r="E227" s="14" t="s">
        <v>256</v>
      </c>
      <c r="F227" s="14" t="s">
        <v>87</v>
      </c>
      <c r="G227" s="15"/>
      <c r="H227" s="15"/>
      <c r="I227" s="15"/>
      <c r="J227" s="29" t="s">
        <v>821</v>
      </c>
      <c r="K227" s="16">
        <v>1</v>
      </c>
      <c r="L227" s="29" t="s">
        <v>823</v>
      </c>
      <c r="M227" s="32" t="str">
        <f t="shared" si="24"/>
        <v>常规</v>
      </c>
      <c r="N227" s="18"/>
      <c r="O227" s="135" t="s">
        <v>2247</v>
      </c>
      <c r="P227" s="134" t="s">
        <v>2237</v>
      </c>
      <c r="Q227" s="14"/>
      <c r="R227" s="15"/>
      <c r="S227" s="15"/>
      <c r="T227" s="15"/>
      <c r="U227" s="32" t="str">
        <f t="shared" si="25"/>
        <v>个</v>
      </c>
      <c r="V227" s="14"/>
      <c r="W227" s="35"/>
      <c r="X227" s="32">
        <f t="shared" si="26"/>
        <v>1</v>
      </c>
      <c r="Y227" s="32" t="str">
        <f t="shared" si="27"/>
        <v>个</v>
      </c>
      <c r="Z227" s="14"/>
      <c r="AA227" s="15"/>
      <c r="AB227" s="101"/>
    </row>
    <row r="228" spans="1:28" s="45" customFormat="1" ht="19.899999999999999" customHeight="1" x14ac:dyDescent="0.3">
      <c r="A228" s="34">
        <v>225</v>
      </c>
      <c r="B228" s="12" t="s">
        <v>604</v>
      </c>
      <c r="C228" s="29" t="s">
        <v>2</v>
      </c>
      <c r="D228" s="32" t="str">
        <f t="shared" si="23"/>
        <v>玻璃仪器</v>
      </c>
      <c r="E228" s="14" t="s">
        <v>256</v>
      </c>
      <c r="F228" s="14" t="s">
        <v>88</v>
      </c>
      <c r="G228" s="15"/>
      <c r="H228" s="15"/>
      <c r="I228" s="15"/>
      <c r="J228" s="29" t="s">
        <v>821</v>
      </c>
      <c r="K228" s="16">
        <v>1</v>
      </c>
      <c r="L228" s="29" t="s">
        <v>823</v>
      </c>
      <c r="M228" s="32" t="str">
        <f t="shared" si="24"/>
        <v>常规</v>
      </c>
      <c r="N228" s="18"/>
      <c r="O228" s="135" t="s">
        <v>2247</v>
      </c>
      <c r="P228" s="134" t="s">
        <v>2237</v>
      </c>
      <c r="Q228" s="14"/>
      <c r="R228" s="15"/>
      <c r="S228" s="15"/>
      <c r="T228" s="15"/>
      <c r="U228" s="32" t="str">
        <f t="shared" si="25"/>
        <v>个</v>
      </c>
      <c r="V228" s="14"/>
      <c r="W228" s="35"/>
      <c r="X228" s="32">
        <f t="shared" si="26"/>
        <v>1</v>
      </c>
      <c r="Y228" s="32" t="str">
        <f t="shared" si="27"/>
        <v>个</v>
      </c>
      <c r="Z228" s="14"/>
      <c r="AA228" s="15"/>
      <c r="AB228" s="101"/>
    </row>
    <row r="229" spans="1:28" s="45" customFormat="1" ht="19.899999999999999" customHeight="1" x14ac:dyDescent="0.3">
      <c r="A229" s="34">
        <v>226</v>
      </c>
      <c r="B229" s="12" t="s">
        <v>604</v>
      </c>
      <c r="C229" s="29" t="s">
        <v>2</v>
      </c>
      <c r="D229" s="32" t="str">
        <f t="shared" si="23"/>
        <v>玻璃仪器</v>
      </c>
      <c r="E229" s="14" t="s">
        <v>256</v>
      </c>
      <c r="F229" s="14" t="s">
        <v>89</v>
      </c>
      <c r="G229" s="15"/>
      <c r="H229" s="15"/>
      <c r="I229" s="15"/>
      <c r="J229" s="29" t="s">
        <v>821</v>
      </c>
      <c r="K229" s="16">
        <v>1</v>
      </c>
      <c r="L229" s="29" t="s">
        <v>823</v>
      </c>
      <c r="M229" s="32" t="str">
        <f t="shared" si="24"/>
        <v>常规</v>
      </c>
      <c r="N229" s="18"/>
      <c r="O229" s="135" t="s">
        <v>2247</v>
      </c>
      <c r="P229" s="134" t="s">
        <v>2237</v>
      </c>
      <c r="Q229" s="14"/>
      <c r="R229" s="15"/>
      <c r="S229" s="15"/>
      <c r="T229" s="15"/>
      <c r="U229" s="32" t="str">
        <f t="shared" si="25"/>
        <v>个</v>
      </c>
      <c r="V229" s="14"/>
      <c r="W229" s="35"/>
      <c r="X229" s="32">
        <f t="shared" si="26"/>
        <v>1</v>
      </c>
      <c r="Y229" s="32" t="str">
        <f t="shared" si="27"/>
        <v>个</v>
      </c>
      <c r="Z229" s="14"/>
      <c r="AA229" s="15"/>
      <c r="AB229" s="101"/>
    </row>
    <row r="230" spans="1:28" s="45" customFormat="1" ht="19.899999999999999" customHeight="1" x14ac:dyDescent="0.3">
      <c r="A230" s="34">
        <v>227</v>
      </c>
      <c r="B230" s="12" t="s">
        <v>604</v>
      </c>
      <c r="C230" s="29" t="s">
        <v>2</v>
      </c>
      <c r="D230" s="32" t="str">
        <f t="shared" si="23"/>
        <v>玻璃仪器</v>
      </c>
      <c r="E230" s="14" t="s">
        <v>256</v>
      </c>
      <c r="F230" s="14" t="s">
        <v>90</v>
      </c>
      <c r="G230" s="15"/>
      <c r="H230" s="15"/>
      <c r="I230" s="15"/>
      <c r="J230" s="29" t="s">
        <v>821</v>
      </c>
      <c r="K230" s="16">
        <v>1</v>
      </c>
      <c r="L230" s="29" t="s">
        <v>823</v>
      </c>
      <c r="M230" s="32" t="str">
        <f t="shared" si="24"/>
        <v>常规</v>
      </c>
      <c r="N230" s="18"/>
      <c r="O230" s="135" t="s">
        <v>2247</v>
      </c>
      <c r="P230" s="134" t="s">
        <v>2237</v>
      </c>
      <c r="Q230" s="14"/>
      <c r="R230" s="15"/>
      <c r="S230" s="15"/>
      <c r="T230" s="15"/>
      <c r="U230" s="32" t="str">
        <f t="shared" si="25"/>
        <v>个</v>
      </c>
      <c r="V230" s="14"/>
      <c r="W230" s="35"/>
      <c r="X230" s="32">
        <f t="shared" si="26"/>
        <v>1</v>
      </c>
      <c r="Y230" s="32" t="str">
        <f t="shared" si="27"/>
        <v>个</v>
      </c>
      <c r="Z230" s="14"/>
      <c r="AA230" s="15"/>
      <c r="AB230" s="101"/>
    </row>
    <row r="231" spans="1:28" s="45" customFormat="1" ht="19.899999999999999" customHeight="1" x14ac:dyDescent="0.3">
      <c r="A231" s="34">
        <v>228</v>
      </c>
      <c r="B231" s="89" t="s">
        <v>2416</v>
      </c>
      <c r="C231" s="29" t="s">
        <v>2</v>
      </c>
      <c r="D231" s="32" t="str">
        <f t="shared" si="23"/>
        <v>玻璃仪器</v>
      </c>
      <c r="E231" s="14" t="s">
        <v>256</v>
      </c>
      <c r="F231" s="14" t="s">
        <v>91</v>
      </c>
      <c r="G231" s="15"/>
      <c r="H231" s="15"/>
      <c r="I231" s="15"/>
      <c r="J231" s="29" t="s">
        <v>821</v>
      </c>
      <c r="K231" s="16">
        <v>1</v>
      </c>
      <c r="L231" s="29" t="s">
        <v>823</v>
      </c>
      <c r="M231" s="32" t="str">
        <f t="shared" si="24"/>
        <v>常规</v>
      </c>
      <c r="N231" s="18"/>
      <c r="O231" s="135" t="s">
        <v>2247</v>
      </c>
      <c r="P231" s="134" t="s">
        <v>2237</v>
      </c>
      <c r="Q231" s="14"/>
      <c r="R231" s="15"/>
      <c r="S231" s="15"/>
      <c r="T231" s="15"/>
      <c r="U231" s="32" t="str">
        <f t="shared" si="25"/>
        <v>个</v>
      </c>
      <c r="V231" s="14"/>
      <c r="W231" s="35"/>
      <c r="X231" s="32">
        <f t="shared" si="26"/>
        <v>1</v>
      </c>
      <c r="Y231" s="32" t="str">
        <f t="shared" si="27"/>
        <v>个</v>
      </c>
      <c r="Z231" s="14"/>
      <c r="AA231" s="15"/>
      <c r="AB231" s="101"/>
    </row>
    <row r="232" spans="1:28" s="45" customFormat="1" ht="19.899999999999999" customHeight="1" x14ac:dyDescent="0.3">
      <c r="A232" s="34">
        <v>229</v>
      </c>
      <c r="B232" s="89" t="s">
        <v>2416</v>
      </c>
      <c r="C232" s="29" t="s">
        <v>2</v>
      </c>
      <c r="D232" s="32" t="str">
        <f t="shared" si="23"/>
        <v>玻璃仪器</v>
      </c>
      <c r="E232" s="14" t="s">
        <v>256</v>
      </c>
      <c r="F232" s="14" t="s">
        <v>92</v>
      </c>
      <c r="G232" s="15"/>
      <c r="H232" s="15"/>
      <c r="I232" s="15"/>
      <c r="J232" s="29" t="s">
        <v>821</v>
      </c>
      <c r="K232" s="16">
        <v>1</v>
      </c>
      <c r="L232" s="29" t="s">
        <v>823</v>
      </c>
      <c r="M232" s="32" t="str">
        <f t="shared" si="24"/>
        <v>常规</v>
      </c>
      <c r="N232" s="18"/>
      <c r="O232" s="135" t="s">
        <v>2247</v>
      </c>
      <c r="P232" s="134" t="s">
        <v>2237</v>
      </c>
      <c r="Q232" s="14"/>
      <c r="R232" s="15"/>
      <c r="S232" s="15"/>
      <c r="T232" s="15"/>
      <c r="U232" s="32" t="str">
        <f t="shared" si="25"/>
        <v>个</v>
      </c>
      <c r="V232" s="14"/>
      <c r="W232" s="35"/>
      <c r="X232" s="32">
        <f t="shared" si="26"/>
        <v>1</v>
      </c>
      <c r="Y232" s="32" t="str">
        <f t="shared" si="27"/>
        <v>个</v>
      </c>
      <c r="Z232" s="14"/>
      <c r="AA232" s="15"/>
      <c r="AB232" s="101"/>
    </row>
    <row r="233" spans="1:28" s="45" customFormat="1" ht="19.899999999999999" customHeight="1" x14ac:dyDescent="0.3">
      <c r="A233" s="34">
        <v>230</v>
      </c>
      <c r="B233" s="89" t="s">
        <v>2416</v>
      </c>
      <c r="C233" s="29" t="s">
        <v>2</v>
      </c>
      <c r="D233" s="32" t="str">
        <f t="shared" si="23"/>
        <v>玻璃仪器</v>
      </c>
      <c r="E233" s="14" t="s">
        <v>256</v>
      </c>
      <c r="F233" s="14" t="s">
        <v>93</v>
      </c>
      <c r="G233" s="15"/>
      <c r="H233" s="15"/>
      <c r="I233" s="15"/>
      <c r="J233" s="29" t="s">
        <v>821</v>
      </c>
      <c r="K233" s="16">
        <v>1</v>
      </c>
      <c r="L233" s="29" t="s">
        <v>823</v>
      </c>
      <c r="M233" s="32" t="str">
        <f t="shared" si="24"/>
        <v>常规</v>
      </c>
      <c r="N233" s="18"/>
      <c r="O233" s="135" t="s">
        <v>2247</v>
      </c>
      <c r="P233" s="134" t="s">
        <v>2237</v>
      </c>
      <c r="Q233" s="14"/>
      <c r="R233" s="15"/>
      <c r="S233" s="15"/>
      <c r="T233" s="15"/>
      <c r="U233" s="32" t="str">
        <f t="shared" si="25"/>
        <v>个</v>
      </c>
      <c r="V233" s="14"/>
      <c r="W233" s="35"/>
      <c r="X233" s="32">
        <f t="shared" si="26"/>
        <v>1</v>
      </c>
      <c r="Y233" s="32" t="str">
        <f t="shared" si="27"/>
        <v>个</v>
      </c>
      <c r="Z233" s="14"/>
      <c r="AA233" s="15"/>
      <c r="AB233" s="101"/>
    </row>
    <row r="234" spans="1:28" s="45" customFormat="1" ht="19.899999999999999" customHeight="1" x14ac:dyDescent="0.3">
      <c r="A234" s="34">
        <v>231</v>
      </c>
      <c r="B234" s="12" t="s">
        <v>605</v>
      </c>
      <c r="C234" s="29" t="s">
        <v>2</v>
      </c>
      <c r="D234" s="32" t="str">
        <f t="shared" si="23"/>
        <v>玻璃仪器</v>
      </c>
      <c r="E234" s="18"/>
      <c r="F234" s="24" t="s">
        <v>606</v>
      </c>
      <c r="G234" s="15"/>
      <c r="H234" s="15"/>
      <c r="I234" s="15"/>
      <c r="J234" s="29" t="s">
        <v>821</v>
      </c>
      <c r="K234" s="16">
        <v>1</v>
      </c>
      <c r="L234" s="36" t="s">
        <v>831</v>
      </c>
      <c r="M234" s="32" t="str">
        <f t="shared" si="24"/>
        <v>常规</v>
      </c>
      <c r="N234" s="18"/>
      <c r="O234" s="135" t="s">
        <v>2247</v>
      </c>
      <c r="P234" s="134" t="s">
        <v>2237</v>
      </c>
      <c r="Q234" s="14"/>
      <c r="R234" s="15"/>
      <c r="S234" s="15"/>
      <c r="T234" s="15"/>
      <c r="U234" s="32" t="str">
        <f t="shared" si="25"/>
        <v>根</v>
      </c>
      <c r="V234" s="14"/>
      <c r="W234" s="35"/>
      <c r="X234" s="32">
        <f t="shared" si="26"/>
        <v>1</v>
      </c>
      <c r="Y234" s="32" t="str">
        <f t="shared" si="27"/>
        <v>根</v>
      </c>
      <c r="Z234" s="14"/>
      <c r="AA234" s="15"/>
      <c r="AB234" s="101"/>
    </row>
    <row r="235" spans="1:28" s="45" customFormat="1" ht="19.899999999999999" customHeight="1" x14ac:dyDescent="0.3">
      <c r="A235" s="34">
        <v>232</v>
      </c>
      <c r="B235" s="12" t="s">
        <v>605</v>
      </c>
      <c r="C235" s="29" t="s">
        <v>2</v>
      </c>
      <c r="D235" s="32" t="str">
        <f t="shared" si="23"/>
        <v>玻璃仪器</v>
      </c>
      <c r="E235" s="18"/>
      <c r="F235" s="24" t="s">
        <v>607</v>
      </c>
      <c r="G235" s="15"/>
      <c r="H235" s="15"/>
      <c r="I235" s="15"/>
      <c r="J235" s="29" t="s">
        <v>821</v>
      </c>
      <c r="K235" s="16">
        <v>1</v>
      </c>
      <c r="L235" s="36" t="s">
        <v>831</v>
      </c>
      <c r="M235" s="32" t="str">
        <f t="shared" si="24"/>
        <v>常规</v>
      </c>
      <c r="N235" s="18"/>
      <c r="O235" s="135" t="s">
        <v>2247</v>
      </c>
      <c r="P235" s="134" t="s">
        <v>2237</v>
      </c>
      <c r="Q235" s="14"/>
      <c r="R235" s="15"/>
      <c r="S235" s="15"/>
      <c r="T235" s="15"/>
      <c r="U235" s="32" t="str">
        <f t="shared" si="25"/>
        <v>根</v>
      </c>
      <c r="V235" s="14"/>
      <c r="W235" s="35"/>
      <c r="X235" s="32">
        <f t="shared" si="26"/>
        <v>1</v>
      </c>
      <c r="Y235" s="32" t="str">
        <f t="shared" si="27"/>
        <v>根</v>
      </c>
      <c r="Z235" s="14"/>
      <c r="AA235" s="15"/>
      <c r="AB235" s="101"/>
    </row>
    <row r="236" spans="1:28" s="45" customFormat="1" ht="19.899999999999999" customHeight="1" x14ac:dyDescent="0.3">
      <c r="A236" s="34">
        <v>233</v>
      </c>
      <c r="B236" s="12" t="s">
        <v>605</v>
      </c>
      <c r="C236" s="29" t="s">
        <v>2</v>
      </c>
      <c r="D236" s="32" t="str">
        <f t="shared" si="23"/>
        <v>玻璃仪器</v>
      </c>
      <c r="E236" s="18" t="s">
        <v>256</v>
      </c>
      <c r="F236" s="18" t="s">
        <v>608</v>
      </c>
      <c r="G236" s="15"/>
      <c r="H236" s="15"/>
      <c r="I236" s="15"/>
      <c r="J236" s="29" t="s">
        <v>821</v>
      </c>
      <c r="K236" s="16">
        <v>6</v>
      </c>
      <c r="L236" s="38" t="s">
        <v>831</v>
      </c>
      <c r="M236" s="32" t="str">
        <f t="shared" si="24"/>
        <v>常规</v>
      </c>
      <c r="N236" s="18"/>
      <c r="O236" s="135" t="s">
        <v>2247</v>
      </c>
      <c r="P236" s="134" t="s">
        <v>2237</v>
      </c>
      <c r="Q236" s="14"/>
      <c r="R236" s="15"/>
      <c r="S236" s="15"/>
      <c r="T236" s="15"/>
      <c r="U236" s="32" t="str">
        <f t="shared" si="25"/>
        <v>根</v>
      </c>
      <c r="V236" s="14"/>
      <c r="W236" s="35"/>
      <c r="X236" s="32">
        <f t="shared" si="26"/>
        <v>6</v>
      </c>
      <c r="Y236" s="32" t="str">
        <f t="shared" si="27"/>
        <v>根</v>
      </c>
      <c r="Z236" s="14"/>
      <c r="AA236" s="15"/>
      <c r="AB236" s="101"/>
    </row>
    <row r="237" spans="1:28" s="45" customFormat="1" ht="19.899999999999999" customHeight="1" x14ac:dyDescent="0.3">
      <c r="A237" s="34">
        <v>234</v>
      </c>
      <c r="B237" s="12" t="s">
        <v>610</v>
      </c>
      <c r="C237" s="29" t="s">
        <v>2</v>
      </c>
      <c r="D237" s="32" t="str">
        <f t="shared" si="23"/>
        <v>玻璃仪器</v>
      </c>
      <c r="E237" s="18" t="s">
        <v>256</v>
      </c>
      <c r="F237" s="14" t="s">
        <v>611</v>
      </c>
      <c r="G237" s="15"/>
      <c r="H237" s="15"/>
      <c r="I237" s="15"/>
      <c r="J237" s="29" t="s">
        <v>821</v>
      </c>
      <c r="K237" s="16">
        <v>21</v>
      </c>
      <c r="L237" s="29" t="s">
        <v>826</v>
      </c>
      <c r="M237" s="32" t="str">
        <f t="shared" si="24"/>
        <v>常规</v>
      </c>
      <c r="N237" s="18"/>
      <c r="O237" s="135" t="s">
        <v>2248</v>
      </c>
      <c r="P237" s="134" t="s">
        <v>2238</v>
      </c>
      <c r="Q237" s="14"/>
      <c r="R237" s="15"/>
      <c r="S237" s="15" t="s">
        <v>932</v>
      </c>
      <c r="T237" s="15">
        <v>4</v>
      </c>
      <c r="U237" s="32" t="str">
        <f t="shared" si="25"/>
        <v>盒</v>
      </c>
      <c r="V237" s="14"/>
      <c r="W237" s="35"/>
      <c r="X237" s="32">
        <f t="shared" si="26"/>
        <v>17</v>
      </c>
      <c r="Y237" s="32" t="str">
        <f t="shared" si="27"/>
        <v>盒</v>
      </c>
      <c r="Z237" s="14"/>
      <c r="AA237" s="15"/>
      <c r="AB237" s="101"/>
    </row>
    <row r="238" spans="1:28" s="45" customFormat="1" ht="19.899999999999999" customHeight="1" x14ac:dyDescent="0.3">
      <c r="A238" s="34">
        <v>235</v>
      </c>
      <c r="B238" s="12" t="s">
        <v>612</v>
      </c>
      <c r="C238" s="29" t="s">
        <v>2</v>
      </c>
      <c r="D238" s="32" t="str">
        <f t="shared" si="23"/>
        <v>玻璃仪器</v>
      </c>
      <c r="E238" s="14" t="s">
        <v>256</v>
      </c>
      <c r="F238" s="14" t="s">
        <v>613</v>
      </c>
      <c r="G238" s="15"/>
      <c r="H238" s="15"/>
      <c r="I238" s="15"/>
      <c r="J238" s="29" t="s">
        <v>821</v>
      </c>
      <c r="K238" s="16">
        <v>16</v>
      </c>
      <c r="L238" s="29" t="s">
        <v>826</v>
      </c>
      <c r="M238" s="32" t="str">
        <f t="shared" si="24"/>
        <v>常规</v>
      </c>
      <c r="N238" s="18"/>
      <c r="O238" s="135" t="s">
        <v>2248</v>
      </c>
      <c r="P238" s="134" t="s">
        <v>2238</v>
      </c>
      <c r="Q238" s="14"/>
      <c r="R238" s="15"/>
      <c r="S238" s="15"/>
      <c r="T238" s="15"/>
      <c r="U238" s="32" t="str">
        <f t="shared" si="25"/>
        <v>盒</v>
      </c>
      <c r="V238" s="14"/>
      <c r="W238" s="35"/>
      <c r="X238" s="32">
        <f t="shared" si="26"/>
        <v>16</v>
      </c>
      <c r="Y238" s="32" t="str">
        <f t="shared" si="27"/>
        <v>盒</v>
      </c>
      <c r="Z238" s="14"/>
      <c r="AA238" s="15"/>
      <c r="AB238" s="101"/>
    </row>
    <row r="239" spans="1:28" s="45" customFormat="1" ht="19.899999999999999" customHeight="1" x14ac:dyDescent="0.3">
      <c r="A239" s="34">
        <v>236</v>
      </c>
      <c r="B239" s="89" t="s">
        <v>1662</v>
      </c>
      <c r="C239" s="29" t="s">
        <v>2</v>
      </c>
      <c r="D239" s="32" t="str">
        <f t="shared" si="23"/>
        <v>玻璃仪器</v>
      </c>
      <c r="E239" s="18" t="s">
        <v>256</v>
      </c>
      <c r="F239" s="14" t="s">
        <v>14</v>
      </c>
      <c r="G239" s="15"/>
      <c r="H239" s="15"/>
      <c r="I239" s="15"/>
      <c r="J239" s="29" t="s">
        <v>821</v>
      </c>
      <c r="K239" s="16">
        <v>6</v>
      </c>
      <c r="L239" s="29" t="s">
        <v>823</v>
      </c>
      <c r="M239" s="32" t="str">
        <f t="shared" si="24"/>
        <v>常规</v>
      </c>
      <c r="N239" s="25"/>
      <c r="O239" s="135" t="s">
        <v>2247</v>
      </c>
      <c r="P239" s="134" t="s">
        <v>2237</v>
      </c>
      <c r="Q239" s="14"/>
      <c r="R239" s="15"/>
      <c r="S239" s="15"/>
      <c r="T239" s="15"/>
      <c r="U239" s="32" t="str">
        <f t="shared" si="25"/>
        <v>个</v>
      </c>
      <c r="V239" s="14"/>
      <c r="W239" s="35"/>
      <c r="X239" s="32">
        <f t="shared" si="26"/>
        <v>6</v>
      </c>
      <c r="Y239" s="32" t="str">
        <f t="shared" si="27"/>
        <v>个</v>
      </c>
      <c r="Z239" s="14"/>
      <c r="AA239" s="15"/>
      <c r="AB239" s="101"/>
    </row>
    <row r="240" spans="1:28" s="45" customFormat="1" ht="19.899999999999999" customHeight="1" x14ac:dyDescent="0.3">
      <c r="A240" s="34">
        <v>237</v>
      </c>
      <c r="B240" s="89" t="s">
        <v>1662</v>
      </c>
      <c r="C240" s="29" t="s">
        <v>2</v>
      </c>
      <c r="D240" s="32" t="str">
        <f t="shared" si="23"/>
        <v>玻璃仪器</v>
      </c>
      <c r="E240" s="18" t="s">
        <v>256</v>
      </c>
      <c r="F240" s="18" t="s">
        <v>7</v>
      </c>
      <c r="G240" s="15"/>
      <c r="H240" s="15"/>
      <c r="I240" s="15"/>
      <c r="J240" s="29" t="s">
        <v>821</v>
      </c>
      <c r="K240" s="16">
        <v>16</v>
      </c>
      <c r="L240" s="36" t="s">
        <v>823</v>
      </c>
      <c r="M240" s="32" t="str">
        <f t="shared" si="24"/>
        <v>常规</v>
      </c>
      <c r="N240" s="25"/>
      <c r="O240" s="135" t="s">
        <v>2247</v>
      </c>
      <c r="P240" s="134" t="s">
        <v>2237</v>
      </c>
      <c r="Q240" s="14"/>
      <c r="R240" s="15"/>
      <c r="S240" s="15"/>
      <c r="T240" s="15"/>
      <c r="U240" s="32" t="str">
        <f t="shared" si="25"/>
        <v>个</v>
      </c>
      <c r="V240" s="14"/>
      <c r="W240" s="35"/>
      <c r="X240" s="32">
        <f t="shared" si="26"/>
        <v>16</v>
      </c>
      <c r="Y240" s="32" t="str">
        <f t="shared" si="27"/>
        <v>个</v>
      </c>
      <c r="Z240" s="14"/>
      <c r="AA240" s="15"/>
      <c r="AB240" s="101"/>
    </row>
    <row r="241" spans="1:28" s="45" customFormat="1" ht="19.899999999999999" customHeight="1" x14ac:dyDescent="0.3">
      <c r="A241" s="34">
        <v>238</v>
      </c>
      <c r="B241" s="89" t="s">
        <v>1662</v>
      </c>
      <c r="C241" s="29" t="s">
        <v>2</v>
      </c>
      <c r="D241" s="32" t="str">
        <f t="shared" si="23"/>
        <v>玻璃仪器</v>
      </c>
      <c r="E241" s="18" t="s">
        <v>256</v>
      </c>
      <c r="F241" s="18" t="s">
        <v>16</v>
      </c>
      <c r="G241" s="15"/>
      <c r="H241" s="15"/>
      <c r="I241" s="15"/>
      <c r="J241" s="29" t="s">
        <v>821</v>
      </c>
      <c r="K241" s="16">
        <v>11</v>
      </c>
      <c r="L241" s="36" t="s">
        <v>823</v>
      </c>
      <c r="M241" s="32" t="str">
        <f t="shared" si="24"/>
        <v>常规</v>
      </c>
      <c r="N241" s="25"/>
      <c r="O241" s="135" t="s">
        <v>2247</v>
      </c>
      <c r="P241" s="134" t="s">
        <v>2237</v>
      </c>
      <c r="Q241" s="14"/>
      <c r="R241" s="15"/>
      <c r="S241" s="15"/>
      <c r="T241" s="15"/>
      <c r="U241" s="32" t="str">
        <f t="shared" si="25"/>
        <v>个</v>
      </c>
      <c r="V241" s="14"/>
      <c r="W241" s="35"/>
      <c r="X241" s="32">
        <f t="shared" si="26"/>
        <v>11</v>
      </c>
      <c r="Y241" s="32" t="str">
        <f t="shared" si="27"/>
        <v>个</v>
      </c>
      <c r="Z241" s="14"/>
      <c r="AA241" s="15"/>
      <c r="AB241" s="101"/>
    </row>
    <row r="242" spans="1:28" s="45" customFormat="1" ht="19.899999999999999" customHeight="1" x14ac:dyDescent="0.3">
      <c r="A242" s="34">
        <v>239</v>
      </c>
      <c r="B242" s="89" t="s">
        <v>1662</v>
      </c>
      <c r="C242" s="29" t="s">
        <v>2</v>
      </c>
      <c r="D242" s="32" t="str">
        <f t="shared" si="23"/>
        <v>玻璃仪器</v>
      </c>
      <c r="E242" s="18" t="s">
        <v>256</v>
      </c>
      <c r="F242" s="18" t="s">
        <v>18</v>
      </c>
      <c r="G242" s="15"/>
      <c r="H242" s="15"/>
      <c r="I242" s="15"/>
      <c r="J242" s="29" t="s">
        <v>821</v>
      </c>
      <c r="K242" s="16">
        <v>5</v>
      </c>
      <c r="L242" s="36" t="s">
        <v>823</v>
      </c>
      <c r="M242" s="32" t="str">
        <f t="shared" si="24"/>
        <v>常规</v>
      </c>
      <c r="N242" s="25"/>
      <c r="O242" s="135" t="s">
        <v>2247</v>
      </c>
      <c r="P242" s="134" t="s">
        <v>2237</v>
      </c>
      <c r="Q242" s="14"/>
      <c r="R242" s="15"/>
      <c r="S242" s="15"/>
      <c r="T242" s="15"/>
      <c r="U242" s="32" t="str">
        <f t="shared" si="25"/>
        <v>个</v>
      </c>
      <c r="V242" s="14"/>
      <c r="W242" s="35"/>
      <c r="X242" s="32">
        <f t="shared" si="26"/>
        <v>5</v>
      </c>
      <c r="Y242" s="32" t="str">
        <f t="shared" si="27"/>
        <v>个</v>
      </c>
      <c r="Z242" s="14"/>
      <c r="AA242" s="15"/>
      <c r="AB242" s="101"/>
    </row>
    <row r="243" spans="1:28" s="45" customFormat="1" ht="19.899999999999999" customHeight="1" x14ac:dyDescent="0.3">
      <c r="A243" s="34">
        <v>240</v>
      </c>
      <c r="B243" s="12" t="s">
        <v>1553</v>
      </c>
      <c r="C243" s="29" t="s">
        <v>2</v>
      </c>
      <c r="D243" s="32" t="str">
        <f t="shared" si="23"/>
        <v>玻璃仪器</v>
      </c>
      <c r="E243" s="16"/>
      <c r="F243" s="15" t="s">
        <v>115</v>
      </c>
      <c r="G243" s="15"/>
      <c r="H243" s="15"/>
      <c r="I243" s="15" t="s">
        <v>1215</v>
      </c>
      <c r="J243" s="29" t="s">
        <v>821</v>
      </c>
      <c r="K243" s="26">
        <v>60</v>
      </c>
      <c r="L243" s="29" t="s">
        <v>822</v>
      </c>
      <c r="M243" s="32" t="str">
        <f t="shared" si="24"/>
        <v>常规</v>
      </c>
      <c r="N243" s="18"/>
      <c r="O243" s="137" t="s">
        <v>2243</v>
      </c>
      <c r="P243" s="134" t="s">
        <v>2236</v>
      </c>
      <c r="Q243" s="14"/>
      <c r="R243" s="15"/>
      <c r="S243" s="15" t="s">
        <v>992</v>
      </c>
      <c r="T243" s="15">
        <v>16</v>
      </c>
      <c r="U243" s="32" t="str">
        <f t="shared" si="25"/>
        <v>只</v>
      </c>
      <c r="V243" s="14"/>
      <c r="W243" s="35"/>
      <c r="X243" s="32">
        <f t="shared" si="26"/>
        <v>44</v>
      </c>
      <c r="Y243" s="32" t="str">
        <f t="shared" si="27"/>
        <v>只</v>
      </c>
      <c r="Z243" s="14"/>
      <c r="AA243" s="15"/>
      <c r="AB243" s="101"/>
    </row>
    <row r="244" spans="1:28" s="212" customFormat="1" ht="19.899999999999999" customHeight="1" x14ac:dyDescent="0.3">
      <c r="A244" s="201">
        <v>241</v>
      </c>
      <c r="B244" s="202" t="s">
        <v>490</v>
      </c>
      <c r="C244" s="203" t="s">
        <v>2</v>
      </c>
      <c r="D244" s="204" t="str">
        <f t="shared" si="23"/>
        <v>玻璃仪器</v>
      </c>
      <c r="E244" s="202"/>
      <c r="F244" s="206" t="s">
        <v>709</v>
      </c>
      <c r="G244" s="206"/>
      <c r="H244" s="206"/>
      <c r="I244" s="206" t="s">
        <v>1216</v>
      </c>
      <c r="J244" s="203" t="s">
        <v>821</v>
      </c>
      <c r="K244" s="206">
        <v>2</v>
      </c>
      <c r="L244" s="203" t="s">
        <v>822</v>
      </c>
      <c r="M244" s="204" t="str">
        <f t="shared" si="24"/>
        <v>常规</v>
      </c>
      <c r="N244" s="205"/>
      <c r="O244" s="219" t="s">
        <v>2243</v>
      </c>
      <c r="P244" s="209" t="s">
        <v>2237</v>
      </c>
      <c r="Q244" s="205"/>
      <c r="R244" s="206"/>
      <c r="S244" s="206" t="s">
        <v>1267</v>
      </c>
      <c r="T244" s="206">
        <v>2</v>
      </c>
      <c r="U244" s="204" t="str">
        <f t="shared" si="25"/>
        <v>只</v>
      </c>
      <c r="V244" s="205"/>
      <c r="W244" s="210"/>
      <c r="X244" s="204" t="str">
        <f t="shared" si="26"/>
        <v/>
      </c>
      <c r="Y244" s="204" t="str">
        <f t="shared" si="27"/>
        <v>只</v>
      </c>
      <c r="Z244" s="205"/>
      <c r="AA244" s="206"/>
      <c r="AB244" s="211"/>
    </row>
    <row r="245" spans="1:28" s="45" customFormat="1" ht="19.899999999999999" customHeight="1" x14ac:dyDescent="0.3">
      <c r="A245" s="34">
        <v>242</v>
      </c>
      <c r="B245" s="12" t="s">
        <v>710</v>
      </c>
      <c r="C245" s="29" t="s">
        <v>2</v>
      </c>
      <c r="D245" s="32" t="str">
        <f t="shared" si="23"/>
        <v>玻璃仪器</v>
      </c>
      <c r="E245" s="16"/>
      <c r="F245" s="15" t="s">
        <v>711</v>
      </c>
      <c r="G245" s="15"/>
      <c r="H245" s="15"/>
      <c r="I245" s="15" t="s">
        <v>1217</v>
      </c>
      <c r="J245" s="29" t="s">
        <v>821</v>
      </c>
      <c r="K245" s="26">
        <v>30</v>
      </c>
      <c r="L245" s="29" t="s">
        <v>822</v>
      </c>
      <c r="M245" s="32" t="str">
        <f t="shared" si="24"/>
        <v>常规</v>
      </c>
      <c r="N245" s="18"/>
      <c r="O245" s="137" t="s">
        <v>2240</v>
      </c>
      <c r="P245" s="134" t="s">
        <v>2238</v>
      </c>
      <c r="Q245" s="14"/>
      <c r="R245" s="15"/>
      <c r="S245" s="15"/>
      <c r="T245" s="15"/>
      <c r="U245" s="32" t="str">
        <f t="shared" si="25"/>
        <v>只</v>
      </c>
      <c r="V245" s="14"/>
      <c r="W245" s="35"/>
      <c r="X245" s="32">
        <f t="shared" si="26"/>
        <v>30</v>
      </c>
      <c r="Y245" s="32" t="str">
        <f t="shared" si="27"/>
        <v>只</v>
      </c>
      <c r="Z245" s="14"/>
      <c r="AA245" s="15"/>
      <c r="AB245" s="101"/>
    </row>
    <row r="246" spans="1:28" s="45" customFormat="1" ht="19.899999999999999" customHeight="1" x14ac:dyDescent="0.3">
      <c r="A246" s="34">
        <v>243</v>
      </c>
      <c r="B246" s="12" t="s">
        <v>601</v>
      </c>
      <c r="C246" s="29" t="s">
        <v>2</v>
      </c>
      <c r="D246" s="32" t="str">
        <f t="shared" si="23"/>
        <v>玻璃仪器</v>
      </c>
      <c r="E246" s="16"/>
      <c r="F246" s="15" t="s">
        <v>712</v>
      </c>
      <c r="G246" s="15"/>
      <c r="H246" s="15"/>
      <c r="I246" s="15" t="s">
        <v>1218</v>
      </c>
      <c r="J246" s="29" t="s">
        <v>821</v>
      </c>
      <c r="K246" s="26">
        <v>5</v>
      </c>
      <c r="L246" s="29" t="s">
        <v>831</v>
      </c>
      <c r="M246" s="32" t="str">
        <f t="shared" si="24"/>
        <v>常规</v>
      </c>
      <c r="N246" s="18"/>
      <c r="O246" s="137" t="s">
        <v>2246</v>
      </c>
      <c r="P246" s="134" t="s">
        <v>2237</v>
      </c>
      <c r="Q246" s="14"/>
      <c r="R246" s="15"/>
      <c r="S246" s="15" t="s">
        <v>1268</v>
      </c>
      <c r="T246" s="15">
        <v>4</v>
      </c>
      <c r="U246" s="32" t="str">
        <f t="shared" si="25"/>
        <v>根</v>
      </c>
      <c r="V246" s="14"/>
      <c r="W246" s="35"/>
      <c r="X246" s="32">
        <f t="shared" si="26"/>
        <v>1</v>
      </c>
      <c r="Y246" s="32" t="str">
        <f t="shared" si="27"/>
        <v>根</v>
      </c>
      <c r="Z246" s="14"/>
      <c r="AA246" s="15"/>
      <c r="AB246" s="101"/>
    </row>
    <row r="247" spans="1:28" s="45" customFormat="1" ht="19.899999999999999" customHeight="1" x14ac:dyDescent="0.3">
      <c r="A247" s="34">
        <v>244</v>
      </c>
      <c r="B247" s="12" t="s">
        <v>601</v>
      </c>
      <c r="C247" s="29" t="s">
        <v>2</v>
      </c>
      <c r="D247" s="32" t="str">
        <f t="shared" si="23"/>
        <v>玻璃仪器</v>
      </c>
      <c r="E247" s="16"/>
      <c r="F247" s="15" t="s">
        <v>714</v>
      </c>
      <c r="G247" s="15"/>
      <c r="H247" s="15"/>
      <c r="I247" s="15" t="s">
        <v>1219</v>
      </c>
      <c r="J247" s="29" t="s">
        <v>821</v>
      </c>
      <c r="K247" s="26">
        <v>3</v>
      </c>
      <c r="L247" s="29" t="s">
        <v>831</v>
      </c>
      <c r="M247" s="32" t="str">
        <f t="shared" si="24"/>
        <v>常规</v>
      </c>
      <c r="N247" s="18"/>
      <c r="O247" s="137" t="s">
        <v>2246</v>
      </c>
      <c r="P247" s="134" t="s">
        <v>2237</v>
      </c>
      <c r="Q247" s="14"/>
      <c r="R247" s="15"/>
      <c r="S247" s="15"/>
      <c r="T247" s="15"/>
      <c r="U247" s="32" t="str">
        <f t="shared" si="25"/>
        <v>根</v>
      </c>
      <c r="V247" s="14"/>
      <c r="W247" s="35"/>
      <c r="X247" s="32">
        <f t="shared" si="26"/>
        <v>3</v>
      </c>
      <c r="Y247" s="32" t="str">
        <f t="shared" si="27"/>
        <v>根</v>
      </c>
      <c r="Z247" s="14"/>
      <c r="AA247" s="15"/>
      <c r="AB247" s="101"/>
    </row>
    <row r="248" spans="1:28" s="173" customFormat="1" ht="19.899999999999999" customHeight="1" x14ac:dyDescent="0.3">
      <c r="A248" s="163">
        <v>245</v>
      </c>
      <c r="B248" s="174" t="s">
        <v>1277</v>
      </c>
      <c r="C248" s="165" t="s">
        <v>2</v>
      </c>
      <c r="D248" s="166" t="str">
        <f t="shared" si="23"/>
        <v>玻璃仪器</v>
      </c>
      <c r="E248" s="164"/>
      <c r="F248" s="174" t="s">
        <v>1278</v>
      </c>
      <c r="G248" s="167"/>
      <c r="H248" s="167"/>
      <c r="I248" s="167"/>
      <c r="J248" s="165" t="s">
        <v>821</v>
      </c>
      <c r="K248" s="167">
        <v>9</v>
      </c>
      <c r="L248" s="165" t="s">
        <v>822</v>
      </c>
      <c r="M248" s="166" t="str">
        <f t="shared" si="24"/>
        <v>常规</v>
      </c>
      <c r="N248" s="168"/>
      <c r="O248" s="318">
        <v>105</v>
      </c>
      <c r="P248" s="170"/>
      <c r="Q248" s="168"/>
      <c r="R248" s="167"/>
      <c r="S248" s="167" t="s">
        <v>3069</v>
      </c>
      <c r="T248" s="167">
        <v>9</v>
      </c>
      <c r="U248" s="166" t="str">
        <f t="shared" si="25"/>
        <v>只</v>
      </c>
      <c r="V248" s="168"/>
      <c r="W248" s="172"/>
      <c r="X248" s="166" t="str">
        <f t="shared" si="26"/>
        <v/>
      </c>
      <c r="Y248" s="166" t="str">
        <f t="shared" si="27"/>
        <v>只</v>
      </c>
      <c r="Z248" s="168"/>
      <c r="AA248" s="167"/>
      <c r="AB248" s="238"/>
    </row>
    <row r="249" spans="1:28" s="45" customFormat="1" ht="19.899999999999999" customHeight="1" x14ac:dyDescent="0.3">
      <c r="A249" s="34">
        <v>246</v>
      </c>
      <c r="B249" s="19" t="s">
        <v>858</v>
      </c>
      <c r="C249" s="29" t="s">
        <v>2</v>
      </c>
      <c r="D249" s="32" t="str">
        <f t="shared" si="23"/>
        <v>玻璃仪器</v>
      </c>
      <c r="E249" s="15"/>
      <c r="F249" s="15"/>
      <c r="G249" s="19" t="s">
        <v>859</v>
      </c>
      <c r="H249" s="15"/>
      <c r="I249" s="19" t="s">
        <v>3013</v>
      </c>
      <c r="J249" s="29" t="s">
        <v>1619</v>
      </c>
      <c r="K249" s="15">
        <v>24</v>
      </c>
      <c r="L249" s="29" t="s">
        <v>824</v>
      </c>
      <c r="M249" s="32" t="str">
        <f t="shared" si="24"/>
        <v>常规</v>
      </c>
      <c r="N249" s="15"/>
      <c r="O249" s="138" t="s">
        <v>2249</v>
      </c>
      <c r="P249" s="134" t="s">
        <v>2238</v>
      </c>
      <c r="Q249" s="15"/>
      <c r="R249" s="15"/>
      <c r="S249" s="15"/>
      <c r="T249" s="15"/>
      <c r="U249" s="32" t="str">
        <f t="shared" si="25"/>
        <v>支</v>
      </c>
      <c r="V249" s="15"/>
      <c r="W249" s="15"/>
      <c r="X249" s="32">
        <f t="shared" si="26"/>
        <v>24</v>
      </c>
      <c r="Y249" s="32" t="str">
        <f t="shared" si="27"/>
        <v>支</v>
      </c>
      <c r="Z249" s="15"/>
      <c r="AA249" s="15"/>
      <c r="AB249" s="102" t="s">
        <v>3070</v>
      </c>
    </row>
    <row r="250" spans="1:28" s="45" customFormat="1" ht="19.899999999999999" customHeight="1" x14ac:dyDescent="0.3">
      <c r="A250" s="34">
        <v>247</v>
      </c>
      <c r="B250" s="15" t="s">
        <v>1286</v>
      </c>
      <c r="C250" s="29" t="s">
        <v>2</v>
      </c>
      <c r="D250" s="32" t="str">
        <f t="shared" si="23"/>
        <v>玻璃仪器</v>
      </c>
      <c r="E250" s="15"/>
      <c r="F250" s="15" t="s">
        <v>223</v>
      </c>
      <c r="G250" s="15" t="s">
        <v>1287</v>
      </c>
      <c r="H250" s="15"/>
      <c r="I250" s="15" t="s">
        <v>211</v>
      </c>
      <c r="J250" s="29" t="s">
        <v>1619</v>
      </c>
      <c r="K250" s="15">
        <v>8</v>
      </c>
      <c r="L250" s="29" t="s">
        <v>1288</v>
      </c>
      <c r="M250" s="32" t="str">
        <f t="shared" si="24"/>
        <v>常规</v>
      </c>
      <c r="N250" s="15"/>
      <c r="O250" s="137" t="s">
        <v>2250</v>
      </c>
      <c r="P250" s="134" t="s">
        <v>2238</v>
      </c>
      <c r="Q250" s="15"/>
      <c r="R250" s="15"/>
      <c r="S250" s="15"/>
      <c r="T250" s="15"/>
      <c r="U250" s="32" t="str">
        <f t="shared" si="25"/>
        <v>只</v>
      </c>
      <c r="V250" s="15"/>
      <c r="W250" s="15"/>
      <c r="X250" s="32">
        <f t="shared" si="26"/>
        <v>8</v>
      </c>
      <c r="Y250" s="32" t="str">
        <f t="shared" si="27"/>
        <v>只</v>
      </c>
      <c r="Z250" s="15"/>
      <c r="AA250" s="15"/>
      <c r="AB250" s="102"/>
    </row>
    <row r="251" spans="1:28" s="45" customFormat="1" ht="19.899999999999999" customHeight="1" x14ac:dyDescent="0.3">
      <c r="A251" s="34">
        <v>248</v>
      </c>
      <c r="B251" s="15" t="s">
        <v>1289</v>
      </c>
      <c r="C251" s="29" t="s">
        <v>2</v>
      </c>
      <c r="D251" s="32" t="str">
        <f t="shared" si="23"/>
        <v>玻璃仪器</v>
      </c>
      <c r="E251" s="15"/>
      <c r="F251" s="15" t="s">
        <v>223</v>
      </c>
      <c r="G251" s="15" t="s">
        <v>1290</v>
      </c>
      <c r="H251" s="15"/>
      <c r="I251" s="15" t="s">
        <v>212</v>
      </c>
      <c r="J251" s="29" t="s">
        <v>1619</v>
      </c>
      <c r="K251" s="15">
        <v>1</v>
      </c>
      <c r="L251" s="29" t="s">
        <v>1288</v>
      </c>
      <c r="M251" s="32" t="str">
        <f t="shared" si="24"/>
        <v>常规</v>
      </c>
      <c r="N251" s="15"/>
      <c r="O251" s="137" t="s">
        <v>2250</v>
      </c>
      <c r="P251" s="134" t="s">
        <v>2238</v>
      </c>
      <c r="Q251" s="15"/>
      <c r="R251" s="15"/>
      <c r="S251" s="15"/>
      <c r="T251" s="15"/>
      <c r="U251" s="32" t="str">
        <f t="shared" si="25"/>
        <v>只</v>
      </c>
      <c r="V251" s="15"/>
      <c r="W251" s="15"/>
      <c r="X251" s="32">
        <f t="shared" si="26"/>
        <v>1</v>
      </c>
      <c r="Y251" s="32" t="str">
        <f t="shared" si="27"/>
        <v>只</v>
      </c>
      <c r="Z251" s="15"/>
      <c r="AA251" s="15"/>
      <c r="AB251" s="102"/>
    </row>
    <row r="252" spans="1:28" s="45" customFormat="1" ht="19.899999999999999" customHeight="1" x14ac:dyDescent="0.3">
      <c r="A252" s="34">
        <v>249</v>
      </c>
      <c r="B252" s="15" t="s">
        <v>1291</v>
      </c>
      <c r="C252" s="29" t="s">
        <v>2</v>
      </c>
      <c r="D252" s="32" t="str">
        <f t="shared" si="23"/>
        <v>玻璃仪器</v>
      </c>
      <c r="E252" s="15"/>
      <c r="F252" s="15" t="s">
        <v>224</v>
      </c>
      <c r="G252" s="15" t="s">
        <v>1290</v>
      </c>
      <c r="H252" s="15"/>
      <c r="I252" s="15" t="s">
        <v>213</v>
      </c>
      <c r="J252" s="29" t="s">
        <v>1619</v>
      </c>
      <c r="K252" s="15">
        <v>10</v>
      </c>
      <c r="L252" s="29" t="s">
        <v>1288</v>
      </c>
      <c r="M252" s="32" t="str">
        <f t="shared" si="24"/>
        <v>常规</v>
      </c>
      <c r="N252" s="15"/>
      <c r="O252" s="137" t="s">
        <v>2250</v>
      </c>
      <c r="P252" s="134" t="s">
        <v>2238</v>
      </c>
      <c r="Q252" s="15"/>
      <c r="R252" s="15"/>
      <c r="S252" s="15"/>
      <c r="T252" s="15"/>
      <c r="U252" s="32" t="str">
        <f t="shared" si="25"/>
        <v>只</v>
      </c>
      <c r="V252" s="15"/>
      <c r="W252" s="15"/>
      <c r="X252" s="32">
        <f t="shared" si="26"/>
        <v>10</v>
      </c>
      <c r="Y252" s="32" t="str">
        <f t="shared" si="27"/>
        <v>只</v>
      </c>
      <c r="Z252" s="15"/>
      <c r="AA252" s="15"/>
      <c r="AB252" s="102"/>
    </row>
    <row r="253" spans="1:28" s="45" customFormat="1" ht="19.899999999999999" customHeight="1" x14ac:dyDescent="0.3">
      <c r="A253" s="34">
        <v>250</v>
      </c>
      <c r="B253" s="15" t="s">
        <v>1289</v>
      </c>
      <c r="C253" s="29" t="s">
        <v>2</v>
      </c>
      <c r="D253" s="32" t="str">
        <f t="shared" si="23"/>
        <v>玻璃仪器</v>
      </c>
      <c r="E253" s="15"/>
      <c r="F253" s="15" t="s">
        <v>224</v>
      </c>
      <c r="G253" s="15" t="s">
        <v>1290</v>
      </c>
      <c r="H253" s="15"/>
      <c r="I253" s="15" t="s">
        <v>214</v>
      </c>
      <c r="J253" s="29" t="s">
        <v>1619</v>
      </c>
      <c r="K253" s="15">
        <v>2</v>
      </c>
      <c r="L253" s="29" t="s">
        <v>1288</v>
      </c>
      <c r="M253" s="32" t="str">
        <f t="shared" si="24"/>
        <v>常规</v>
      </c>
      <c r="N253" s="15"/>
      <c r="O253" s="137" t="s">
        <v>2250</v>
      </c>
      <c r="P253" s="134" t="s">
        <v>2238</v>
      </c>
      <c r="Q253" s="15"/>
      <c r="R253" s="15"/>
      <c r="S253" s="15"/>
      <c r="T253" s="15"/>
      <c r="U253" s="32" t="str">
        <f t="shared" si="25"/>
        <v>只</v>
      </c>
      <c r="V253" s="15"/>
      <c r="W253" s="15"/>
      <c r="X253" s="32">
        <f t="shared" si="26"/>
        <v>2</v>
      </c>
      <c r="Y253" s="32" t="str">
        <f t="shared" si="27"/>
        <v>只</v>
      </c>
      <c r="Z253" s="15"/>
      <c r="AA253" s="15"/>
      <c r="AB253" s="102"/>
    </row>
    <row r="254" spans="1:28" s="45" customFormat="1" ht="19.899999999999999" customHeight="1" x14ac:dyDescent="0.3">
      <c r="A254" s="34">
        <v>251</v>
      </c>
      <c r="B254" s="15" t="s">
        <v>1291</v>
      </c>
      <c r="C254" s="29" t="s">
        <v>2</v>
      </c>
      <c r="D254" s="32" t="str">
        <f t="shared" si="23"/>
        <v>玻璃仪器</v>
      </c>
      <c r="E254" s="15"/>
      <c r="F254" s="15" t="s">
        <v>225</v>
      </c>
      <c r="G254" s="15" t="s">
        <v>1290</v>
      </c>
      <c r="H254" s="15"/>
      <c r="I254" s="15" t="s">
        <v>215</v>
      </c>
      <c r="J254" s="29" t="s">
        <v>1619</v>
      </c>
      <c r="K254" s="15">
        <v>12</v>
      </c>
      <c r="L254" s="29" t="s">
        <v>1288</v>
      </c>
      <c r="M254" s="32" t="str">
        <f t="shared" si="24"/>
        <v>常规</v>
      </c>
      <c r="N254" s="15"/>
      <c r="O254" s="137" t="s">
        <v>2250</v>
      </c>
      <c r="P254" s="134" t="s">
        <v>2238</v>
      </c>
      <c r="Q254" s="15"/>
      <c r="R254" s="15"/>
      <c r="S254" s="15" t="s">
        <v>957</v>
      </c>
      <c r="T254" s="15">
        <v>3</v>
      </c>
      <c r="U254" s="32" t="str">
        <f t="shared" si="25"/>
        <v>只</v>
      </c>
      <c r="V254" s="15"/>
      <c r="W254" s="15"/>
      <c r="X254" s="32">
        <f t="shared" si="26"/>
        <v>9</v>
      </c>
      <c r="Y254" s="32" t="str">
        <f t="shared" si="27"/>
        <v>只</v>
      </c>
      <c r="Z254" s="15"/>
      <c r="AA254" s="15"/>
      <c r="AB254" s="102"/>
    </row>
    <row r="255" spans="1:28" s="45" customFormat="1" ht="19.899999999999999" customHeight="1" x14ac:dyDescent="0.3">
      <c r="A255" s="34">
        <v>252</v>
      </c>
      <c r="B255" s="15" t="s">
        <v>1289</v>
      </c>
      <c r="C255" s="29" t="s">
        <v>2</v>
      </c>
      <c r="D255" s="32" t="str">
        <f t="shared" si="23"/>
        <v>玻璃仪器</v>
      </c>
      <c r="E255" s="15"/>
      <c r="F255" s="15" t="s">
        <v>225</v>
      </c>
      <c r="G255" s="15" t="s">
        <v>1290</v>
      </c>
      <c r="H255" s="15"/>
      <c r="I255" s="15" t="s">
        <v>216</v>
      </c>
      <c r="J255" s="29" t="s">
        <v>1619</v>
      </c>
      <c r="K255" s="15">
        <v>15</v>
      </c>
      <c r="L255" s="29" t="s">
        <v>1288</v>
      </c>
      <c r="M255" s="32" t="str">
        <f t="shared" si="24"/>
        <v>常规</v>
      </c>
      <c r="N255" s="15"/>
      <c r="O255" s="137" t="s">
        <v>2250</v>
      </c>
      <c r="P255" s="134" t="s">
        <v>2238</v>
      </c>
      <c r="Q255" s="15"/>
      <c r="R255" s="15"/>
      <c r="S255" s="15"/>
      <c r="T255" s="15"/>
      <c r="U255" s="32" t="str">
        <f t="shared" si="25"/>
        <v>只</v>
      </c>
      <c r="V255" s="15"/>
      <c r="W255" s="15"/>
      <c r="X255" s="32">
        <f t="shared" si="26"/>
        <v>15</v>
      </c>
      <c r="Y255" s="32" t="str">
        <f t="shared" si="27"/>
        <v>只</v>
      </c>
      <c r="Z255" s="15"/>
      <c r="AA255" s="15"/>
      <c r="AB255" s="102"/>
    </row>
    <row r="256" spans="1:28" s="45" customFormat="1" ht="19.899999999999999" customHeight="1" x14ac:dyDescent="0.3">
      <c r="A256" s="34">
        <v>253</v>
      </c>
      <c r="B256" s="15" t="s">
        <v>1289</v>
      </c>
      <c r="C256" s="29" t="s">
        <v>2</v>
      </c>
      <c r="D256" s="32" t="str">
        <f t="shared" si="23"/>
        <v>玻璃仪器</v>
      </c>
      <c r="E256" s="15"/>
      <c r="F256" s="15" t="s">
        <v>226</v>
      </c>
      <c r="G256" s="15" t="s">
        <v>1290</v>
      </c>
      <c r="H256" s="15"/>
      <c r="I256" s="15" t="s">
        <v>217</v>
      </c>
      <c r="J256" s="29" t="s">
        <v>1619</v>
      </c>
      <c r="K256" s="15">
        <v>8</v>
      </c>
      <c r="L256" s="29" t="s">
        <v>1288</v>
      </c>
      <c r="M256" s="32" t="str">
        <f t="shared" si="24"/>
        <v>常规</v>
      </c>
      <c r="N256" s="15"/>
      <c r="O256" s="137" t="s">
        <v>2250</v>
      </c>
      <c r="P256" s="134" t="s">
        <v>2238</v>
      </c>
      <c r="Q256" s="15"/>
      <c r="R256" s="15"/>
      <c r="S256" s="15"/>
      <c r="T256" s="15"/>
      <c r="U256" s="32" t="str">
        <f t="shared" si="25"/>
        <v>只</v>
      </c>
      <c r="V256" s="15"/>
      <c r="W256" s="15"/>
      <c r="X256" s="32">
        <f t="shared" si="26"/>
        <v>8</v>
      </c>
      <c r="Y256" s="32" t="str">
        <f t="shared" si="27"/>
        <v>只</v>
      </c>
      <c r="Z256" s="15"/>
      <c r="AA256" s="15"/>
      <c r="AB256" s="102"/>
    </row>
    <row r="257" spans="1:28" s="45" customFormat="1" ht="19.899999999999999" customHeight="1" x14ac:dyDescent="0.3">
      <c r="A257" s="34">
        <v>254</v>
      </c>
      <c r="B257" s="15" t="s">
        <v>1292</v>
      </c>
      <c r="C257" s="29" t="s">
        <v>2</v>
      </c>
      <c r="D257" s="32" t="str">
        <f t="shared" si="23"/>
        <v>玻璃仪器</v>
      </c>
      <c r="E257" s="15"/>
      <c r="F257" s="15" t="s">
        <v>227</v>
      </c>
      <c r="G257" s="15" t="s">
        <v>1290</v>
      </c>
      <c r="H257" s="15"/>
      <c r="I257" s="15" t="s">
        <v>218</v>
      </c>
      <c r="J257" s="29" t="s">
        <v>1619</v>
      </c>
      <c r="K257" s="15">
        <v>11</v>
      </c>
      <c r="L257" s="29" t="s">
        <v>1288</v>
      </c>
      <c r="M257" s="32" t="str">
        <f t="shared" si="24"/>
        <v>常规</v>
      </c>
      <c r="N257" s="15"/>
      <c r="O257" s="137" t="s">
        <v>2250</v>
      </c>
      <c r="P257" s="134" t="s">
        <v>2238</v>
      </c>
      <c r="Q257" s="15"/>
      <c r="R257" s="15"/>
      <c r="S257" s="15"/>
      <c r="T257" s="15"/>
      <c r="U257" s="32" t="str">
        <f t="shared" si="25"/>
        <v>只</v>
      </c>
      <c r="V257" s="15"/>
      <c r="W257" s="15"/>
      <c r="X257" s="32">
        <f t="shared" si="26"/>
        <v>11</v>
      </c>
      <c r="Y257" s="32" t="str">
        <f t="shared" si="27"/>
        <v>只</v>
      </c>
      <c r="Z257" s="15"/>
      <c r="AA257" s="15"/>
      <c r="AB257" s="102"/>
    </row>
    <row r="258" spans="1:28" s="45" customFormat="1" ht="19.899999999999999" customHeight="1" x14ac:dyDescent="0.3">
      <c r="A258" s="34">
        <v>255</v>
      </c>
      <c r="B258" s="15" t="s">
        <v>1292</v>
      </c>
      <c r="C258" s="29" t="s">
        <v>2</v>
      </c>
      <c r="D258" s="32" t="str">
        <f t="shared" si="23"/>
        <v>玻璃仪器</v>
      </c>
      <c r="E258" s="15"/>
      <c r="F258" s="15" t="s">
        <v>226</v>
      </c>
      <c r="G258" s="15" t="s">
        <v>1290</v>
      </c>
      <c r="H258" s="15"/>
      <c r="I258" s="15" t="s">
        <v>219</v>
      </c>
      <c r="J258" s="29" t="s">
        <v>1619</v>
      </c>
      <c r="K258" s="15">
        <v>8</v>
      </c>
      <c r="L258" s="29" t="s">
        <v>1288</v>
      </c>
      <c r="M258" s="32" t="str">
        <f t="shared" si="24"/>
        <v>常规</v>
      </c>
      <c r="N258" s="15"/>
      <c r="O258" s="137" t="s">
        <v>2250</v>
      </c>
      <c r="P258" s="134" t="s">
        <v>2238</v>
      </c>
      <c r="Q258" s="15"/>
      <c r="R258" s="15"/>
      <c r="S258" s="15"/>
      <c r="T258" s="15"/>
      <c r="U258" s="32" t="str">
        <f t="shared" si="25"/>
        <v>只</v>
      </c>
      <c r="V258" s="15"/>
      <c r="W258" s="15"/>
      <c r="X258" s="32">
        <f t="shared" si="26"/>
        <v>8</v>
      </c>
      <c r="Y258" s="32" t="str">
        <f t="shared" si="27"/>
        <v>只</v>
      </c>
      <c r="Z258" s="15"/>
      <c r="AA258" s="15"/>
      <c r="AB258" s="102"/>
    </row>
    <row r="259" spans="1:28" s="45" customFormat="1" ht="19.899999999999999" customHeight="1" x14ac:dyDescent="0.3">
      <c r="A259" s="34">
        <v>256</v>
      </c>
      <c r="B259" s="15" t="s">
        <v>1292</v>
      </c>
      <c r="C259" s="29" t="s">
        <v>2</v>
      </c>
      <c r="D259" s="32" t="str">
        <f t="shared" si="23"/>
        <v>玻璃仪器</v>
      </c>
      <c r="E259" s="15"/>
      <c r="F259" s="15" t="s">
        <v>225</v>
      </c>
      <c r="G259" s="15" t="s">
        <v>1290</v>
      </c>
      <c r="H259" s="15"/>
      <c r="I259" s="15" t="s">
        <v>220</v>
      </c>
      <c r="J259" s="29" t="s">
        <v>1619</v>
      </c>
      <c r="K259" s="15">
        <v>13</v>
      </c>
      <c r="L259" s="29" t="s">
        <v>1288</v>
      </c>
      <c r="M259" s="32" t="str">
        <f t="shared" si="24"/>
        <v>常规</v>
      </c>
      <c r="N259" s="15"/>
      <c r="O259" s="137" t="s">
        <v>2250</v>
      </c>
      <c r="P259" s="134" t="s">
        <v>2238</v>
      </c>
      <c r="Q259" s="15"/>
      <c r="R259" s="15"/>
      <c r="S259" s="15"/>
      <c r="T259" s="15"/>
      <c r="U259" s="32" t="str">
        <f t="shared" si="25"/>
        <v>只</v>
      </c>
      <c r="V259" s="15"/>
      <c r="W259" s="15"/>
      <c r="X259" s="32">
        <f t="shared" si="26"/>
        <v>13</v>
      </c>
      <c r="Y259" s="32" t="str">
        <f t="shared" si="27"/>
        <v>只</v>
      </c>
      <c r="Z259" s="15"/>
      <c r="AA259" s="15"/>
      <c r="AB259" s="102"/>
    </row>
    <row r="260" spans="1:28" s="45" customFormat="1" ht="19.899999999999999" customHeight="1" x14ac:dyDescent="0.3">
      <c r="A260" s="34">
        <v>257</v>
      </c>
      <c r="B260" s="15" t="s">
        <v>1292</v>
      </c>
      <c r="C260" s="29" t="s">
        <v>2</v>
      </c>
      <c r="D260" s="32" t="str">
        <f t="shared" si="23"/>
        <v>玻璃仪器</v>
      </c>
      <c r="E260" s="15"/>
      <c r="F260" s="15" t="s">
        <v>224</v>
      </c>
      <c r="G260" s="15" t="s">
        <v>1290</v>
      </c>
      <c r="H260" s="15"/>
      <c r="I260" s="15" t="s">
        <v>221</v>
      </c>
      <c r="J260" s="29" t="s">
        <v>1619</v>
      </c>
      <c r="K260" s="15">
        <v>1</v>
      </c>
      <c r="L260" s="29" t="s">
        <v>1288</v>
      </c>
      <c r="M260" s="32" t="str">
        <f t="shared" si="24"/>
        <v>常规</v>
      </c>
      <c r="N260" s="15"/>
      <c r="O260" s="137" t="s">
        <v>2250</v>
      </c>
      <c r="P260" s="134" t="s">
        <v>2238</v>
      </c>
      <c r="Q260" s="15"/>
      <c r="R260" s="15"/>
      <c r="S260" s="15"/>
      <c r="T260" s="15"/>
      <c r="U260" s="32" t="str">
        <f t="shared" si="25"/>
        <v>只</v>
      </c>
      <c r="V260" s="15"/>
      <c r="W260" s="15"/>
      <c r="X260" s="32">
        <f t="shared" si="26"/>
        <v>1</v>
      </c>
      <c r="Y260" s="32" t="str">
        <f t="shared" si="27"/>
        <v>只</v>
      </c>
      <c r="Z260" s="15"/>
      <c r="AA260" s="15"/>
      <c r="AB260" s="102"/>
    </row>
    <row r="261" spans="1:28" s="45" customFormat="1" ht="19.899999999999999" customHeight="1" x14ac:dyDescent="0.3">
      <c r="A261" s="34">
        <v>258</v>
      </c>
      <c r="B261" s="15" t="s">
        <v>1293</v>
      </c>
      <c r="C261" s="29" t="s">
        <v>2</v>
      </c>
      <c r="D261" s="32" t="str">
        <f t="shared" si="23"/>
        <v>玻璃仪器</v>
      </c>
      <c r="E261" s="15"/>
      <c r="F261" s="15" t="s">
        <v>224</v>
      </c>
      <c r="G261" s="15" t="s">
        <v>1290</v>
      </c>
      <c r="H261" s="15"/>
      <c r="I261" s="15" t="s">
        <v>222</v>
      </c>
      <c r="J261" s="29" t="s">
        <v>1619</v>
      </c>
      <c r="K261" s="15">
        <v>6</v>
      </c>
      <c r="L261" s="29" t="s">
        <v>1288</v>
      </c>
      <c r="M261" s="32" t="str">
        <f t="shared" si="24"/>
        <v>常规</v>
      </c>
      <c r="N261" s="15"/>
      <c r="O261" s="137" t="s">
        <v>2250</v>
      </c>
      <c r="P261" s="134" t="s">
        <v>2238</v>
      </c>
      <c r="Q261" s="15"/>
      <c r="R261" s="15"/>
      <c r="S261" s="15"/>
      <c r="T261" s="15"/>
      <c r="U261" s="32" t="str">
        <f t="shared" si="25"/>
        <v>只</v>
      </c>
      <c r="V261" s="15"/>
      <c r="W261" s="15"/>
      <c r="X261" s="32">
        <f t="shared" si="26"/>
        <v>6</v>
      </c>
      <c r="Y261" s="32" t="str">
        <f t="shared" si="27"/>
        <v>只</v>
      </c>
      <c r="Z261" s="15"/>
      <c r="AA261" s="15"/>
      <c r="AB261" s="102"/>
    </row>
    <row r="262" spans="1:28" s="173" customFormat="1" ht="19.899999999999999" customHeight="1" x14ac:dyDescent="0.3">
      <c r="A262" s="163">
        <v>259</v>
      </c>
      <c r="B262" s="167" t="s">
        <v>1554</v>
      </c>
      <c r="C262" s="165" t="s">
        <v>2</v>
      </c>
      <c r="D262" s="166" t="str">
        <f t="shared" si="23"/>
        <v>玻璃仪器</v>
      </c>
      <c r="E262" s="167" t="s">
        <v>1555</v>
      </c>
      <c r="F262" s="167" t="s">
        <v>865</v>
      </c>
      <c r="G262" s="167"/>
      <c r="H262" s="167"/>
      <c r="I262" s="167" t="s">
        <v>1097</v>
      </c>
      <c r="J262" s="165" t="s">
        <v>821</v>
      </c>
      <c r="K262" s="167">
        <v>20</v>
      </c>
      <c r="L262" s="165" t="s">
        <v>822</v>
      </c>
      <c r="M262" s="166" t="str">
        <f t="shared" si="24"/>
        <v>常规</v>
      </c>
      <c r="N262" s="167"/>
      <c r="O262" s="169"/>
      <c r="P262" s="170"/>
      <c r="Q262" s="167"/>
      <c r="R262" s="167"/>
      <c r="S262" s="175" t="s">
        <v>872</v>
      </c>
      <c r="T262" s="167">
        <v>20</v>
      </c>
      <c r="U262" s="166" t="str">
        <f t="shared" si="25"/>
        <v>只</v>
      </c>
      <c r="V262" s="167"/>
      <c r="W262" s="167"/>
      <c r="X262" s="166" t="str">
        <f t="shared" ref="X262:X280" si="28">IF((K262-T262)&lt;=0,"",K262-T262)</f>
        <v/>
      </c>
      <c r="Y262" s="166" t="str">
        <f t="shared" si="27"/>
        <v>只</v>
      </c>
      <c r="Z262" s="167"/>
      <c r="AA262" s="167"/>
      <c r="AB262" s="237"/>
    </row>
    <row r="263" spans="1:28" s="173" customFormat="1" ht="19.899999999999999" customHeight="1" x14ac:dyDescent="0.3">
      <c r="A263" s="163">
        <v>260</v>
      </c>
      <c r="B263" s="167" t="s">
        <v>1363</v>
      </c>
      <c r="C263" s="165" t="s">
        <v>2</v>
      </c>
      <c r="D263" s="166" t="str">
        <f t="shared" ref="D263:D275" si="29">IF(C263="J1","常规化学品",IF(C263="J2","危险化学品",IF(C263="J3","标准物质",IF(C263="J4","玻璃仪器",IF(C263="J5","实验气体",IF(C263="J6","专用物耗",IF(C263="J7","备品配件",IF(C263="J8","专用工具",IF(C263="Z1","劳保物资",IF(C263="Z2","办公耗材",IF(C263="Z3","食品饮料",IF(C263="Z4","特殊物耗",IF(C263="Z5","通用物耗",IF(C263="Z6","通用工具",""))))))))))))))</f>
        <v>玻璃仪器</v>
      </c>
      <c r="E263" s="167"/>
      <c r="F263" s="167"/>
      <c r="G263" s="167"/>
      <c r="H263" s="167"/>
      <c r="I263" s="167" t="s">
        <v>1098</v>
      </c>
      <c r="J263" s="165" t="s">
        <v>821</v>
      </c>
      <c r="K263" s="167">
        <v>1</v>
      </c>
      <c r="L263" s="165" t="s">
        <v>822</v>
      </c>
      <c r="M263" s="166" t="str">
        <f t="shared" ref="M263:M304" si="30">IF(D263="危险化学品","五双",IF(D263="标准物资","严控",IF(D263&lt;&gt;"","常规","")))</f>
        <v>常规</v>
      </c>
      <c r="N263" s="167"/>
      <c r="O263" s="169"/>
      <c r="P263" s="170"/>
      <c r="Q263" s="167"/>
      <c r="R263" s="167"/>
      <c r="S263" s="167" t="s">
        <v>873</v>
      </c>
      <c r="T263" s="167">
        <v>1</v>
      </c>
      <c r="U263" s="166" t="str">
        <f t="shared" si="25"/>
        <v>只</v>
      </c>
      <c r="V263" s="167"/>
      <c r="W263" s="167"/>
      <c r="X263" s="166" t="str">
        <f t="shared" si="28"/>
        <v/>
      </c>
      <c r="Y263" s="166" t="str">
        <f t="shared" ref="Y263:Y270" si="31">IF(L263="","",L263)</f>
        <v>只</v>
      </c>
      <c r="Z263" s="167"/>
      <c r="AA263" s="167"/>
      <c r="AB263" s="237"/>
    </row>
    <row r="264" spans="1:28" s="45" customFormat="1" ht="19.899999999999999" customHeight="1" x14ac:dyDescent="0.3">
      <c r="A264" s="34">
        <v>261</v>
      </c>
      <c r="B264" s="52" t="s">
        <v>1375</v>
      </c>
      <c r="C264" s="29" t="s">
        <v>2</v>
      </c>
      <c r="D264" s="32" t="str">
        <f t="shared" si="29"/>
        <v>玻璃仪器</v>
      </c>
      <c r="E264" s="15"/>
      <c r="F264" s="52" t="s">
        <v>1376</v>
      </c>
      <c r="G264" s="15"/>
      <c r="H264" s="15"/>
      <c r="I264" s="53" t="s">
        <v>881</v>
      </c>
      <c r="J264" s="29" t="s">
        <v>821</v>
      </c>
      <c r="K264" s="15">
        <v>5</v>
      </c>
      <c r="L264" s="29" t="s">
        <v>828</v>
      </c>
      <c r="M264" s="32" t="str">
        <f t="shared" si="30"/>
        <v>常规</v>
      </c>
      <c r="N264" s="15"/>
      <c r="O264" s="137" t="s">
        <v>2243</v>
      </c>
      <c r="P264" s="134" t="s">
        <v>2237</v>
      </c>
      <c r="Q264" s="15"/>
      <c r="R264" s="15"/>
      <c r="S264" s="15" t="s">
        <v>890</v>
      </c>
      <c r="T264" s="15">
        <v>2</v>
      </c>
      <c r="U264" s="32" t="str">
        <f t="shared" si="25"/>
        <v>包</v>
      </c>
      <c r="V264" s="15"/>
      <c r="W264" s="15"/>
      <c r="X264" s="32">
        <f t="shared" si="28"/>
        <v>3</v>
      </c>
      <c r="Y264" s="32" t="str">
        <f t="shared" si="31"/>
        <v>包</v>
      </c>
      <c r="Z264" s="15"/>
      <c r="AA264" s="15"/>
      <c r="AB264" s="102"/>
    </row>
    <row r="265" spans="1:28" s="173" customFormat="1" ht="19.899999999999999" customHeight="1" x14ac:dyDescent="0.3">
      <c r="A265" s="163">
        <v>262</v>
      </c>
      <c r="B265" s="176" t="s">
        <v>1377</v>
      </c>
      <c r="C265" s="165" t="s">
        <v>2</v>
      </c>
      <c r="D265" s="166" t="str">
        <f t="shared" si="29"/>
        <v>玻璃仪器</v>
      </c>
      <c r="E265" s="167" t="s">
        <v>1378</v>
      </c>
      <c r="F265" s="176" t="s">
        <v>1379</v>
      </c>
      <c r="G265" s="167"/>
      <c r="H265" s="167"/>
      <c r="I265" s="177" t="s">
        <v>882</v>
      </c>
      <c r="J265" s="165" t="s">
        <v>821</v>
      </c>
      <c r="K265" s="167">
        <v>6</v>
      </c>
      <c r="L265" s="165" t="s">
        <v>822</v>
      </c>
      <c r="M265" s="166" t="str">
        <f t="shared" si="30"/>
        <v>常规</v>
      </c>
      <c r="N265" s="167"/>
      <c r="O265" s="169"/>
      <c r="P265" s="170"/>
      <c r="Q265" s="167"/>
      <c r="R265" s="167"/>
      <c r="S265" s="167" t="s">
        <v>891</v>
      </c>
      <c r="T265" s="167">
        <v>6</v>
      </c>
      <c r="U265" s="166" t="str">
        <f t="shared" si="25"/>
        <v>只</v>
      </c>
      <c r="V265" s="167"/>
      <c r="W265" s="167"/>
      <c r="X265" s="166" t="str">
        <f t="shared" si="28"/>
        <v/>
      </c>
      <c r="Y265" s="166" t="str">
        <f t="shared" si="31"/>
        <v>只</v>
      </c>
      <c r="Z265" s="167"/>
      <c r="AA265" s="167"/>
      <c r="AB265" s="237"/>
    </row>
    <row r="266" spans="1:28" s="173" customFormat="1" ht="19.899999999999999" customHeight="1" x14ac:dyDescent="0.3">
      <c r="A266" s="163">
        <v>263</v>
      </c>
      <c r="B266" s="176" t="s">
        <v>1380</v>
      </c>
      <c r="C266" s="165" t="s">
        <v>2</v>
      </c>
      <c r="D266" s="166" t="str">
        <f t="shared" si="29"/>
        <v>玻璃仪器</v>
      </c>
      <c r="E266" s="167" t="s">
        <v>1378</v>
      </c>
      <c r="F266" s="176"/>
      <c r="G266" s="167"/>
      <c r="H266" s="167"/>
      <c r="I266" s="177" t="s">
        <v>899</v>
      </c>
      <c r="J266" s="165" t="s">
        <v>821</v>
      </c>
      <c r="K266" s="167">
        <v>1</v>
      </c>
      <c r="L266" s="165" t="s">
        <v>822</v>
      </c>
      <c r="M266" s="166" t="str">
        <f t="shared" si="30"/>
        <v>常规</v>
      </c>
      <c r="N266" s="167"/>
      <c r="O266" s="169"/>
      <c r="P266" s="170"/>
      <c r="Q266" s="167"/>
      <c r="R266" s="167"/>
      <c r="S266" s="167" t="s">
        <v>892</v>
      </c>
      <c r="T266" s="167">
        <v>1</v>
      </c>
      <c r="U266" s="166" t="str">
        <f t="shared" si="25"/>
        <v>只</v>
      </c>
      <c r="V266" s="167"/>
      <c r="W266" s="167"/>
      <c r="X266" s="166" t="str">
        <f t="shared" si="28"/>
        <v/>
      </c>
      <c r="Y266" s="166" t="str">
        <f t="shared" si="31"/>
        <v>只</v>
      </c>
      <c r="Z266" s="167"/>
      <c r="AA266" s="167"/>
      <c r="AB266" s="237"/>
    </row>
    <row r="267" spans="1:28" s="173" customFormat="1" ht="19.899999999999999" customHeight="1" x14ac:dyDescent="0.3">
      <c r="A267" s="163">
        <v>264</v>
      </c>
      <c r="B267" s="176" t="s">
        <v>1381</v>
      </c>
      <c r="C267" s="165" t="s">
        <v>2</v>
      </c>
      <c r="D267" s="166" t="str">
        <f t="shared" si="29"/>
        <v>玻璃仪器</v>
      </c>
      <c r="E267" s="167" t="s">
        <v>1378</v>
      </c>
      <c r="F267" s="176"/>
      <c r="G267" s="167"/>
      <c r="H267" s="167"/>
      <c r="I267" s="177" t="s">
        <v>883</v>
      </c>
      <c r="J267" s="165" t="s">
        <v>821</v>
      </c>
      <c r="K267" s="167">
        <v>6</v>
      </c>
      <c r="L267" s="165" t="s">
        <v>822</v>
      </c>
      <c r="M267" s="166" t="str">
        <f t="shared" si="30"/>
        <v>常规</v>
      </c>
      <c r="N267" s="167"/>
      <c r="O267" s="169"/>
      <c r="P267" s="170"/>
      <c r="Q267" s="167"/>
      <c r="R267" s="167"/>
      <c r="S267" s="167" t="s">
        <v>893</v>
      </c>
      <c r="T267" s="167">
        <v>6</v>
      </c>
      <c r="U267" s="166" t="str">
        <f t="shared" si="25"/>
        <v>只</v>
      </c>
      <c r="V267" s="167"/>
      <c r="W267" s="167"/>
      <c r="X267" s="166" t="str">
        <f t="shared" si="28"/>
        <v/>
      </c>
      <c r="Y267" s="166" t="str">
        <f t="shared" si="31"/>
        <v>只</v>
      </c>
      <c r="Z267" s="167"/>
      <c r="AA267" s="167"/>
      <c r="AB267" s="237"/>
    </row>
    <row r="268" spans="1:28" s="173" customFormat="1" ht="19.899999999999999" customHeight="1" x14ac:dyDescent="0.3">
      <c r="A268" s="163">
        <v>265</v>
      </c>
      <c r="B268" s="176" t="s">
        <v>1382</v>
      </c>
      <c r="C268" s="165" t="s">
        <v>2</v>
      </c>
      <c r="D268" s="166" t="str">
        <f t="shared" si="29"/>
        <v>玻璃仪器</v>
      </c>
      <c r="E268" s="167"/>
      <c r="F268" s="176" t="s">
        <v>897</v>
      </c>
      <c r="G268" s="167"/>
      <c r="H268" s="167"/>
      <c r="I268" s="177" t="s">
        <v>898</v>
      </c>
      <c r="J268" s="165" t="s">
        <v>821</v>
      </c>
      <c r="K268" s="167">
        <v>23</v>
      </c>
      <c r="L268" s="165" t="s">
        <v>822</v>
      </c>
      <c r="M268" s="166" t="str">
        <f t="shared" si="30"/>
        <v>常规</v>
      </c>
      <c r="N268" s="167"/>
      <c r="O268" s="169"/>
      <c r="P268" s="170"/>
      <c r="Q268" s="167"/>
      <c r="R268" s="167"/>
      <c r="S268" s="167" t="s">
        <v>900</v>
      </c>
      <c r="T268" s="167">
        <v>23</v>
      </c>
      <c r="U268" s="166" t="str">
        <f t="shared" ref="U268:U280" si="32">IF(L268="","",L268)</f>
        <v>只</v>
      </c>
      <c r="V268" s="167"/>
      <c r="W268" s="167"/>
      <c r="X268" s="166" t="str">
        <f t="shared" si="28"/>
        <v/>
      </c>
      <c r="Y268" s="166" t="str">
        <f t="shared" si="31"/>
        <v>只</v>
      </c>
      <c r="Z268" s="167"/>
      <c r="AA268" s="167"/>
      <c r="AB268" s="237"/>
    </row>
    <row r="269" spans="1:28" s="173" customFormat="1" ht="19.899999999999999" customHeight="1" x14ac:dyDescent="0.3">
      <c r="A269" s="163">
        <v>266</v>
      </c>
      <c r="B269" s="176" t="s">
        <v>1400</v>
      </c>
      <c r="C269" s="165" t="s">
        <v>2</v>
      </c>
      <c r="D269" s="166" t="str">
        <f t="shared" si="29"/>
        <v>玻璃仪器</v>
      </c>
      <c r="E269" s="167"/>
      <c r="F269" s="176" t="s">
        <v>1556</v>
      </c>
      <c r="G269" s="167"/>
      <c r="H269" s="167"/>
      <c r="I269" s="167" t="s">
        <v>922</v>
      </c>
      <c r="J269" s="165" t="s">
        <v>821</v>
      </c>
      <c r="K269" s="167">
        <v>1</v>
      </c>
      <c r="L269" s="165" t="s">
        <v>822</v>
      </c>
      <c r="M269" s="166" t="str">
        <f t="shared" si="30"/>
        <v>常规</v>
      </c>
      <c r="N269" s="167"/>
      <c r="O269" s="169"/>
      <c r="P269" s="170"/>
      <c r="Q269" s="167"/>
      <c r="R269" s="167"/>
      <c r="S269" s="167" t="s">
        <v>923</v>
      </c>
      <c r="T269" s="167">
        <v>1</v>
      </c>
      <c r="U269" s="166" t="str">
        <f t="shared" si="32"/>
        <v>只</v>
      </c>
      <c r="V269" s="167"/>
      <c r="W269" s="167"/>
      <c r="X269" s="166" t="str">
        <f t="shared" si="28"/>
        <v/>
      </c>
      <c r="Y269" s="166" t="str">
        <f t="shared" si="31"/>
        <v>只</v>
      </c>
      <c r="Z269" s="167"/>
      <c r="AA269" s="167"/>
      <c r="AB269" s="237"/>
    </row>
    <row r="270" spans="1:28" s="173" customFormat="1" ht="19.899999999999999" customHeight="1" x14ac:dyDescent="0.3">
      <c r="A270" s="163">
        <v>267</v>
      </c>
      <c r="B270" s="167" t="s">
        <v>1435</v>
      </c>
      <c r="C270" s="165" t="s">
        <v>2</v>
      </c>
      <c r="D270" s="166" t="str">
        <f t="shared" si="29"/>
        <v>玻璃仪器</v>
      </c>
      <c r="E270" s="167"/>
      <c r="F270" s="167"/>
      <c r="G270" s="167"/>
      <c r="H270" s="167"/>
      <c r="I270" s="167" t="s">
        <v>1124</v>
      </c>
      <c r="J270" s="165" t="s">
        <v>821</v>
      </c>
      <c r="K270" s="167">
        <v>1</v>
      </c>
      <c r="L270" s="165" t="s">
        <v>822</v>
      </c>
      <c r="M270" s="166" t="str">
        <f t="shared" si="30"/>
        <v>常规</v>
      </c>
      <c r="N270" s="167"/>
      <c r="O270" s="169"/>
      <c r="P270" s="170"/>
      <c r="Q270" s="167"/>
      <c r="R270" s="167"/>
      <c r="S270" s="167" t="s">
        <v>942</v>
      </c>
      <c r="T270" s="167">
        <v>1</v>
      </c>
      <c r="U270" s="166" t="str">
        <f t="shared" si="32"/>
        <v>只</v>
      </c>
      <c r="V270" s="167"/>
      <c r="W270" s="167"/>
      <c r="X270" s="166" t="str">
        <f t="shared" si="28"/>
        <v/>
      </c>
      <c r="Y270" s="166" t="str">
        <f t="shared" si="31"/>
        <v>只</v>
      </c>
      <c r="Z270" s="167"/>
      <c r="AA270" s="167"/>
      <c r="AB270" s="237"/>
    </row>
    <row r="271" spans="1:28" s="45" customFormat="1" ht="19.899999999999999" customHeight="1" x14ac:dyDescent="0.3">
      <c r="A271" s="34">
        <v>268</v>
      </c>
      <c r="B271" s="52" t="s">
        <v>1446</v>
      </c>
      <c r="C271" s="29" t="s">
        <v>2</v>
      </c>
      <c r="D271" s="32" t="str">
        <f t="shared" si="29"/>
        <v>玻璃仪器</v>
      </c>
      <c r="E271" s="15"/>
      <c r="F271" s="15" t="s">
        <v>1447</v>
      </c>
      <c r="G271" s="15"/>
      <c r="H271" s="15"/>
      <c r="I271" s="15" t="s">
        <v>1132</v>
      </c>
      <c r="J271" s="29" t="s">
        <v>821</v>
      </c>
      <c r="K271" s="15">
        <v>49</v>
      </c>
      <c r="L271" s="29" t="s">
        <v>822</v>
      </c>
      <c r="M271" s="32" t="str">
        <f t="shared" si="30"/>
        <v>常规</v>
      </c>
      <c r="N271" s="15"/>
      <c r="O271" s="137" t="s">
        <v>2251</v>
      </c>
      <c r="P271" s="134" t="s">
        <v>2238</v>
      </c>
      <c r="Q271" s="15"/>
      <c r="R271" s="15"/>
      <c r="S271" s="15" t="s">
        <v>1665</v>
      </c>
      <c r="T271" s="15">
        <v>22</v>
      </c>
      <c r="U271" s="32" t="str">
        <f t="shared" si="32"/>
        <v>只</v>
      </c>
      <c r="V271" s="15"/>
      <c r="W271" s="15"/>
      <c r="X271" s="32">
        <f t="shared" si="28"/>
        <v>27</v>
      </c>
      <c r="Y271" s="32" t="str">
        <f t="shared" ref="Y271:Y281" si="33">IF(L271="","",L271)</f>
        <v>只</v>
      </c>
      <c r="Z271" s="15"/>
      <c r="AA271" s="15"/>
      <c r="AB271" s="105"/>
    </row>
    <row r="272" spans="1:28" s="173" customFormat="1" ht="19.899999999999999" customHeight="1" x14ac:dyDescent="0.3">
      <c r="A272" s="163">
        <v>269</v>
      </c>
      <c r="B272" s="176" t="s">
        <v>1454</v>
      </c>
      <c r="C272" s="165" t="s">
        <v>2</v>
      </c>
      <c r="D272" s="166" t="str">
        <f t="shared" si="29"/>
        <v>玻璃仪器</v>
      </c>
      <c r="E272" s="167"/>
      <c r="F272" s="167"/>
      <c r="G272" s="167"/>
      <c r="H272" s="167"/>
      <c r="I272" s="167" t="s">
        <v>1138</v>
      </c>
      <c r="J272" s="165" t="s">
        <v>821</v>
      </c>
      <c r="K272" s="167">
        <v>1</v>
      </c>
      <c r="L272" s="165" t="s">
        <v>822</v>
      </c>
      <c r="M272" s="166" t="str">
        <f t="shared" si="30"/>
        <v>常规</v>
      </c>
      <c r="N272" s="167"/>
      <c r="O272" s="169" t="s">
        <v>2248</v>
      </c>
      <c r="P272" s="170" t="s">
        <v>2236</v>
      </c>
      <c r="Q272" s="167"/>
      <c r="R272" s="167"/>
      <c r="S272" s="167" t="s">
        <v>963</v>
      </c>
      <c r="T272" s="167">
        <v>1</v>
      </c>
      <c r="U272" s="166" t="str">
        <f t="shared" si="32"/>
        <v>只</v>
      </c>
      <c r="V272" s="167"/>
      <c r="W272" s="167"/>
      <c r="X272" s="166" t="str">
        <f t="shared" si="28"/>
        <v/>
      </c>
      <c r="Y272" s="166" t="str">
        <f t="shared" si="33"/>
        <v>只</v>
      </c>
      <c r="Z272" s="167"/>
      <c r="AA272" s="167"/>
      <c r="AB272" s="237"/>
    </row>
    <row r="273" spans="1:28" s="173" customFormat="1" ht="19.899999999999999" customHeight="1" x14ac:dyDescent="0.3">
      <c r="A273" s="163">
        <v>270</v>
      </c>
      <c r="B273" s="176" t="s">
        <v>1454</v>
      </c>
      <c r="C273" s="165" t="s">
        <v>2</v>
      </c>
      <c r="D273" s="166" t="str">
        <f t="shared" si="29"/>
        <v>玻璃仪器</v>
      </c>
      <c r="E273" s="167"/>
      <c r="F273" s="167"/>
      <c r="G273" s="167"/>
      <c r="H273" s="167"/>
      <c r="I273" s="167" t="s">
        <v>1140</v>
      </c>
      <c r="J273" s="165" t="s">
        <v>821</v>
      </c>
      <c r="K273" s="167">
        <v>1</v>
      </c>
      <c r="L273" s="165" t="s">
        <v>822</v>
      </c>
      <c r="M273" s="166" t="str">
        <f t="shared" si="30"/>
        <v>常规</v>
      </c>
      <c r="N273" s="167"/>
      <c r="O273" s="169" t="s">
        <v>2248</v>
      </c>
      <c r="P273" s="170" t="s">
        <v>2236</v>
      </c>
      <c r="Q273" s="167"/>
      <c r="R273" s="167"/>
      <c r="S273" s="167" t="s">
        <v>997</v>
      </c>
      <c r="T273" s="167">
        <v>1</v>
      </c>
      <c r="U273" s="166" t="str">
        <f t="shared" si="32"/>
        <v>只</v>
      </c>
      <c r="V273" s="167"/>
      <c r="W273" s="167"/>
      <c r="X273" s="166" t="str">
        <f t="shared" si="28"/>
        <v/>
      </c>
      <c r="Y273" s="166" t="str">
        <f t="shared" si="33"/>
        <v>只</v>
      </c>
      <c r="Z273" s="167"/>
      <c r="AA273" s="167"/>
      <c r="AB273" s="237"/>
    </row>
    <row r="274" spans="1:28" s="173" customFormat="1" ht="19.899999999999999" customHeight="1" x14ac:dyDescent="0.3">
      <c r="A274" s="163">
        <v>271</v>
      </c>
      <c r="B274" s="176" t="s">
        <v>1486</v>
      </c>
      <c r="C274" s="165" t="s">
        <v>2</v>
      </c>
      <c r="D274" s="166" t="str">
        <f t="shared" si="29"/>
        <v>玻璃仪器</v>
      </c>
      <c r="E274" s="167"/>
      <c r="F274" s="167" t="s">
        <v>1036</v>
      </c>
      <c r="G274" s="167"/>
      <c r="H274" s="167"/>
      <c r="I274" s="167" t="s">
        <v>1166</v>
      </c>
      <c r="J274" s="165" t="s">
        <v>821</v>
      </c>
      <c r="K274" s="167">
        <v>13</v>
      </c>
      <c r="L274" s="165" t="s">
        <v>822</v>
      </c>
      <c r="M274" s="166" t="str">
        <f t="shared" si="30"/>
        <v>常规</v>
      </c>
      <c r="N274" s="167"/>
      <c r="O274" s="169"/>
      <c r="P274" s="170"/>
      <c r="Q274" s="167"/>
      <c r="R274" s="167"/>
      <c r="S274" s="167" t="s">
        <v>1040</v>
      </c>
      <c r="T274" s="167">
        <v>13</v>
      </c>
      <c r="U274" s="166" t="str">
        <f t="shared" si="32"/>
        <v>只</v>
      </c>
      <c r="V274" s="167"/>
      <c r="W274" s="167"/>
      <c r="X274" s="166" t="str">
        <f t="shared" si="28"/>
        <v/>
      </c>
      <c r="Y274" s="166" t="str">
        <f t="shared" si="33"/>
        <v>只</v>
      </c>
      <c r="Z274" s="167"/>
      <c r="AA274" s="167"/>
      <c r="AB274" s="237"/>
    </row>
    <row r="275" spans="1:28" s="173" customFormat="1" ht="19.899999999999999" customHeight="1" x14ac:dyDescent="0.3">
      <c r="A275" s="163">
        <v>272</v>
      </c>
      <c r="B275" s="176" t="s">
        <v>1557</v>
      </c>
      <c r="C275" s="165" t="s">
        <v>2</v>
      </c>
      <c r="D275" s="166" t="str">
        <f t="shared" si="29"/>
        <v>玻璃仪器</v>
      </c>
      <c r="E275" s="167"/>
      <c r="F275" s="176" t="s">
        <v>1558</v>
      </c>
      <c r="G275" s="167"/>
      <c r="H275" s="167"/>
      <c r="I275" s="176" t="s">
        <v>1185</v>
      </c>
      <c r="J275" s="165" t="s">
        <v>821</v>
      </c>
      <c r="K275" s="167">
        <v>50</v>
      </c>
      <c r="L275" s="165" t="s">
        <v>134</v>
      </c>
      <c r="M275" s="166" t="str">
        <f t="shared" si="30"/>
        <v>常规</v>
      </c>
      <c r="N275" s="167"/>
      <c r="O275" s="169"/>
      <c r="P275" s="170"/>
      <c r="Q275" s="167"/>
      <c r="R275" s="167"/>
      <c r="S275" s="167" t="s">
        <v>1056</v>
      </c>
      <c r="T275" s="167">
        <v>50</v>
      </c>
      <c r="U275" s="166" t="str">
        <f t="shared" si="32"/>
        <v>个</v>
      </c>
      <c r="V275" s="167"/>
      <c r="W275" s="167"/>
      <c r="X275" s="166" t="str">
        <f t="shared" si="28"/>
        <v/>
      </c>
      <c r="Y275" s="166" t="str">
        <f t="shared" si="33"/>
        <v>个</v>
      </c>
      <c r="Z275" s="167"/>
      <c r="AA275" s="167"/>
      <c r="AB275" s="237"/>
    </row>
    <row r="276" spans="1:28" s="46" customFormat="1" ht="19.899999999999999" customHeight="1" x14ac:dyDescent="0.15">
      <c r="A276" s="34">
        <v>273</v>
      </c>
      <c r="B276" s="92" t="s">
        <v>1617</v>
      </c>
      <c r="C276" s="29" t="s">
        <v>2</v>
      </c>
      <c r="D276" s="32" t="str">
        <f t="shared" ref="D276:D304" si="34">IF(C276="J1","常规化学品",IF(C276="J2","危险化学品",IF(C276="J3","标准物质",IF(C276="J4","玻璃仪器",IF(C276="J5","实验气体",IF(C276="J6","专用物耗",IF(C276="J7","备品配件",IF(C276="J8","专用工具",IF(C276="Z1","劳保物资",IF(C276="Z2","办公耗材",IF(C276="Z3","食品饮料",IF(C276="Z4","特殊物耗",IF(C276="Z5","通用物耗",IF(C276="Z6","通用工具",""))))))))))))))</f>
        <v>玻璃仪器</v>
      </c>
      <c r="E276" s="15"/>
      <c r="F276" s="15" t="s">
        <v>1618</v>
      </c>
      <c r="G276" s="15"/>
      <c r="H276" s="15"/>
      <c r="I276" s="15" t="s">
        <v>1620</v>
      </c>
      <c r="J276" s="29" t="s">
        <v>1619</v>
      </c>
      <c r="K276" s="15">
        <v>50</v>
      </c>
      <c r="L276" s="29" t="s">
        <v>134</v>
      </c>
      <c r="M276" s="32" t="str">
        <f t="shared" si="30"/>
        <v>常规</v>
      </c>
      <c r="N276" s="15"/>
      <c r="O276" s="137" t="s">
        <v>2243</v>
      </c>
      <c r="P276" s="134" t="s">
        <v>2237</v>
      </c>
      <c r="Q276" s="15"/>
      <c r="R276" s="15"/>
      <c r="S276" s="15"/>
      <c r="T276" s="15"/>
      <c r="U276" s="32" t="str">
        <f t="shared" si="32"/>
        <v>个</v>
      </c>
      <c r="V276" s="15"/>
      <c r="W276" s="15"/>
      <c r="X276" s="32">
        <f t="shared" si="28"/>
        <v>50</v>
      </c>
      <c r="Y276" s="32" t="str">
        <f t="shared" si="33"/>
        <v>个</v>
      </c>
      <c r="Z276" s="15"/>
      <c r="AA276" s="15"/>
      <c r="AB276" s="102"/>
    </row>
    <row r="277" spans="1:28" s="46" customFormat="1" ht="19.899999999999999" customHeight="1" x14ac:dyDescent="0.15">
      <c r="A277" s="34">
        <v>274</v>
      </c>
      <c r="B277" s="12" t="s">
        <v>465</v>
      </c>
      <c r="C277" s="29" t="s">
        <v>2</v>
      </c>
      <c r="D277" s="32" t="str">
        <f t="shared" si="34"/>
        <v>玻璃仪器</v>
      </c>
      <c r="E277" s="14" t="s">
        <v>256</v>
      </c>
      <c r="F277" s="14" t="s">
        <v>1657</v>
      </c>
      <c r="G277" s="15"/>
      <c r="H277" s="15"/>
      <c r="I277" s="52"/>
      <c r="J277" s="29" t="s">
        <v>1608</v>
      </c>
      <c r="K277" s="15">
        <v>9</v>
      </c>
      <c r="L277" s="29" t="s">
        <v>134</v>
      </c>
      <c r="M277" s="32" t="str">
        <f t="shared" si="30"/>
        <v>常规</v>
      </c>
      <c r="N277" s="15"/>
      <c r="O277" s="137" t="s">
        <v>2243</v>
      </c>
      <c r="P277" s="134" t="s">
        <v>2237</v>
      </c>
      <c r="Q277" s="15"/>
      <c r="R277" s="15"/>
      <c r="S277" s="15"/>
      <c r="T277" s="15"/>
      <c r="U277" s="32" t="str">
        <f t="shared" si="32"/>
        <v>个</v>
      </c>
      <c r="V277" s="15"/>
      <c r="W277" s="15"/>
      <c r="X277" s="32">
        <f t="shared" si="28"/>
        <v>9</v>
      </c>
      <c r="Y277" s="32" t="str">
        <f t="shared" si="33"/>
        <v>个</v>
      </c>
      <c r="Z277" s="15"/>
      <c r="AA277" s="15"/>
      <c r="AB277" s="102"/>
    </row>
    <row r="278" spans="1:28" s="46" customFormat="1" ht="19.899999999999999" customHeight="1" x14ac:dyDescent="0.15">
      <c r="A278" s="34">
        <v>275</v>
      </c>
      <c r="B278" s="91" t="s">
        <v>2040</v>
      </c>
      <c r="C278" s="29" t="s">
        <v>2</v>
      </c>
      <c r="D278" s="32" t="str">
        <f t="shared" si="34"/>
        <v>玻璃仪器</v>
      </c>
      <c r="E278" s="15"/>
      <c r="F278" s="15" t="s">
        <v>2041</v>
      </c>
      <c r="G278" s="15"/>
      <c r="H278" s="15"/>
      <c r="I278" s="15" t="s">
        <v>3015</v>
      </c>
      <c r="J278" s="29" t="s">
        <v>1619</v>
      </c>
      <c r="K278" s="15">
        <v>19</v>
      </c>
      <c r="L278" s="29" t="s">
        <v>1609</v>
      </c>
      <c r="M278" s="32" t="str">
        <f t="shared" si="30"/>
        <v>常规</v>
      </c>
      <c r="N278" s="15"/>
      <c r="O278" s="137" t="s">
        <v>2243</v>
      </c>
      <c r="P278" s="134" t="s">
        <v>2238</v>
      </c>
      <c r="Q278" s="15"/>
      <c r="R278" s="15"/>
      <c r="S278" s="15"/>
      <c r="T278" s="15"/>
      <c r="U278" s="32" t="str">
        <f t="shared" si="32"/>
        <v>支</v>
      </c>
      <c r="V278" s="15"/>
      <c r="W278" s="15"/>
      <c r="X278" s="32">
        <f t="shared" si="28"/>
        <v>19</v>
      </c>
      <c r="Y278" s="32" t="str">
        <f t="shared" si="33"/>
        <v>支</v>
      </c>
      <c r="Z278" s="15"/>
      <c r="AA278" s="15"/>
      <c r="AB278" s="313" t="s">
        <v>3053</v>
      </c>
    </row>
    <row r="279" spans="1:28" s="46" customFormat="1" ht="19.899999999999999" customHeight="1" x14ac:dyDescent="0.15">
      <c r="A279" s="34">
        <v>276</v>
      </c>
      <c r="B279" s="91" t="s">
        <v>2042</v>
      </c>
      <c r="C279" s="29" t="s">
        <v>2</v>
      </c>
      <c r="D279" s="32" t="str">
        <f t="shared" si="34"/>
        <v>玻璃仪器</v>
      </c>
      <c r="E279" s="93" t="s">
        <v>2043</v>
      </c>
      <c r="F279" s="14" t="s">
        <v>1657</v>
      </c>
      <c r="G279" s="15"/>
      <c r="H279" s="15"/>
      <c r="I279" s="15" t="s">
        <v>2044</v>
      </c>
      <c r="J279" s="29" t="s">
        <v>1619</v>
      </c>
      <c r="K279" s="15">
        <v>7</v>
      </c>
      <c r="L279" s="29" t="s">
        <v>1591</v>
      </c>
      <c r="M279" s="32" t="str">
        <f t="shared" si="30"/>
        <v>常规</v>
      </c>
      <c r="N279" s="15"/>
      <c r="O279" s="137" t="s">
        <v>2243</v>
      </c>
      <c r="P279" s="134" t="s">
        <v>2237</v>
      </c>
      <c r="Q279" s="15"/>
      <c r="R279" s="15"/>
      <c r="S279" s="15"/>
      <c r="T279" s="15"/>
      <c r="U279" s="32" t="str">
        <f t="shared" si="32"/>
        <v>只</v>
      </c>
      <c r="V279" s="15"/>
      <c r="W279" s="15"/>
      <c r="X279" s="32">
        <f t="shared" si="28"/>
        <v>7</v>
      </c>
      <c r="Y279" s="32" t="str">
        <f t="shared" si="33"/>
        <v>只</v>
      </c>
      <c r="Z279" s="15"/>
      <c r="AA279" s="15"/>
      <c r="AB279" s="102"/>
    </row>
    <row r="280" spans="1:28" s="46" customFormat="1" ht="19.899999999999999" customHeight="1" x14ac:dyDescent="0.15">
      <c r="A280" s="34">
        <v>277</v>
      </c>
      <c r="B280" s="91" t="s">
        <v>2160</v>
      </c>
      <c r="C280" s="29" t="s">
        <v>2</v>
      </c>
      <c r="D280" s="32" t="str">
        <f t="shared" si="34"/>
        <v>玻璃仪器</v>
      </c>
      <c r="E280" s="93" t="s">
        <v>2161</v>
      </c>
      <c r="F280" s="15" t="s">
        <v>2162</v>
      </c>
      <c r="G280" s="15"/>
      <c r="H280" s="15"/>
      <c r="I280" s="15" t="s">
        <v>2164</v>
      </c>
      <c r="J280" s="29" t="s">
        <v>1619</v>
      </c>
      <c r="K280" s="15">
        <v>1</v>
      </c>
      <c r="L280" s="94" t="s">
        <v>2163</v>
      </c>
      <c r="M280" s="32" t="str">
        <f t="shared" si="30"/>
        <v>常规</v>
      </c>
      <c r="N280" s="15"/>
      <c r="O280" s="137" t="s">
        <v>2243</v>
      </c>
      <c r="P280" s="134" t="s">
        <v>2237</v>
      </c>
      <c r="Q280" s="15"/>
      <c r="R280" s="15"/>
      <c r="S280" s="15"/>
      <c r="T280" s="15"/>
      <c r="U280" s="32" t="str">
        <f t="shared" si="32"/>
        <v>个</v>
      </c>
      <c r="V280" s="15"/>
      <c r="W280" s="15"/>
      <c r="X280" s="32">
        <f t="shared" si="28"/>
        <v>1</v>
      </c>
      <c r="Y280" s="32" t="str">
        <f t="shared" si="33"/>
        <v>个</v>
      </c>
      <c r="Z280" s="15"/>
      <c r="AA280" s="15"/>
      <c r="AB280" s="102"/>
    </row>
    <row r="281" spans="1:28" s="220" customFormat="1" ht="19.899999999999999" customHeight="1" x14ac:dyDescent="0.15">
      <c r="A281" s="201">
        <v>278</v>
      </c>
      <c r="B281" s="215" t="s">
        <v>2288</v>
      </c>
      <c r="C281" s="203" t="s">
        <v>2</v>
      </c>
      <c r="D281" s="204" t="str">
        <f t="shared" si="34"/>
        <v>玻璃仪器</v>
      </c>
      <c r="E281" s="216" t="s">
        <v>2289</v>
      </c>
      <c r="F281" s="217" t="s">
        <v>9</v>
      </c>
      <c r="G281" s="206"/>
      <c r="H281" s="206"/>
      <c r="I281" s="206" t="s">
        <v>2310</v>
      </c>
      <c r="J281" s="203" t="s">
        <v>821</v>
      </c>
      <c r="K281" s="206">
        <v>1</v>
      </c>
      <c r="L281" s="218" t="s">
        <v>2305</v>
      </c>
      <c r="M281" s="204" t="str">
        <f t="shared" si="30"/>
        <v>常规</v>
      </c>
      <c r="N281" s="206"/>
      <c r="O281" s="219"/>
      <c r="P281" s="209"/>
      <c r="Q281" s="206"/>
      <c r="R281" s="206"/>
      <c r="S281" s="206" t="s">
        <v>2290</v>
      </c>
      <c r="T281" s="206">
        <v>1</v>
      </c>
      <c r="U281" s="204" t="str">
        <f t="shared" ref="U281:U304" si="35">IF(L281="","",L281)</f>
        <v>套</v>
      </c>
      <c r="V281" s="206"/>
      <c r="W281" s="206"/>
      <c r="X281" s="204" t="str">
        <f t="shared" ref="X281:X304" si="36">IF((K281-T281)&lt;=0,"",K281-T281)</f>
        <v/>
      </c>
      <c r="Y281" s="204" t="str">
        <f t="shared" si="33"/>
        <v>套</v>
      </c>
      <c r="Z281" s="206"/>
      <c r="AA281" s="206"/>
      <c r="AB281" s="214"/>
    </row>
    <row r="282" spans="1:28" s="220" customFormat="1" ht="19.899999999999999" customHeight="1" x14ac:dyDescent="0.15">
      <c r="A282" s="201">
        <v>279</v>
      </c>
      <c r="B282" s="221" t="s">
        <v>2306</v>
      </c>
      <c r="C282" s="203" t="s">
        <v>2</v>
      </c>
      <c r="D282" s="204" t="str">
        <f t="shared" ref="D282:D283" si="37">IF(C282="J1","常规化学品",IF(C282="J2","危险化学品",IF(C282="J3","标准物质",IF(C282="J4","玻璃仪器",IF(C282="J5","实验气体",IF(C282="J6","专用物耗",IF(C282="J7","备品配件",IF(C282="J8","专用工具",IF(C282="Z1","劳保物资",IF(C282="Z2","办公耗材",IF(C282="Z3","食品饮料",IF(C282="Z4","特殊物耗",IF(C282="Z5","通用物耗",IF(C282="Z6","通用工具",""))))))))))))))</f>
        <v>玻璃仪器</v>
      </c>
      <c r="E282" s="222" t="s">
        <v>2307</v>
      </c>
      <c r="F282" s="206" t="s">
        <v>2308</v>
      </c>
      <c r="G282" s="206"/>
      <c r="H282" s="206"/>
      <c r="I282" s="206" t="s">
        <v>2309</v>
      </c>
      <c r="J282" s="203" t="s">
        <v>821</v>
      </c>
      <c r="K282" s="206">
        <v>2</v>
      </c>
      <c r="L282" s="203" t="s">
        <v>1609</v>
      </c>
      <c r="M282" s="204" t="str">
        <f t="shared" si="30"/>
        <v>常规</v>
      </c>
      <c r="N282" s="206"/>
      <c r="O282" s="219"/>
      <c r="P282" s="209"/>
      <c r="Q282" s="206"/>
      <c r="R282" s="206"/>
      <c r="S282" s="206" t="s">
        <v>2311</v>
      </c>
      <c r="T282" s="206">
        <v>2</v>
      </c>
      <c r="U282" s="204" t="str">
        <f t="shared" si="35"/>
        <v>支</v>
      </c>
      <c r="V282" s="206"/>
      <c r="W282" s="206"/>
      <c r="X282" s="204" t="str">
        <f t="shared" si="36"/>
        <v/>
      </c>
      <c r="Y282" s="204" t="str">
        <f t="shared" ref="Y282:Y304" si="38">IF(L282="","",L282)</f>
        <v>支</v>
      </c>
      <c r="Z282" s="206"/>
      <c r="AA282" s="206"/>
      <c r="AB282" s="214"/>
    </row>
    <row r="283" spans="1:28" s="220" customFormat="1" ht="19.899999999999999" customHeight="1" x14ac:dyDescent="0.15">
      <c r="A283" s="201">
        <v>280</v>
      </c>
      <c r="B283" s="222" t="s">
        <v>2315</v>
      </c>
      <c r="C283" s="203" t="s">
        <v>2</v>
      </c>
      <c r="D283" s="204" t="str">
        <f t="shared" si="37"/>
        <v>玻璃仪器</v>
      </c>
      <c r="E283" s="222" t="s">
        <v>2316</v>
      </c>
      <c r="F283" s="206" t="s">
        <v>2317</v>
      </c>
      <c r="G283" s="206"/>
      <c r="H283" s="206"/>
      <c r="I283" s="206" t="s">
        <v>2318</v>
      </c>
      <c r="J283" s="203" t="s">
        <v>821</v>
      </c>
      <c r="K283" s="206">
        <v>1</v>
      </c>
      <c r="L283" s="218" t="s">
        <v>2305</v>
      </c>
      <c r="M283" s="204" t="str">
        <f t="shared" si="30"/>
        <v>常规</v>
      </c>
      <c r="N283" s="206"/>
      <c r="O283" s="219"/>
      <c r="P283" s="209"/>
      <c r="Q283" s="206"/>
      <c r="R283" s="206"/>
      <c r="S283" s="206" t="s">
        <v>2320</v>
      </c>
      <c r="T283" s="206">
        <v>1</v>
      </c>
      <c r="U283" s="204" t="str">
        <f t="shared" si="35"/>
        <v>套</v>
      </c>
      <c r="V283" s="206"/>
      <c r="W283" s="206"/>
      <c r="X283" s="204" t="str">
        <f t="shared" si="36"/>
        <v/>
      </c>
      <c r="Y283" s="204" t="str">
        <f t="shared" si="38"/>
        <v>套</v>
      </c>
      <c r="Z283" s="206"/>
      <c r="AA283" s="206"/>
      <c r="AB283" s="214"/>
    </row>
    <row r="284" spans="1:28" s="46" customFormat="1" ht="19.899999999999999" customHeight="1" x14ac:dyDescent="0.15">
      <c r="A284" s="249" t="s">
        <v>2838</v>
      </c>
      <c r="B284" s="93"/>
      <c r="C284" s="29"/>
      <c r="D284" s="32"/>
      <c r="E284" s="93"/>
      <c r="F284" s="15"/>
      <c r="G284" s="15"/>
      <c r="H284" s="15"/>
      <c r="I284" s="15"/>
      <c r="J284" s="29"/>
      <c r="K284" s="15"/>
      <c r="L284" s="94"/>
      <c r="M284" s="32"/>
      <c r="N284" s="15"/>
      <c r="O284" s="137"/>
      <c r="P284" s="134"/>
      <c r="Q284" s="15"/>
      <c r="R284" s="15"/>
      <c r="S284" s="15"/>
      <c r="T284" s="15"/>
      <c r="U284" s="32"/>
      <c r="V284" s="15"/>
      <c r="W284" s="15"/>
      <c r="X284" s="32"/>
      <c r="Y284" s="32"/>
      <c r="Z284" s="15"/>
      <c r="AA284" s="15"/>
      <c r="AB284" s="102"/>
    </row>
    <row r="285" spans="1:28" s="46" customFormat="1" ht="19.899999999999999" customHeight="1" x14ac:dyDescent="0.15">
      <c r="A285" s="34">
        <v>281</v>
      </c>
      <c r="B285" s="93" t="s">
        <v>2502</v>
      </c>
      <c r="C285" s="29" t="s">
        <v>2</v>
      </c>
      <c r="D285" s="32" t="str">
        <f t="shared" ref="D285" si="39">IF(C285="J1","常规化学品",IF(C285="J2","危险化学品",IF(C285="J3","标准物质",IF(C285="J4","玻璃仪器",IF(C285="J5","实验气体",IF(C285="J6","专用物耗",IF(C285="J7","备品配件",IF(C285="J8","专用工具",IF(C285="Z1","劳保物资",IF(C285="Z2","办公耗材",IF(C285="Z3","食品饮料",IF(C285="Z4","特殊物耗",IF(C285="Z5","通用物耗",IF(C285="Z6","通用工具",""))))))))))))))</f>
        <v>玻璃仪器</v>
      </c>
      <c r="E285" s="93" t="s">
        <v>2822</v>
      </c>
      <c r="F285" s="15" t="s">
        <v>2503</v>
      </c>
      <c r="G285" s="15"/>
      <c r="H285" s="15"/>
      <c r="I285" s="15" t="s">
        <v>2698</v>
      </c>
      <c r="J285" s="29" t="s">
        <v>821</v>
      </c>
      <c r="K285" s="15">
        <v>2</v>
      </c>
      <c r="L285" s="94" t="s">
        <v>2504</v>
      </c>
      <c r="M285" s="32" t="str">
        <f t="shared" ref="M285" si="40">IF(D285="危险化学品","五双",IF(D285="标准物资","严控",IF(D285&lt;&gt;"","常规","")))</f>
        <v>常规</v>
      </c>
      <c r="N285" s="15"/>
      <c r="O285" s="137" t="s">
        <v>2243</v>
      </c>
      <c r="P285" s="134" t="s">
        <v>2237</v>
      </c>
      <c r="Q285" s="15"/>
      <c r="R285" s="15"/>
      <c r="S285" s="15" t="s">
        <v>2506</v>
      </c>
      <c r="T285" s="15">
        <v>1</v>
      </c>
      <c r="U285" s="32" t="str">
        <f t="shared" ref="U285" si="41">IF(L285="","",L285)</f>
        <v>个</v>
      </c>
      <c r="V285" s="15"/>
      <c r="W285" s="15"/>
      <c r="X285" s="32">
        <f t="shared" ref="X285" si="42">IF((K285-T285)&lt;=0,"",K285-T285)</f>
        <v>1</v>
      </c>
      <c r="Y285" s="32" t="str">
        <f t="shared" ref="Y285" si="43">IF(L285="","",L285)</f>
        <v>个</v>
      </c>
      <c r="Z285" s="15"/>
      <c r="AA285" s="15"/>
      <c r="AB285" s="102"/>
    </row>
    <row r="286" spans="1:28" s="46" customFormat="1" ht="19.899999999999999" customHeight="1" x14ac:dyDescent="0.15">
      <c r="A286" s="34">
        <v>282</v>
      </c>
      <c r="B286" s="93" t="s">
        <v>2693</v>
      </c>
      <c r="C286" s="29" t="s">
        <v>2</v>
      </c>
      <c r="D286" s="32" t="str">
        <f t="shared" ref="D286" si="44">IF(C286="J1","常规化学品",IF(C286="J2","危险化学品",IF(C286="J3","标准物质",IF(C286="J4","玻璃仪器",IF(C286="J5","实验气体",IF(C286="J6","专用物耗",IF(C286="J7","备品配件",IF(C286="J8","专用工具",IF(C286="Z1","劳保物资",IF(C286="Z2","办公耗材",IF(C286="Z3","食品饮料",IF(C286="Z4","特殊物耗",IF(C286="Z5","通用物耗",IF(C286="Z6","通用工具",""))))))))))))))</f>
        <v>玻璃仪器</v>
      </c>
      <c r="E286" s="93" t="s">
        <v>2842</v>
      </c>
      <c r="F286" s="15" t="s">
        <v>2505</v>
      </c>
      <c r="G286" s="15"/>
      <c r="H286" s="15"/>
      <c r="I286" s="15" t="s">
        <v>2774</v>
      </c>
      <c r="J286" s="29" t="s">
        <v>821</v>
      </c>
      <c r="K286" s="15">
        <v>10</v>
      </c>
      <c r="L286" s="94" t="s">
        <v>2504</v>
      </c>
      <c r="M286" s="32" t="str">
        <f t="shared" ref="M286" si="45">IF(D286="危险化学品","五双",IF(D286="标准物资","严控",IF(D286&lt;&gt;"","常规","")))</f>
        <v>常规</v>
      </c>
      <c r="N286" s="15"/>
      <c r="O286" s="137" t="s">
        <v>2244</v>
      </c>
      <c r="P286" s="134" t="s">
        <v>2235</v>
      </c>
      <c r="Q286" s="93" t="s">
        <v>2697</v>
      </c>
      <c r="R286" s="15"/>
      <c r="S286" s="15"/>
      <c r="T286" s="15"/>
      <c r="U286" s="32" t="str">
        <f t="shared" ref="U286" si="46">IF(L286="","",L286)</f>
        <v>个</v>
      </c>
      <c r="V286" s="15"/>
      <c r="W286" s="15"/>
      <c r="X286" s="32">
        <f t="shared" ref="X286" si="47">IF((K286-T286)&lt;=0,"",K286-T286)</f>
        <v>10</v>
      </c>
      <c r="Y286" s="32" t="str">
        <f t="shared" ref="Y286" si="48">IF(L286="","",L286)</f>
        <v>个</v>
      </c>
      <c r="Z286" s="15"/>
      <c r="AA286" s="15"/>
      <c r="AB286" s="102"/>
    </row>
    <row r="287" spans="1:28" s="46" customFormat="1" ht="19.899999999999999" customHeight="1" x14ac:dyDescent="0.15">
      <c r="A287" s="34">
        <v>283</v>
      </c>
      <c r="B287" s="93" t="s">
        <v>2694</v>
      </c>
      <c r="C287" s="29" t="s">
        <v>2</v>
      </c>
      <c r="D287" s="32" t="str">
        <f t="shared" ref="D287" si="49">IF(C287="J1","常规化学品",IF(C287="J2","危险化学品",IF(C287="J3","标准物质",IF(C287="J4","玻璃仪器",IF(C287="J5","实验气体",IF(C287="J6","专用物耗",IF(C287="J7","备品配件",IF(C287="J8","专用工具",IF(C287="Z1","劳保物资",IF(C287="Z2","办公耗材",IF(C287="Z3","食品饮料",IF(C287="Z4","特殊物耗",IF(C287="Z5","通用物耗",IF(C287="Z6","通用工具",""))))))))))))))</f>
        <v>玻璃仪器</v>
      </c>
      <c r="E287" s="93" t="s">
        <v>2842</v>
      </c>
      <c r="F287" s="15" t="s">
        <v>2695</v>
      </c>
      <c r="G287" s="15"/>
      <c r="H287" s="15"/>
      <c r="I287" s="15" t="s">
        <v>2773</v>
      </c>
      <c r="J287" s="29" t="s">
        <v>821</v>
      </c>
      <c r="K287" s="15">
        <v>10</v>
      </c>
      <c r="L287" s="94" t="s">
        <v>2163</v>
      </c>
      <c r="M287" s="32" t="str">
        <f t="shared" si="30"/>
        <v>常规</v>
      </c>
      <c r="N287" s="15"/>
      <c r="O287" s="137" t="s">
        <v>2244</v>
      </c>
      <c r="P287" s="134" t="s">
        <v>2235</v>
      </c>
      <c r="Q287" s="93" t="s">
        <v>2696</v>
      </c>
      <c r="R287" s="15"/>
      <c r="S287" s="15"/>
      <c r="T287" s="15"/>
      <c r="U287" s="32" t="str">
        <f t="shared" si="35"/>
        <v>个</v>
      </c>
      <c r="V287" s="15"/>
      <c r="W287" s="15"/>
      <c r="X287" s="32">
        <f t="shared" si="36"/>
        <v>10</v>
      </c>
      <c r="Y287" s="32" t="str">
        <f t="shared" si="38"/>
        <v>个</v>
      </c>
      <c r="Z287" s="15"/>
      <c r="AA287" s="15"/>
      <c r="AB287" s="102"/>
    </row>
    <row r="288" spans="1:28" s="220" customFormat="1" ht="19.899999999999999" customHeight="1" x14ac:dyDescent="0.15">
      <c r="A288" s="201">
        <v>284</v>
      </c>
      <c r="B288" s="222" t="s">
        <v>2903</v>
      </c>
      <c r="C288" s="203" t="s">
        <v>2</v>
      </c>
      <c r="D288" s="204" t="str">
        <f t="shared" ref="D288" si="50">IF(C288="J1","常规化学品",IF(C288="J2","危险化学品",IF(C288="J3","标准物质",IF(C288="J4","玻璃仪器",IF(C288="J5","实验气体",IF(C288="J6","专用物耗",IF(C288="J7","备品配件",IF(C288="J8","专用工具",IF(C288="Z1","劳保物资",IF(C288="Z2","办公耗材",IF(C288="Z3","食品饮料",IF(C288="Z4","特殊物耗",IF(C288="Z5","通用物耗",IF(C288="Z6","通用工具",""))))))))))))))</f>
        <v>玻璃仪器</v>
      </c>
      <c r="E288" s="222" t="s">
        <v>2753</v>
      </c>
      <c r="F288" s="206" t="s">
        <v>2754</v>
      </c>
      <c r="G288" s="206"/>
      <c r="H288" s="206"/>
      <c r="I288" s="206" t="s">
        <v>2755</v>
      </c>
      <c r="J288" s="203" t="s">
        <v>821</v>
      </c>
      <c r="K288" s="206">
        <v>1</v>
      </c>
      <c r="L288" s="218" t="s">
        <v>2163</v>
      </c>
      <c r="M288" s="204" t="str">
        <f t="shared" ref="M288" si="51">IF(D288="危险化学品","五双",IF(D288="标准物资","严控",IF(D288&lt;&gt;"","常规","")))</f>
        <v>常规</v>
      </c>
      <c r="N288" s="206"/>
      <c r="O288" s="219" t="s">
        <v>2475</v>
      </c>
      <c r="P288" s="209" t="s">
        <v>2235</v>
      </c>
      <c r="Q288" s="222" t="s">
        <v>2696</v>
      </c>
      <c r="R288" s="206"/>
      <c r="S288" s="206" t="s">
        <v>2821</v>
      </c>
      <c r="T288" s="206">
        <v>1</v>
      </c>
      <c r="U288" s="204" t="str">
        <f t="shared" ref="U288" si="52">IF(L288="","",L288)</f>
        <v>个</v>
      </c>
      <c r="V288" s="206"/>
      <c r="W288" s="206"/>
      <c r="X288" s="204" t="str">
        <f t="shared" ref="X288" si="53">IF((K288-T288)&lt;=0,"",K288-T288)</f>
        <v/>
      </c>
      <c r="Y288" s="204" t="str">
        <f t="shared" ref="Y288" si="54">IF(L288="","",L288)</f>
        <v>个</v>
      </c>
      <c r="Z288" s="206"/>
      <c r="AA288" s="206"/>
      <c r="AB288" s="167" t="s">
        <v>2857</v>
      </c>
    </row>
    <row r="289" spans="1:28" s="46" customFormat="1" ht="19.899999999999999" customHeight="1" x14ac:dyDescent="0.15">
      <c r="A289" s="34">
        <v>285</v>
      </c>
      <c r="B289" s="93" t="s">
        <v>3086</v>
      </c>
      <c r="C289" s="29" t="s">
        <v>2</v>
      </c>
      <c r="D289" s="32" t="str">
        <f t="shared" si="34"/>
        <v>玻璃仪器</v>
      </c>
      <c r="E289" s="15"/>
      <c r="F289" s="15"/>
      <c r="G289" s="15"/>
      <c r="H289" s="15"/>
      <c r="I289" s="15" t="s">
        <v>3014</v>
      </c>
      <c r="J289" s="29" t="s">
        <v>1619</v>
      </c>
      <c r="K289" s="15">
        <v>2</v>
      </c>
      <c r="L289" s="29" t="s">
        <v>134</v>
      </c>
      <c r="M289" s="32" t="str">
        <f t="shared" si="30"/>
        <v>常规</v>
      </c>
      <c r="N289" s="15"/>
      <c r="O289" s="137" t="s">
        <v>2244</v>
      </c>
      <c r="P289" s="134" t="s">
        <v>2237</v>
      </c>
      <c r="Q289" s="15"/>
      <c r="R289" s="15"/>
      <c r="T289" s="15"/>
      <c r="U289" s="32" t="str">
        <f t="shared" si="35"/>
        <v>个</v>
      </c>
      <c r="V289" s="15"/>
      <c r="W289" s="15"/>
      <c r="X289" s="32">
        <f t="shared" si="36"/>
        <v>2</v>
      </c>
      <c r="Y289" s="32" t="str">
        <f t="shared" si="38"/>
        <v>个</v>
      </c>
      <c r="Z289" s="15"/>
      <c r="AA289" s="15"/>
      <c r="AB289" s="102"/>
    </row>
    <row r="290" spans="1:28" s="46" customFormat="1" ht="19.899999999999999" customHeight="1" x14ac:dyDescent="0.15">
      <c r="A290" s="34">
        <v>286</v>
      </c>
      <c r="B290" s="93" t="s">
        <v>3034</v>
      </c>
      <c r="C290" s="29" t="s">
        <v>2</v>
      </c>
      <c r="D290" s="32" t="str">
        <f t="shared" ref="D290:D291" si="55">IF(C290="J1","常规化学品",IF(C290="J2","危险化学品",IF(C290="J3","标准物质",IF(C290="J4","玻璃仪器",IF(C290="J5","实验气体",IF(C290="J6","专用物耗",IF(C290="J7","备品配件",IF(C290="J8","专用工具",IF(C290="Z1","劳保物资",IF(C290="Z2","办公耗材",IF(C290="Z3","食品饮料",IF(C290="Z4","特殊物耗",IF(C290="Z5","通用物耗",IF(C290="Z6","通用工具",""))))))))))))))</f>
        <v>玻璃仪器</v>
      </c>
      <c r="E290" s="15"/>
      <c r="F290" s="15" t="s">
        <v>3035</v>
      </c>
      <c r="G290" s="15"/>
      <c r="H290" s="15"/>
      <c r="I290" s="15" t="s">
        <v>3036</v>
      </c>
      <c r="J290" s="29" t="s">
        <v>1619</v>
      </c>
      <c r="K290" s="15">
        <v>4</v>
      </c>
      <c r="L290" s="29" t="s">
        <v>134</v>
      </c>
      <c r="M290" s="32" t="str">
        <f t="shared" si="30"/>
        <v>常规</v>
      </c>
      <c r="N290" s="15"/>
      <c r="O290" s="137" t="s">
        <v>3037</v>
      </c>
      <c r="P290" s="134" t="s">
        <v>3038</v>
      </c>
      <c r="Q290" s="15"/>
      <c r="R290" s="15"/>
      <c r="S290" s="15"/>
      <c r="T290" s="15"/>
      <c r="U290" s="32" t="str">
        <f t="shared" si="35"/>
        <v>个</v>
      </c>
      <c r="V290" s="15"/>
      <c r="W290" s="15"/>
      <c r="X290" s="32">
        <f t="shared" si="36"/>
        <v>4</v>
      </c>
      <c r="Y290" s="32" t="str">
        <f t="shared" si="38"/>
        <v>个</v>
      </c>
      <c r="Z290" s="15"/>
      <c r="AA290" s="15"/>
      <c r="AB290" s="310" t="s">
        <v>3040</v>
      </c>
    </row>
    <row r="291" spans="1:28" s="46" customFormat="1" ht="19.899999999999999" customHeight="1" x14ac:dyDescent="0.15">
      <c r="A291" s="34">
        <v>287</v>
      </c>
      <c r="B291" s="93" t="s">
        <v>3042</v>
      </c>
      <c r="C291" s="29" t="s">
        <v>2</v>
      </c>
      <c r="D291" s="32" t="str">
        <f t="shared" si="55"/>
        <v>玻璃仪器</v>
      </c>
      <c r="E291" s="15"/>
      <c r="F291" s="15" t="s">
        <v>3041</v>
      </c>
      <c r="G291" s="15"/>
      <c r="H291" s="15"/>
      <c r="I291" s="15" t="s">
        <v>3039</v>
      </c>
      <c r="J291" s="29" t="s">
        <v>1619</v>
      </c>
      <c r="K291" s="15">
        <v>3</v>
      </c>
      <c r="L291" s="29" t="s">
        <v>134</v>
      </c>
      <c r="M291" s="32" t="str">
        <f t="shared" si="30"/>
        <v>常规</v>
      </c>
      <c r="N291" s="15"/>
      <c r="O291" s="137" t="s">
        <v>3037</v>
      </c>
      <c r="P291" s="134" t="s">
        <v>3038</v>
      </c>
      <c r="Q291" s="15"/>
      <c r="R291" s="15"/>
      <c r="S291" s="15"/>
      <c r="T291" s="15"/>
      <c r="U291" s="32" t="str">
        <f t="shared" si="35"/>
        <v>个</v>
      </c>
      <c r="V291" s="15"/>
      <c r="W291" s="15"/>
      <c r="X291" s="32">
        <f t="shared" si="36"/>
        <v>3</v>
      </c>
      <c r="Y291" s="32" t="str">
        <f t="shared" si="38"/>
        <v>个</v>
      </c>
      <c r="Z291" s="15"/>
      <c r="AA291" s="15"/>
      <c r="AB291" s="310" t="s">
        <v>3040</v>
      </c>
    </row>
    <row r="292" spans="1:28" s="46" customFormat="1" ht="19.899999999999999" customHeight="1" x14ac:dyDescent="0.15">
      <c r="A292" s="34"/>
      <c r="B292" s="15"/>
      <c r="C292" s="29"/>
      <c r="D292" s="32" t="str">
        <f t="shared" si="34"/>
        <v/>
      </c>
      <c r="E292" s="15"/>
      <c r="F292" s="15"/>
      <c r="G292" s="15"/>
      <c r="H292" s="15"/>
      <c r="I292" s="15"/>
      <c r="J292" s="29"/>
      <c r="K292" s="15"/>
      <c r="L292" s="29"/>
      <c r="M292" s="32" t="str">
        <f t="shared" si="30"/>
        <v/>
      </c>
      <c r="N292" s="15"/>
      <c r="O292" s="137"/>
      <c r="P292" s="134"/>
      <c r="Q292" s="15"/>
      <c r="R292" s="15"/>
      <c r="S292" s="15"/>
      <c r="T292" s="15"/>
      <c r="U292" s="32" t="str">
        <f t="shared" si="35"/>
        <v/>
      </c>
      <c r="V292" s="15"/>
      <c r="W292" s="15"/>
      <c r="X292" s="32" t="str">
        <f t="shared" si="36"/>
        <v/>
      </c>
      <c r="Y292" s="32" t="str">
        <f t="shared" si="38"/>
        <v/>
      </c>
      <c r="Z292" s="15"/>
      <c r="AA292" s="15"/>
      <c r="AB292" s="102"/>
    </row>
    <row r="293" spans="1:28" s="46" customFormat="1" ht="19.899999999999999" customHeight="1" x14ac:dyDescent="0.15">
      <c r="A293" s="34"/>
      <c r="B293" s="15"/>
      <c r="C293" s="29"/>
      <c r="D293" s="32" t="str">
        <f t="shared" si="34"/>
        <v/>
      </c>
      <c r="E293" s="15"/>
      <c r="F293" s="15"/>
      <c r="G293" s="15"/>
      <c r="H293" s="15"/>
      <c r="I293" s="15"/>
      <c r="J293" s="29"/>
      <c r="K293" s="15"/>
      <c r="L293" s="29"/>
      <c r="M293" s="32" t="str">
        <f t="shared" si="30"/>
        <v/>
      </c>
      <c r="N293" s="15"/>
      <c r="O293" s="137"/>
      <c r="P293" s="134"/>
      <c r="Q293" s="15"/>
      <c r="R293" s="15"/>
      <c r="S293" s="15"/>
      <c r="T293" s="15"/>
      <c r="U293" s="32" t="str">
        <f t="shared" si="35"/>
        <v/>
      </c>
      <c r="V293" s="15"/>
      <c r="W293" s="15"/>
      <c r="X293" s="32" t="str">
        <f t="shared" si="36"/>
        <v/>
      </c>
      <c r="Y293" s="32" t="str">
        <f t="shared" si="38"/>
        <v/>
      </c>
      <c r="Z293" s="15"/>
      <c r="AA293" s="15"/>
      <c r="AB293" s="102"/>
    </row>
    <row r="294" spans="1:28" s="46" customFormat="1" ht="19.899999999999999" customHeight="1" x14ac:dyDescent="0.15">
      <c r="A294" s="34"/>
      <c r="B294" s="15"/>
      <c r="C294" s="29"/>
      <c r="D294" s="32" t="str">
        <f t="shared" si="34"/>
        <v/>
      </c>
      <c r="E294" s="15"/>
      <c r="F294" s="15"/>
      <c r="G294" s="15"/>
      <c r="H294" s="15"/>
      <c r="I294" s="15"/>
      <c r="J294" s="29"/>
      <c r="K294" s="15"/>
      <c r="L294" s="29"/>
      <c r="M294" s="32" t="str">
        <f t="shared" si="30"/>
        <v/>
      </c>
      <c r="N294" s="15"/>
      <c r="O294" s="137"/>
      <c r="P294" s="134"/>
      <c r="Q294" s="15"/>
      <c r="R294" s="15"/>
      <c r="S294" s="15"/>
      <c r="T294" s="15"/>
      <c r="U294" s="32" t="str">
        <f t="shared" si="35"/>
        <v/>
      </c>
      <c r="V294" s="15"/>
      <c r="W294" s="15"/>
      <c r="X294" s="32" t="str">
        <f t="shared" si="36"/>
        <v/>
      </c>
      <c r="Y294" s="32" t="str">
        <f t="shared" si="38"/>
        <v/>
      </c>
      <c r="Z294" s="15"/>
      <c r="AA294" s="15"/>
      <c r="AB294" s="102"/>
    </row>
    <row r="295" spans="1:28" s="46" customFormat="1" ht="19.899999999999999" customHeight="1" x14ac:dyDescent="0.15">
      <c r="A295" s="34"/>
      <c r="B295" s="15"/>
      <c r="C295" s="29"/>
      <c r="D295" s="32" t="str">
        <f t="shared" si="34"/>
        <v/>
      </c>
      <c r="E295" s="15"/>
      <c r="F295" s="15"/>
      <c r="G295" s="15"/>
      <c r="H295" s="15"/>
      <c r="I295" s="15"/>
      <c r="J295" s="29"/>
      <c r="K295" s="15"/>
      <c r="L295" s="29"/>
      <c r="M295" s="32" t="str">
        <f t="shared" si="30"/>
        <v/>
      </c>
      <c r="N295" s="15"/>
      <c r="O295" s="137"/>
      <c r="P295" s="134"/>
      <c r="Q295" s="15"/>
      <c r="R295" s="15"/>
      <c r="S295" s="15"/>
      <c r="T295" s="15"/>
      <c r="U295" s="32" t="str">
        <f t="shared" si="35"/>
        <v/>
      </c>
      <c r="V295" s="15"/>
      <c r="W295" s="15"/>
      <c r="X295" s="32" t="str">
        <f t="shared" si="36"/>
        <v/>
      </c>
      <c r="Y295" s="32" t="str">
        <f t="shared" si="38"/>
        <v/>
      </c>
      <c r="Z295" s="15"/>
      <c r="AA295" s="15"/>
      <c r="AB295" s="102"/>
    </row>
    <row r="296" spans="1:28" s="46" customFormat="1" ht="19.899999999999999" customHeight="1" x14ac:dyDescent="0.15">
      <c r="A296" s="34"/>
      <c r="B296" s="15"/>
      <c r="C296" s="29"/>
      <c r="D296" s="32" t="str">
        <f t="shared" si="34"/>
        <v/>
      </c>
      <c r="E296" s="15"/>
      <c r="F296" s="15"/>
      <c r="G296" s="15"/>
      <c r="H296" s="15"/>
      <c r="I296" s="15"/>
      <c r="J296" s="29"/>
      <c r="K296" s="15"/>
      <c r="L296" s="29"/>
      <c r="M296" s="32" t="str">
        <f t="shared" si="30"/>
        <v/>
      </c>
      <c r="N296" s="15"/>
      <c r="O296" s="137"/>
      <c r="P296" s="134"/>
      <c r="Q296" s="15"/>
      <c r="R296" s="15"/>
      <c r="S296" s="15"/>
      <c r="T296" s="15"/>
      <c r="U296" s="32" t="str">
        <f t="shared" si="35"/>
        <v/>
      </c>
      <c r="V296" s="15"/>
      <c r="W296" s="15"/>
      <c r="X296" s="32" t="str">
        <f t="shared" si="36"/>
        <v/>
      </c>
      <c r="Y296" s="32" t="str">
        <f t="shared" si="38"/>
        <v/>
      </c>
      <c r="Z296" s="15"/>
      <c r="AA296" s="15"/>
      <c r="AB296" s="102"/>
    </row>
    <row r="297" spans="1:28" s="46" customFormat="1" ht="19.899999999999999" customHeight="1" x14ac:dyDescent="0.15">
      <c r="A297" s="34"/>
      <c r="B297" s="15"/>
      <c r="C297" s="29"/>
      <c r="D297" s="32" t="str">
        <f t="shared" si="34"/>
        <v/>
      </c>
      <c r="E297" s="15"/>
      <c r="F297" s="15"/>
      <c r="G297" s="15"/>
      <c r="H297" s="15"/>
      <c r="I297" s="15"/>
      <c r="J297" s="29"/>
      <c r="K297" s="15"/>
      <c r="L297" s="29"/>
      <c r="M297" s="32" t="str">
        <f t="shared" si="30"/>
        <v/>
      </c>
      <c r="N297" s="15"/>
      <c r="O297" s="137"/>
      <c r="P297" s="134"/>
      <c r="Q297" s="15"/>
      <c r="R297" s="15"/>
      <c r="S297" s="15"/>
      <c r="T297" s="15"/>
      <c r="U297" s="32" t="str">
        <f t="shared" si="35"/>
        <v/>
      </c>
      <c r="V297" s="15"/>
      <c r="W297" s="15"/>
      <c r="X297" s="32" t="str">
        <f t="shared" si="36"/>
        <v/>
      </c>
      <c r="Y297" s="32" t="str">
        <f t="shared" si="38"/>
        <v/>
      </c>
      <c r="Z297" s="15"/>
      <c r="AA297" s="15"/>
      <c r="AB297" s="102"/>
    </row>
    <row r="298" spans="1:28" s="46" customFormat="1" ht="19.899999999999999" customHeight="1" x14ac:dyDescent="0.15">
      <c r="A298" s="34"/>
      <c r="B298" s="15"/>
      <c r="C298" s="29"/>
      <c r="D298" s="32" t="str">
        <f t="shared" si="34"/>
        <v/>
      </c>
      <c r="E298" s="15"/>
      <c r="F298" s="15"/>
      <c r="G298" s="15"/>
      <c r="H298" s="15"/>
      <c r="I298" s="15"/>
      <c r="J298" s="29"/>
      <c r="K298" s="15"/>
      <c r="L298" s="29"/>
      <c r="M298" s="32" t="str">
        <f t="shared" si="30"/>
        <v/>
      </c>
      <c r="N298" s="15"/>
      <c r="O298" s="137"/>
      <c r="P298" s="134"/>
      <c r="Q298" s="15"/>
      <c r="R298" s="15"/>
      <c r="S298" s="15"/>
      <c r="T298" s="15"/>
      <c r="U298" s="32" t="str">
        <f t="shared" si="35"/>
        <v/>
      </c>
      <c r="V298" s="15"/>
      <c r="W298" s="15"/>
      <c r="X298" s="32" t="str">
        <f t="shared" si="36"/>
        <v/>
      </c>
      <c r="Y298" s="32" t="str">
        <f t="shared" si="38"/>
        <v/>
      </c>
      <c r="Z298" s="15"/>
      <c r="AA298" s="15"/>
      <c r="AB298" s="102"/>
    </row>
    <row r="299" spans="1:28" s="46" customFormat="1" ht="19.899999999999999" customHeight="1" x14ac:dyDescent="0.15">
      <c r="A299" s="34"/>
      <c r="B299" s="15"/>
      <c r="C299" s="29"/>
      <c r="D299" s="32" t="str">
        <f t="shared" si="34"/>
        <v/>
      </c>
      <c r="E299" s="15"/>
      <c r="F299" s="15"/>
      <c r="G299" s="15"/>
      <c r="H299" s="15"/>
      <c r="I299" s="15"/>
      <c r="J299" s="29"/>
      <c r="K299" s="15"/>
      <c r="L299" s="29"/>
      <c r="M299" s="32" t="str">
        <f t="shared" si="30"/>
        <v/>
      </c>
      <c r="N299" s="15"/>
      <c r="O299" s="137"/>
      <c r="P299" s="134"/>
      <c r="Q299" s="15"/>
      <c r="R299" s="15"/>
      <c r="S299" s="15"/>
      <c r="T299" s="15"/>
      <c r="U299" s="32" t="str">
        <f t="shared" si="35"/>
        <v/>
      </c>
      <c r="V299" s="15"/>
      <c r="W299" s="15"/>
      <c r="X299" s="32" t="str">
        <f t="shared" si="36"/>
        <v/>
      </c>
      <c r="Y299" s="32" t="str">
        <f t="shared" si="38"/>
        <v/>
      </c>
      <c r="Z299" s="15"/>
      <c r="AA299" s="15"/>
      <c r="AB299" s="102"/>
    </row>
    <row r="300" spans="1:28" s="46" customFormat="1" ht="19.899999999999999" customHeight="1" x14ac:dyDescent="0.15">
      <c r="A300" s="34"/>
      <c r="B300" s="15"/>
      <c r="C300" s="29"/>
      <c r="D300" s="32" t="str">
        <f t="shared" si="34"/>
        <v/>
      </c>
      <c r="E300" s="15"/>
      <c r="F300" s="15"/>
      <c r="G300" s="15"/>
      <c r="H300" s="15"/>
      <c r="I300" s="15"/>
      <c r="J300" s="29"/>
      <c r="K300" s="15"/>
      <c r="L300" s="29"/>
      <c r="M300" s="32" t="str">
        <f t="shared" si="30"/>
        <v/>
      </c>
      <c r="N300" s="15"/>
      <c r="O300" s="137"/>
      <c r="P300" s="134"/>
      <c r="Q300" s="15"/>
      <c r="R300" s="15"/>
      <c r="S300" s="15"/>
      <c r="T300" s="15"/>
      <c r="U300" s="32" t="str">
        <f t="shared" si="35"/>
        <v/>
      </c>
      <c r="V300" s="15"/>
      <c r="W300" s="15"/>
      <c r="X300" s="32" t="str">
        <f t="shared" si="36"/>
        <v/>
      </c>
      <c r="Y300" s="32" t="str">
        <f t="shared" si="38"/>
        <v/>
      </c>
      <c r="Z300" s="15"/>
      <c r="AA300" s="15"/>
      <c r="AB300" s="102"/>
    </row>
    <row r="301" spans="1:28" s="46" customFormat="1" ht="19.899999999999999" customHeight="1" x14ac:dyDescent="0.15">
      <c r="A301" s="34"/>
      <c r="B301" s="15"/>
      <c r="C301" s="29"/>
      <c r="D301" s="32" t="str">
        <f t="shared" si="34"/>
        <v/>
      </c>
      <c r="E301" s="15"/>
      <c r="F301" s="15"/>
      <c r="G301" s="15"/>
      <c r="H301" s="15"/>
      <c r="I301" s="15"/>
      <c r="J301" s="29"/>
      <c r="K301" s="15"/>
      <c r="L301" s="29"/>
      <c r="M301" s="32" t="str">
        <f t="shared" si="30"/>
        <v/>
      </c>
      <c r="N301" s="15"/>
      <c r="O301" s="137"/>
      <c r="P301" s="134"/>
      <c r="Q301" s="15"/>
      <c r="R301" s="15"/>
      <c r="S301" s="15"/>
      <c r="T301" s="15"/>
      <c r="U301" s="32" t="str">
        <f t="shared" si="35"/>
        <v/>
      </c>
      <c r="V301" s="15"/>
      <c r="W301" s="15"/>
      <c r="X301" s="32" t="str">
        <f t="shared" si="36"/>
        <v/>
      </c>
      <c r="Y301" s="32" t="str">
        <f t="shared" si="38"/>
        <v/>
      </c>
      <c r="Z301" s="15"/>
      <c r="AA301" s="15"/>
      <c r="AB301" s="102"/>
    </row>
    <row r="302" spans="1:28" s="46" customFormat="1" ht="19.899999999999999" customHeight="1" x14ac:dyDescent="0.15">
      <c r="A302" s="34"/>
      <c r="B302" s="15"/>
      <c r="C302" s="29"/>
      <c r="D302" s="32" t="str">
        <f t="shared" si="34"/>
        <v/>
      </c>
      <c r="E302" s="15"/>
      <c r="F302" s="15"/>
      <c r="G302" s="15"/>
      <c r="H302" s="15"/>
      <c r="I302" s="15"/>
      <c r="J302" s="29"/>
      <c r="K302" s="15"/>
      <c r="L302" s="29"/>
      <c r="M302" s="32" t="str">
        <f t="shared" si="30"/>
        <v/>
      </c>
      <c r="N302" s="15"/>
      <c r="O302" s="137"/>
      <c r="P302" s="134"/>
      <c r="Q302" s="15"/>
      <c r="R302" s="15"/>
      <c r="S302" s="15"/>
      <c r="T302" s="15"/>
      <c r="U302" s="32" t="str">
        <f t="shared" si="35"/>
        <v/>
      </c>
      <c r="V302" s="15"/>
      <c r="W302" s="15"/>
      <c r="X302" s="32" t="str">
        <f t="shared" si="36"/>
        <v/>
      </c>
      <c r="Y302" s="32" t="str">
        <f t="shared" si="38"/>
        <v/>
      </c>
      <c r="Z302" s="15"/>
      <c r="AA302" s="15"/>
      <c r="AB302" s="102"/>
    </row>
    <row r="303" spans="1:28" s="46" customFormat="1" ht="19.899999999999999" customHeight="1" x14ac:dyDescent="0.15">
      <c r="A303" s="34"/>
      <c r="B303" s="15"/>
      <c r="C303" s="29"/>
      <c r="D303" s="32" t="str">
        <f t="shared" si="34"/>
        <v/>
      </c>
      <c r="E303" s="15"/>
      <c r="F303" s="15"/>
      <c r="G303" s="15"/>
      <c r="H303" s="15"/>
      <c r="I303" s="15"/>
      <c r="J303" s="29"/>
      <c r="K303" s="15"/>
      <c r="L303" s="29"/>
      <c r="M303" s="32" t="str">
        <f t="shared" si="30"/>
        <v/>
      </c>
      <c r="N303" s="15"/>
      <c r="O303" s="137"/>
      <c r="P303" s="134"/>
      <c r="Q303" s="15"/>
      <c r="R303" s="15"/>
      <c r="S303" s="15"/>
      <c r="T303" s="15"/>
      <c r="U303" s="32" t="str">
        <f t="shared" si="35"/>
        <v/>
      </c>
      <c r="V303" s="15"/>
      <c r="W303" s="15"/>
      <c r="X303" s="32" t="str">
        <f t="shared" si="36"/>
        <v/>
      </c>
      <c r="Y303" s="32" t="str">
        <f t="shared" si="38"/>
        <v/>
      </c>
      <c r="Z303" s="15"/>
      <c r="AA303" s="15"/>
      <c r="AB303" s="102"/>
    </row>
    <row r="304" spans="1:28" s="46" customFormat="1" ht="19.899999999999999" customHeight="1" x14ac:dyDescent="0.15">
      <c r="A304" s="34"/>
      <c r="B304" s="15"/>
      <c r="C304" s="29"/>
      <c r="D304" s="32" t="str">
        <f t="shared" si="34"/>
        <v/>
      </c>
      <c r="E304" s="15"/>
      <c r="F304" s="15"/>
      <c r="G304" s="15"/>
      <c r="H304" s="15"/>
      <c r="I304" s="15"/>
      <c r="J304" s="29"/>
      <c r="K304" s="15"/>
      <c r="L304" s="29"/>
      <c r="M304" s="32" t="str">
        <f t="shared" si="30"/>
        <v/>
      </c>
      <c r="N304" s="15"/>
      <c r="O304" s="137"/>
      <c r="P304" s="134"/>
      <c r="Q304" s="15"/>
      <c r="R304" s="15"/>
      <c r="S304" s="15"/>
      <c r="T304" s="15"/>
      <c r="U304" s="32" t="str">
        <f t="shared" si="35"/>
        <v/>
      </c>
      <c r="V304" s="15"/>
      <c r="W304" s="15"/>
      <c r="X304" s="32" t="str">
        <f t="shared" si="36"/>
        <v/>
      </c>
      <c r="Y304" s="32" t="str">
        <f t="shared" si="38"/>
        <v/>
      </c>
      <c r="Z304" s="15"/>
      <c r="AA304" s="15"/>
      <c r="AB304" s="102"/>
    </row>
  </sheetData>
  <sheetProtection formatCells="0" insertRows="0" deleteRows="0" autoFilter="0"/>
  <sortState xmlns:xlrd2="http://schemas.microsoft.com/office/spreadsheetml/2017/richdata2" ref="A4:AH752">
    <sortCondition ref="C4:C752"/>
  </sortState>
  <mergeCells count="16">
    <mergeCell ref="AB2:AB3"/>
    <mergeCell ref="A2:A3"/>
    <mergeCell ref="B2:B3"/>
    <mergeCell ref="E2:E3"/>
    <mergeCell ref="F2:F3"/>
    <mergeCell ref="AA2:AA3"/>
    <mergeCell ref="W2:W3"/>
    <mergeCell ref="J2:J3"/>
    <mergeCell ref="G2:G3"/>
    <mergeCell ref="H2:H3"/>
    <mergeCell ref="I2:I3"/>
    <mergeCell ref="K2:K3"/>
    <mergeCell ref="L2:L3"/>
    <mergeCell ref="M2:M3"/>
    <mergeCell ref="N2:N3"/>
    <mergeCell ref="R2:R3"/>
  </mergeCells>
  <phoneticPr fontId="36" type="noConversion"/>
  <dataValidations count="3">
    <dataValidation type="list" allowBlank="1" showInputMessage="1" showErrorMessage="1" sqref="L4:L304" xr:uid="{00000000-0002-0000-0000-000000000000}">
      <formula1>"μg,mg,g,kg,t,mL,L,mm,cm,m,Pa,kPa,MPa,%,个,支,只,顶,扇,件,粒,颗,部,台,本,张,把,桶,瓶,罐,壶,口,框,盒,包,箱,堆,卷,袋,叠,套,双,副,待定"</formula1>
    </dataValidation>
    <dataValidation type="list" allowBlank="1" showInputMessage="1" showErrorMessage="1" sqref="J4:J304" xr:uid="{00000000-0002-0000-0000-000001000000}">
      <formula1>"购置,返还,其它"</formula1>
    </dataValidation>
    <dataValidation type="list" allowBlank="1" showInputMessage="1" showErrorMessage="1" sqref="C4:C304" xr:uid="{00000000-0002-0000-0000-000002000000}">
      <formula1>"J1,J2,J3,J4,J5,J6,J7,J8,Z1,Z2,Z3,Z4,Z5,Z6"</formula1>
    </dataValidation>
  </dataValidations>
  <printOptions horizontalCentered="1"/>
  <pageMargins left="0.196850393700787" right="0.196850393700787" top="0.59055118110236204" bottom="0.59055118110236204" header="0.196850393700787" footer="0.196850393700787"/>
  <pageSetup paperSize="9" scale="10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25"/>
  <sheetViews>
    <sheetView showZeros="0" topLeftCell="D1" zoomScaleNormal="100" workbookViewId="0">
      <pane ySplit="3" topLeftCell="A94" activePane="bottomLeft" state="frozen"/>
      <selection pane="bottomLeft" activeCell="I103" sqref="I103"/>
    </sheetView>
  </sheetViews>
  <sheetFormatPr defaultColWidth="8.875" defaultRowHeight="16.5" customHeight="1" outlineLevelCol="1" x14ac:dyDescent="0.15"/>
  <cols>
    <col min="1" max="1" width="5.625" style="50" customWidth="1"/>
    <col min="2" max="2" width="25.625" style="50" customWidth="1" outlineLevel="1"/>
    <col min="3" max="3" width="5.5" style="86" customWidth="1" outlineLevel="1"/>
    <col min="4" max="4" width="9.375" style="87" bestFit="1" customWidth="1" outlineLevel="1"/>
    <col min="5" max="6" width="25.625" style="50" customWidth="1" outlineLevel="1"/>
    <col min="7" max="7" width="9.75" style="58" customWidth="1" outlineLevel="1"/>
    <col min="8" max="8" width="2.625" style="58" customWidth="1"/>
    <col min="9" max="9" width="17.875" style="54" customWidth="1" outlineLevel="1"/>
    <col min="10" max="10" width="5.625" style="88" customWidth="1" outlineLevel="1"/>
    <col min="11" max="11" width="5.625" style="99" customWidth="1" outlineLevel="1"/>
    <col min="12" max="12" width="5.625" style="88" customWidth="1" outlineLevel="1"/>
    <col min="13" max="13" width="5.625" style="87" customWidth="1" outlineLevel="1"/>
    <col min="14" max="14" width="9.75" style="58" customWidth="1" outlineLevel="1"/>
    <col min="15" max="15" width="9.625" style="50" customWidth="1" outlineLevel="1"/>
    <col min="16" max="16" width="9.625" style="132" customWidth="1" outlineLevel="1"/>
    <col min="17" max="17" width="9.75" style="50" customWidth="1" outlineLevel="1"/>
    <col min="18" max="18" width="2.625" style="58" customWidth="1"/>
    <col min="19" max="19" width="17.875" style="54" customWidth="1" outlineLevel="1"/>
    <col min="20" max="20" width="5.625" style="58" customWidth="1" outlineLevel="1"/>
    <col min="21" max="21" width="5.625" style="87" customWidth="1" outlineLevel="1"/>
    <col min="22" max="22" width="9.75" style="50" customWidth="1" outlineLevel="1"/>
    <col min="23" max="23" width="2.625" style="58" customWidth="1"/>
    <col min="24" max="25" width="5.625" style="87" customWidth="1" outlineLevel="1"/>
    <col min="26" max="26" width="9.75" style="50" customWidth="1" outlineLevel="1"/>
    <col min="27" max="27" width="2.625" style="58" customWidth="1"/>
    <col min="28" max="28" width="9.75" style="108" customWidth="1"/>
    <col min="29" max="16384" width="8.875" style="58"/>
  </cols>
  <sheetData>
    <row r="1" spans="1:28" s="71" customFormat="1" ht="30" customHeight="1" x14ac:dyDescent="0.15">
      <c r="A1" s="71" t="s">
        <v>1566</v>
      </c>
      <c r="C1" s="80"/>
      <c r="D1" s="81"/>
      <c r="I1" s="51"/>
      <c r="J1" s="82"/>
      <c r="K1" s="104"/>
      <c r="L1" s="82"/>
      <c r="M1" s="81"/>
      <c r="O1" s="49"/>
      <c r="P1" s="130"/>
      <c r="Q1" s="49"/>
      <c r="S1" s="51"/>
      <c r="T1" s="83"/>
      <c r="U1" s="81"/>
      <c r="V1" s="49"/>
      <c r="X1" s="81"/>
      <c r="Y1" s="81"/>
      <c r="Z1" s="49"/>
      <c r="AA1" s="84" t="s">
        <v>1533</v>
      </c>
      <c r="AB1" s="106">
        <f>COUNTA(A4:A1785)</f>
        <v>522</v>
      </c>
    </row>
    <row r="2" spans="1:28" s="71" customFormat="1" ht="19.899999999999999" customHeight="1" x14ac:dyDescent="0.15">
      <c r="A2" s="328" t="s">
        <v>1506</v>
      </c>
      <c r="B2" s="328" t="s">
        <v>1507</v>
      </c>
      <c r="C2" s="62" t="s">
        <v>1508</v>
      </c>
      <c r="D2" s="63"/>
      <c r="E2" s="328" t="s">
        <v>1509</v>
      </c>
      <c r="F2" s="328" t="s">
        <v>1510</v>
      </c>
      <c r="G2" s="335" t="s">
        <v>1511</v>
      </c>
      <c r="H2" s="332" t="s">
        <v>1512</v>
      </c>
      <c r="I2" s="337" t="s">
        <v>1239</v>
      </c>
      <c r="J2" s="333" t="s">
        <v>1513</v>
      </c>
      <c r="K2" s="338" t="s">
        <v>1514</v>
      </c>
      <c r="L2" s="340" t="s">
        <v>1515</v>
      </c>
      <c r="M2" s="342" t="s">
        <v>1516</v>
      </c>
      <c r="N2" s="335" t="s">
        <v>2514</v>
      </c>
      <c r="O2" s="161" t="s">
        <v>1517</v>
      </c>
      <c r="P2" s="133"/>
      <c r="Q2" s="144"/>
      <c r="R2" s="332" t="s">
        <v>1518</v>
      </c>
      <c r="S2" s="56" t="s">
        <v>1519</v>
      </c>
      <c r="T2" s="66"/>
      <c r="U2" s="67"/>
      <c r="V2" s="68"/>
      <c r="W2" s="332" t="s">
        <v>1520</v>
      </c>
      <c r="X2" s="55" t="s">
        <v>1521</v>
      </c>
      <c r="Y2" s="69"/>
      <c r="Z2" s="70"/>
      <c r="AA2" s="332" t="s">
        <v>2515</v>
      </c>
      <c r="AB2" s="345" t="s">
        <v>1522</v>
      </c>
    </row>
    <row r="3" spans="1:28" s="79" customFormat="1" ht="19.899999999999999" customHeight="1" x14ac:dyDescent="0.3">
      <c r="A3" s="329"/>
      <c r="B3" s="329"/>
      <c r="C3" s="72" t="s">
        <v>1523</v>
      </c>
      <c r="D3" s="73" t="s">
        <v>1524</v>
      </c>
      <c r="E3" s="329"/>
      <c r="F3" s="329"/>
      <c r="G3" s="336"/>
      <c r="H3" s="331"/>
      <c r="I3" s="337"/>
      <c r="J3" s="334"/>
      <c r="K3" s="339"/>
      <c r="L3" s="341"/>
      <c r="M3" s="343"/>
      <c r="N3" s="336"/>
      <c r="O3" s="74" t="s">
        <v>1525</v>
      </c>
      <c r="P3" s="131" t="s">
        <v>1526</v>
      </c>
      <c r="Q3" s="75" t="s">
        <v>1527</v>
      </c>
      <c r="R3" s="331"/>
      <c r="S3" s="57" t="s">
        <v>1244</v>
      </c>
      <c r="T3" s="76" t="s">
        <v>1528</v>
      </c>
      <c r="U3" s="77" t="s">
        <v>1529</v>
      </c>
      <c r="V3" s="75" t="s">
        <v>1530</v>
      </c>
      <c r="W3" s="331"/>
      <c r="X3" s="78" t="s">
        <v>1531</v>
      </c>
      <c r="Y3" s="78" t="s">
        <v>1529</v>
      </c>
      <c r="Z3" s="75" t="s">
        <v>1532</v>
      </c>
      <c r="AA3" s="331"/>
      <c r="AB3" s="346"/>
    </row>
    <row r="4" spans="1:28" s="45" customFormat="1" ht="19.899999999999999" customHeight="1" x14ac:dyDescent="0.3">
      <c r="A4" s="34">
        <v>1</v>
      </c>
      <c r="B4" s="12" t="s">
        <v>255</v>
      </c>
      <c r="C4" s="29" t="s">
        <v>0</v>
      </c>
      <c r="D4" s="13" t="str">
        <f t="shared" ref="D4:D69" si="0"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>专用物耗</v>
      </c>
      <c r="E4" s="14" t="s">
        <v>256</v>
      </c>
      <c r="F4" s="14" t="s">
        <v>1</v>
      </c>
      <c r="G4" s="16"/>
      <c r="H4" s="15"/>
      <c r="I4" s="15"/>
      <c r="J4" s="29" t="s">
        <v>821</v>
      </c>
      <c r="K4" s="16">
        <v>1</v>
      </c>
      <c r="L4" s="36" t="s">
        <v>822</v>
      </c>
      <c r="M4" s="13" t="str">
        <f t="shared" ref="M4:M69" si="1">IF(D4="危险化学品","五双",IF(D4="标准物资","严控",IF(D4&lt;&gt;"","常规","")))</f>
        <v>常规</v>
      </c>
      <c r="N4" s="16"/>
      <c r="O4" s="135" t="s">
        <v>2240</v>
      </c>
      <c r="P4" s="134" t="s">
        <v>2234</v>
      </c>
      <c r="Q4" s="141"/>
      <c r="R4" s="15"/>
      <c r="S4" s="15"/>
      <c r="T4" s="15"/>
      <c r="U4" s="13" t="str">
        <f t="shared" ref="U4:U69" si="2">IF(L4="","",L4)</f>
        <v>只</v>
      </c>
      <c r="V4" s="14"/>
      <c r="W4" s="35"/>
      <c r="X4" s="13">
        <f t="shared" ref="X4:X71" si="3">IF((K4-T4)&lt;=0,"",K4-T4)</f>
        <v>1</v>
      </c>
      <c r="Y4" s="13" t="str">
        <f t="shared" ref="Y4:Y69" si="4">IF(L4="","",L4)</f>
        <v>只</v>
      </c>
      <c r="Z4" s="14"/>
      <c r="AA4" s="35"/>
      <c r="AB4" s="35"/>
    </row>
    <row r="5" spans="1:28" s="45" customFormat="1" ht="19.899999999999999" customHeight="1" x14ac:dyDescent="0.3">
      <c r="A5" s="34">
        <v>2</v>
      </c>
      <c r="B5" s="12" t="s">
        <v>257</v>
      </c>
      <c r="C5" s="29" t="s">
        <v>0</v>
      </c>
      <c r="D5" s="32" t="str">
        <f t="shared" si="0"/>
        <v>专用物耗</v>
      </c>
      <c r="E5" s="14"/>
      <c r="F5" s="17"/>
      <c r="G5" s="16"/>
      <c r="H5" s="15"/>
      <c r="I5" s="15"/>
      <c r="J5" s="29" t="s">
        <v>821</v>
      </c>
      <c r="K5" s="16">
        <v>1</v>
      </c>
      <c r="L5" s="36" t="s">
        <v>822</v>
      </c>
      <c r="M5" s="32" t="str">
        <f t="shared" si="1"/>
        <v>常规</v>
      </c>
      <c r="N5" s="16"/>
      <c r="O5" s="135" t="s">
        <v>2240</v>
      </c>
      <c r="P5" s="134" t="s">
        <v>2234</v>
      </c>
      <c r="Q5" s="141"/>
      <c r="R5" s="15"/>
      <c r="S5" s="15"/>
      <c r="T5" s="15"/>
      <c r="U5" s="32" t="str">
        <f t="shared" si="2"/>
        <v>只</v>
      </c>
      <c r="V5" s="14"/>
      <c r="W5" s="35"/>
      <c r="X5" s="32">
        <f t="shared" si="3"/>
        <v>1</v>
      </c>
      <c r="Y5" s="32" t="str">
        <f t="shared" si="4"/>
        <v>只</v>
      </c>
      <c r="Z5" s="14"/>
      <c r="AA5" s="35"/>
      <c r="AB5" s="35"/>
    </row>
    <row r="6" spans="1:28" s="45" customFormat="1" ht="19.899999999999999" customHeight="1" x14ac:dyDescent="0.3">
      <c r="A6" s="34">
        <v>3</v>
      </c>
      <c r="B6" s="12" t="s">
        <v>258</v>
      </c>
      <c r="C6" s="29" t="s">
        <v>0</v>
      </c>
      <c r="D6" s="32" t="str">
        <f t="shared" si="0"/>
        <v>专用物耗</v>
      </c>
      <c r="E6" s="14" t="s">
        <v>256</v>
      </c>
      <c r="F6" s="14" t="s">
        <v>259</v>
      </c>
      <c r="G6" s="16"/>
      <c r="H6" s="15"/>
      <c r="I6" s="15"/>
      <c r="J6" s="29" t="s">
        <v>821</v>
      </c>
      <c r="K6" s="16">
        <v>3</v>
      </c>
      <c r="L6" s="37" t="s">
        <v>823</v>
      </c>
      <c r="M6" s="32" t="str">
        <f t="shared" si="1"/>
        <v>常规</v>
      </c>
      <c r="N6" s="18" t="s">
        <v>261</v>
      </c>
      <c r="O6" s="135" t="s">
        <v>2240</v>
      </c>
      <c r="P6" s="134" t="s">
        <v>2234</v>
      </c>
      <c r="Q6" s="141"/>
      <c r="R6" s="15"/>
      <c r="S6" s="15"/>
      <c r="T6" s="15"/>
      <c r="U6" s="32" t="str">
        <f t="shared" si="2"/>
        <v>个</v>
      </c>
      <c r="V6" s="14"/>
      <c r="W6" s="35"/>
      <c r="X6" s="32">
        <f t="shared" si="3"/>
        <v>3</v>
      </c>
      <c r="Y6" s="32" t="str">
        <f t="shared" si="4"/>
        <v>个</v>
      </c>
      <c r="Z6" s="14"/>
      <c r="AA6" s="35"/>
      <c r="AB6" s="35"/>
    </row>
    <row r="7" spans="1:28" s="173" customFormat="1" ht="19.899999999999999" customHeight="1" x14ac:dyDescent="0.3">
      <c r="A7" s="163">
        <v>4</v>
      </c>
      <c r="B7" s="164" t="s">
        <v>371</v>
      </c>
      <c r="C7" s="165" t="s">
        <v>0</v>
      </c>
      <c r="D7" s="166" t="str">
        <f t="shared" si="0"/>
        <v>专用物耗</v>
      </c>
      <c r="E7" s="168"/>
      <c r="F7" s="164" t="s">
        <v>38</v>
      </c>
      <c r="G7" s="167"/>
      <c r="H7" s="167"/>
      <c r="I7" s="167"/>
      <c r="J7" s="165" t="s">
        <v>821</v>
      </c>
      <c r="K7" s="164">
        <v>4</v>
      </c>
      <c r="L7" s="165" t="s">
        <v>825</v>
      </c>
      <c r="M7" s="166" t="str">
        <f t="shared" si="1"/>
        <v>常规</v>
      </c>
      <c r="N7" s="181"/>
      <c r="O7" s="180" t="s">
        <v>2254</v>
      </c>
      <c r="P7" s="170" t="s">
        <v>2236</v>
      </c>
      <c r="Q7" s="171"/>
      <c r="R7" s="167"/>
      <c r="S7" s="167" t="s">
        <v>2169</v>
      </c>
      <c r="T7" s="167">
        <v>4</v>
      </c>
      <c r="U7" s="166" t="str">
        <f t="shared" si="2"/>
        <v>袋</v>
      </c>
      <c r="V7" s="168"/>
      <c r="W7" s="172"/>
      <c r="X7" s="166" t="str">
        <f t="shared" si="3"/>
        <v/>
      </c>
      <c r="Y7" s="166" t="str">
        <f t="shared" si="4"/>
        <v>袋</v>
      </c>
      <c r="Z7" s="168"/>
      <c r="AA7" s="167"/>
      <c r="AB7" s="172"/>
    </row>
    <row r="8" spans="1:28" s="173" customFormat="1" ht="19.899999999999999" customHeight="1" x14ac:dyDescent="0.3">
      <c r="A8" s="163">
        <v>5</v>
      </c>
      <c r="B8" s="164" t="s">
        <v>371</v>
      </c>
      <c r="C8" s="165" t="s">
        <v>0</v>
      </c>
      <c r="D8" s="166" t="str">
        <f t="shared" si="0"/>
        <v>专用物耗</v>
      </c>
      <c r="E8" s="168"/>
      <c r="F8" s="164" t="s">
        <v>14</v>
      </c>
      <c r="G8" s="167"/>
      <c r="H8" s="167"/>
      <c r="I8" s="167"/>
      <c r="J8" s="165" t="s">
        <v>821</v>
      </c>
      <c r="K8" s="164">
        <v>3</v>
      </c>
      <c r="L8" s="165" t="s">
        <v>825</v>
      </c>
      <c r="M8" s="166" t="str">
        <f t="shared" si="1"/>
        <v>常规</v>
      </c>
      <c r="N8" s="181"/>
      <c r="O8" s="180" t="s">
        <v>2254</v>
      </c>
      <c r="P8" s="170" t="s">
        <v>2236</v>
      </c>
      <c r="Q8" s="171"/>
      <c r="R8" s="167"/>
      <c r="S8" s="167" t="s">
        <v>1248</v>
      </c>
      <c r="T8" s="167">
        <v>3</v>
      </c>
      <c r="U8" s="166" t="str">
        <f t="shared" si="2"/>
        <v>袋</v>
      </c>
      <c r="V8" s="168"/>
      <c r="W8" s="172"/>
      <c r="X8" s="166" t="str">
        <f t="shared" si="3"/>
        <v/>
      </c>
      <c r="Y8" s="166" t="str">
        <f t="shared" si="4"/>
        <v>袋</v>
      </c>
      <c r="Z8" s="168"/>
      <c r="AA8" s="167"/>
      <c r="AB8" s="172"/>
    </row>
    <row r="9" spans="1:28" s="173" customFormat="1" ht="19.899999999999999" customHeight="1" x14ac:dyDescent="0.3">
      <c r="A9" s="163">
        <v>6</v>
      </c>
      <c r="B9" s="164" t="s">
        <v>371</v>
      </c>
      <c r="C9" s="165" t="s">
        <v>0</v>
      </c>
      <c r="D9" s="166" t="str">
        <f t="shared" si="0"/>
        <v>专用物耗</v>
      </c>
      <c r="E9" s="168" t="s">
        <v>281</v>
      </c>
      <c r="F9" s="168" t="s">
        <v>39</v>
      </c>
      <c r="G9" s="167"/>
      <c r="H9" s="167"/>
      <c r="I9" s="167"/>
      <c r="J9" s="165" t="s">
        <v>821</v>
      </c>
      <c r="K9" s="164">
        <v>208</v>
      </c>
      <c r="L9" s="165" t="s">
        <v>824</v>
      </c>
      <c r="M9" s="166" t="str">
        <f t="shared" si="1"/>
        <v>常规</v>
      </c>
      <c r="N9" s="168"/>
      <c r="O9" s="180" t="s">
        <v>2254</v>
      </c>
      <c r="P9" s="170" t="s">
        <v>2236</v>
      </c>
      <c r="Q9" s="171"/>
      <c r="R9" s="167"/>
      <c r="S9" s="167" t="s">
        <v>2500</v>
      </c>
      <c r="T9" s="167">
        <v>208</v>
      </c>
      <c r="U9" s="166" t="str">
        <f t="shared" si="2"/>
        <v>支</v>
      </c>
      <c r="V9" s="168"/>
      <c r="W9" s="172"/>
      <c r="X9" s="166" t="str">
        <f t="shared" si="3"/>
        <v/>
      </c>
      <c r="Y9" s="166" t="str">
        <f t="shared" si="4"/>
        <v>支</v>
      </c>
      <c r="Z9" s="168"/>
      <c r="AA9" s="167"/>
      <c r="AB9" s="172"/>
    </row>
    <row r="10" spans="1:28" s="45" customFormat="1" ht="19.899999999999999" customHeight="1" x14ac:dyDescent="0.3">
      <c r="A10" s="34">
        <v>7</v>
      </c>
      <c r="B10" s="12" t="s">
        <v>371</v>
      </c>
      <c r="C10" s="29" t="s">
        <v>0</v>
      </c>
      <c r="D10" s="32" t="str">
        <f t="shared" si="0"/>
        <v>专用物耗</v>
      </c>
      <c r="E10" s="14"/>
      <c r="F10" s="14" t="s">
        <v>372</v>
      </c>
      <c r="G10" s="15"/>
      <c r="H10" s="15"/>
      <c r="I10" s="15"/>
      <c r="J10" s="29" t="s">
        <v>821</v>
      </c>
      <c r="K10" s="16">
        <v>103</v>
      </c>
      <c r="L10" s="29" t="s">
        <v>824</v>
      </c>
      <c r="M10" s="32" t="str">
        <f t="shared" si="1"/>
        <v>常规</v>
      </c>
      <c r="N10" s="18"/>
      <c r="O10" s="135" t="s">
        <v>2254</v>
      </c>
      <c r="P10" s="134" t="s">
        <v>2236</v>
      </c>
      <c r="Q10" s="141"/>
      <c r="R10" s="15"/>
      <c r="S10" s="15" t="s">
        <v>2501</v>
      </c>
      <c r="T10" s="15">
        <v>20</v>
      </c>
      <c r="U10" s="32" t="str">
        <f t="shared" si="2"/>
        <v>支</v>
      </c>
      <c r="V10" s="14"/>
      <c r="W10" s="35"/>
      <c r="X10" s="32">
        <f t="shared" si="3"/>
        <v>83</v>
      </c>
      <c r="Y10" s="32" t="str">
        <f t="shared" si="4"/>
        <v>支</v>
      </c>
      <c r="Z10" s="14"/>
      <c r="AA10" s="15"/>
      <c r="AB10" s="35"/>
    </row>
    <row r="11" spans="1:28" s="45" customFormat="1" ht="19.899999999999999" customHeight="1" x14ac:dyDescent="0.3">
      <c r="A11" s="34">
        <v>8</v>
      </c>
      <c r="B11" s="12" t="s">
        <v>373</v>
      </c>
      <c r="C11" s="29" t="s">
        <v>0</v>
      </c>
      <c r="D11" s="32" t="str">
        <f t="shared" si="0"/>
        <v>专用物耗</v>
      </c>
      <c r="E11" s="14"/>
      <c r="F11" s="12" t="s">
        <v>374</v>
      </c>
      <c r="G11" s="15"/>
      <c r="H11" s="15"/>
      <c r="I11" s="15"/>
      <c r="J11" s="29" t="s">
        <v>821</v>
      </c>
      <c r="K11" s="16">
        <v>1</v>
      </c>
      <c r="L11" s="29" t="s">
        <v>824</v>
      </c>
      <c r="M11" s="32" t="str">
        <f t="shared" si="1"/>
        <v>常规</v>
      </c>
      <c r="N11" s="25"/>
      <c r="O11" s="135" t="s">
        <v>2254</v>
      </c>
      <c r="P11" s="134" t="s">
        <v>2236</v>
      </c>
      <c r="Q11" s="141"/>
      <c r="R11" s="15"/>
      <c r="S11" s="15"/>
      <c r="T11" s="15"/>
      <c r="U11" s="32" t="str">
        <f t="shared" si="2"/>
        <v>支</v>
      </c>
      <c r="V11" s="14"/>
      <c r="W11" s="35"/>
      <c r="X11" s="32">
        <f t="shared" si="3"/>
        <v>1</v>
      </c>
      <c r="Y11" s="32" t="str">
        <f t="shared" si="4"/>
        <v>支</v>
      </c>
      <c r="Z11" s="14"/>
      <c r="AA11" s="15"/>
      <c r="AB11" s="35"/>
    </row>
    <row r="12" spans="1:28" s="173" customFormat="1" ht="19.899999999999999" customHeight="1" x14ac:dyDescent="0.3">
      <c r="A12" s="163">
        <v>9</v>
      </c>
      <c r="B12" s="164" t="s">
        <v>2516</v>
      </c>
      <c r="C12" s="165" t="s">
        <v>0</v>
      </c>
      <c r="D12" s="166" t="str">
        <f t="shared" si="0"/>
        <v>专用物耗</v>
      </c>
      <c r="E12" s="168"/>
      <c r="F12" s="164" t="s">
        <v>40</v>
      </c>
      <c r="G12" s="167"/>
      <c r="H12" s="167"/>
      <c r="I12" s="167"/>
      <c r="J12" s="165" t="s">
        <v>821</v>
      </c>
      <c r="K12" s="164">
        <v>2</v>
      </c>
      <c r="L12" s="165" t="s">
        <v>826</v>
      </c>
      <c r="M12" s="166" t="str">
        <f t="shared" si="1"/>
        <v>常规</v>
      </c>
      <c r="N12" s="181"/>
      <c r="O12" s="180" t="s">
        <v>2254</v>
      </c>
      <c r="P12" s="170" t="s">
        <v>2236</v>
      </c>
      <c r="Q12" s="171"/>
      <c r="R12" s="167"/>
      <c r="S12" s="167" t="s">
        <v>1249</v>
      </c>
      <c r="T12" s="167">
        <v>2</v>
      </c>
      <c r="U12" s="166" t="str">
        <f t="shared" si="2"/>
        <v>盒</v>
      </c>
      <c r="V12" s="168"/>
      <c r="W12" s="172"/>
      <c r="X12" s="166" t="str">
        <f t="shared" si="3"/>
        <v/>
      </c>
      <c r="Y12" s="166" t="str">
        <f t="shared" si="4"/>
        <v>盒</v>
      </c>
      <c r="Z12" s="168"/>
      <c r="AA12" s="167"/>
      <c r="AB12" s="172"/>
    </row>
    <row r="13" spans="1:28" s="173" customFormat="1" ht="19.899999999999999" customHeight="1" x14ac:dyDescent="0.3">
      <c r="A13" s="163">
        <v>10</v>
      </c>
      <c r="B13" s="174" t="s">
        <v>375</v>
      </c>
      <c r="C13" s="165" t="s">
        <v>0</v>
      </c>
      <c r="D13" s="166" t="str">
        <f t="shared" si="0"/>
        <v>专用物耗</v>
      </c>
      <c r="E13" s="168" t="s">
        <v>376</v>
      </c>
      <c r="F13" s="164" t="s">
        <v>40</v>
      </c>
      <c r="G13" s="167"/>
      <c r="H13" s="167"/>
      <c r="I13" s="167"/>
      <c r="J13" s="165" t="s">
        <v>821</v>
      </c>
      <c r="K13" s="164">
        <v>5</v>
      </c>
      <c r="L13" s="165" t="s">
        <v>822</v>
      </c>
      <c r="M13" s="166" t="str">
        <f t="shared" si="1"/>
        <v>常规</v>
      </c>
      <c r="N13" s="181"/>
      <c r="O13" s="180" t="s">
        <v>2254</v>
      </c>
      <c r="P13" s="170" t="s">
        <v>2236</v>
      </c>
      <c r="Q13" s="171"/>
      <c r="R13" s="167"/>
      <c r="S13" s="167" t="s">
        <v>946</v>
      </c>
      <c r="T13" s="167">
        <v>5</v>
      </c>
      <c r="U13" s="166" t="str">
        <f t="shared" si="2"/>
        <v>只</v>
      </c>
      <c r="V13" s="168"/>
      <c r="W13" s="172"/>
      <c r="X13" s="166" t="str">
        <f t="shared" si="3"/>
        <v/>
      </c>
      <c r="Y13" s="166" t="str">
        <f t="shared" si="4"/>
        <v>只</v>
      </c>
      <c r="Z13" s="168"/>
      <c r="AA13" s="167"/>
      <c r="AB13" s="172"/>
    </row>
    <row r="14" spans="1:28" s="45" customFormat="1" ht="19.899999999999999" customHeight="1" x14ac:dyDescent="0.3">
      <c r="A14" s="34">
        <v>11</v>
      </c>
      <c r="B14" s="12" t="s">
        <v>377</v>
      </c>
      <c r="C14" s="29" t="s">
        <v>0</v>
      </c>
      <c r="D14" s="32" t="str">
        <f t="shared" si="0"/>
        <v>专用物耗</v>
      </c>
      <c r="E14" s="14" t="s">
        <v>376</v>
      </c>
      <c r="F14" s="12" t="s">
        <v>41</v>
      </c>
      <c r="G14" s="15"/>
      <c r="H14" s="15"/>
      <c r="I14" s="15"/>
      <c r="J14" s="29" t="s">
        <v>821</v>
      </c>
      <c r="K14" s="16">
        <v>2</v>
      </c>
      <c r="L14" s="29" t="s">
        <v>822</v>
      </c>
      <c r="M14" s="32" t="str">
        <f t="shared" si="1"/>
        <v>常规</v>
      </c>
      <c r="N14" s="25"/>
      <c r="O14" s="135" t="s">
        <v>2254</v>
      </c>
      <c r="P14" s="134" t="s">
        <v>2236</v>
      </c>
      <c r="Q14" s="141"/>
      <c r="R14" s="15"/>
      <c r="S14" s="15"/>
      <c r="T14" s="15"/>
      <c r="U14" s="32" t="str">
        <f t="shared" si="2"/>
        <v>只</v>
      </c>
      <c r="V14" s="14"/>
      <c r="W14" s="35"/>
      <c r="X14" s="32">
        <f t="shared" si="3"/>
        <v>2</v>
      </c>
      <c r="Y14" s="32" t="str">
        <f t="shared" si="4"/>
        <v>只</v>
      </c>
      <c r="Z14" s="14"/>
      <c r="AA14" s="15"/>
      <c r="AB14" s="35"/>
    </row>
    <row r="15" spans="1:28" s="45" customFormat="1" ht="19.899999999999999" customHeight="1" x14ac:dyDescent="0.3">
      <c r="A15" s="34">
        <v>12</v>
      </c>
      <c r="B15" s="12" t="s">
        <v>378</v>
      </c>
      <c r="C15" s="29" t="s">
        <v>0</v>
      </c>
      <c r="D15" s="32" t="str">
        <f t="shared" si="0"/>
        <v>专用物耗</v>
      </c>
      <c r="E15" s="14" t="s">
        <v>376</v>
      </c>
      <c r="F15" s="12" t="s">
        <v>2158</v>
      </c>
      <c r="G15" s="15"/>
      <c r="H15" s="15"/>
      <c r="I15" s="15"/>
      <c r="J15" s="29" t="s">
        <v>821</v>
      </c>
      <c r="K15" s="16">
        <v>5</v>
      </c>
      <c r="L15" s="29" t="s">
        <v>822</v>
      </c>
      <c r="M15" s="32" t="str">
        <f t="shared" si="1"/>
        <v>常规</v>
      </c>
      <c r="N15" s="25"/>
      <c r="O15" s="135" t="s">
        <v>2254</v>
      </c>
      <c r="P15" s="134" t="s">
        <v>2236</v>
      </c>
      <c r="Q15" s="141"/>
      <c r="R15" s="15"/>
      <c r="S15" s="15"/>
      <c r="T15" s="15"/>
      <c r="U15" s="32" t="str">
        <f t="shared" si="2"/>
        <v>只</v>
      </c>
      <c r="V15" s="14"/>
      <c r="W15" s="35"/>
      <c r="X15" s="32">
        <f t="shared" si="3"/>
        <v>5</v>
      </c>
      <c r="Y15" s="32" t="str">
        <f t="shared" si="4"/>
        <v>只</v>
      </c>
      <c r="Z15" s="14"/>
      <c r="AA15" s="15"/>
      <c r="AB15" s="35"/>
    </row>
    <row r="16" spans="1:28" s="45" customFormat="1" ht="19.899999999999999" customHeight="1" x14ac:dyDescent="0.3">
      <c r="A16" s="34">
        <v>13</v>
      </c>
      <c r="B16" s="12" t="s">
        <v>379</v>
      </c>
      <c r="C16" s="29" t="s">
        <v>0</v>
      </c>
      <c r="D16" s="32" t="str">
        <f t="shared" si="0"/>
        <v>专用物耗</v>
      </c>
      <c r="E16" s="14" t="s">
        <v>376</v>
      </c>
      <c r="F16" s="12"/>
      <c r="G16" s="15"/>
      <c r="H16" s="15"/>
      <c r="I16" s="15"/>
      <c r="J16" s="29" t="s">
        <v>821</v>
      </c>
      <c r="K16" s="16">
        <v>7</v>
      </c>
      <c r="L16" s="29" t="s">
        <v>822</v>
      </c>
      <c r="M16" s="32" t="str">
        <f t="shared" si="1"/>
        <v>常规</v>
      </c>
      <c r="N16" s="25"/>
      <c r="O16" s="135" t="s">
        <v>2254</v>
      </c>
      <c r="P16" s="134" t="s">
        <v>2236</v>
      </c>
      <c r="Q16" s="141"/>
      <c r="R16" s="15"/>
      <c r="S16" s="15"/>
      <c r="T16" s="15"/>
      <c r="U16" s="32" t="str">
        <f t="shared" si="2"/>
        <v>只</v>
      </c>
      <c r="V16" s="14"/>
      <c r="W16" s="35"/>
      <c r="X16" s="32">
        <f t="shared" si="3"/>
        <v>7</v>
      </c>
      <c r="Y16" s="32" t="str">
        <f t="shared" si="4"/>
        <v>只</v>
      </c>
      <c r="Z16" s="14"/>
      <c r="AA16" s="15"/>
      <c r="AB16" s="35"/>
    </row>
    <row r="17" spans="1:28" s="45" customFormat="1" ht="19.899999999999999" customHeight="1" x14ac:dyDescent="0.3">
      <c r="A17" s="34">
        <v>14</v>
      </c>
      <c r="B17" s="12" t="s">
        <v>2157</v>
      </c>
      <c r="C17" s="29" t="s">
        <v>0</v>
      </c>
      <c r="D17" s="32" t="str">
        <f t="shared" si="0"/>
        <v>专用物耗</v>
      </c>
      <c r="E17" s="14" t="s">
        <v>376</v>
      </c>
      <c r="F17" s="12"/>
      <c r="G17" s="15"/>
      <c r="H17" s="15"/>
      <c r="I17" s="15"/>
      <c r="J17" s="29" t="s">
        <v>821</v>
      </c>
      <c r="K17" s="12">
        <v>19</v>
      </c>
      <c r="L17" s="29" t="s">
        <v>822</v>
      </c>
      <c r="M17" s="32" t="str">
        <f t="shared" si="1"/>
        <v>常规</v>
      </c>
      <c r="N17" s="20"/>
      <c r="O17" s="135" t="s">
        <v>2254</v>
      </c>
      <c r="P17" s="134" t="s">
        <v>2236</v>
      </c>
      <c r="Q17" s="141"/>
      <c r="R17" s="15"/>
      <c r="S17" s="15" t="s">
        <v>2159</v>
      </c>
      <c r="T17" s="15">
        <v>3</v>
      </c>
      <c r="U17" s="32" t="str">
        <f t="shared" si="2"/>
        <v>只</v>
      </c>
      <c r="V17" s="14"/>
      <c r="W17" s="35"/>
      <c r="X17" s="32">
        <f t="shared" si="3"/>
        <v>16</v>
      </c>
      <c r="Y17" s="32" t="str">
        <f t="shared" si="4"/>
        <v>只</v>
      </c>
      <c r="Z17" s="14"/>
      <c r="AA17" s="15"/>
      <c r="AB17" s="35"/>
    </row>
    <row r="18" spans="1:28" s="45" customFormat="1" ht="19.899999999999999" customHeight="1" x14ac:dyDescent="0.3">
      <c r="A18" s="34">
        <v>15</v>
      </c>
      <c r="B18" s="12" t="s">
        <v>2157</v>
      </c>
      <c r="C18" s="29" t="s">
        <v>0</v>
      </c>
      <c r="D18" s="32" t="str">
        <f t="shared" ref="D18" si="5">IF(C18="J1","常规化学品",IF(C18="J2","危险化学品",IF(C18="J3","标准物质",IF(C18="J4","玻璃仪器",IF(C18="J5","实验气体",IF(C18="J6","专用物耗",IF(C18="J7","备品配件",IF(C18="J8","专用工具",IF(C18="Z1","劳保物资",IF(C18="Z2","办公耗材",IF(C18="Z3","食品饮料",IF(C18="Z4","特殊物耗",IF(C18="Z5","通用物耗",IF(C18="Z6","通用工具",""))))))))))))))</f>
        <v>专用物耗</v>
      </c>
      <c r="E18" s="14" t="s">
        <v>376</v>
      </c>
      <c r="F18" s="12"/>
      <c r="G18" s="15"/>
      <c r="H18" s="15"/>
      <c r="I18" s="15" t="s">
        <v>2198</v>
      </c>
      <c r="J18" s="29" t="s">
        <v>821</v>
      </c>
      <c r="K18" s="12">
        <v>3</v>
      </c>
      <c r="L18" s="29" t="s">
        <v>822</v>
      </c>
      <c r="M18" s="32" t="str">
        <f t="shared" ref="M18" si="6">IF(D18="危险化学品","五双",IF(D18="标准物资","严控",IF(D18&lt;&gt;"","常规","")))</f>
        <v>常规</v>
      </c>
      <c r="N18" s="20"/>
      <c r="O18" s="135" t="s">
        <v>2254</v>
      </c>
      <c r="P18" s="134" t="s">
        <v>2236</v>
      </c>
      <c r="Q18" s="141"/>
      <c r="R18" s="15"/>
      <c r="S18" s="15"/>
      <c r="T18" s="15"/>
      <c r="U18" s="32" t="str">
        <f t="shared" ref="U18" si="7">IF(L18="","",L18)</f>
        <v>只</v>
      </c>
      <c r="V18" s="14"/>
      <c r="W18" s="35"/>
      <c r="X18" s="32">
        <f t="shared" ref="X18" si="8">IF((K18-T18)&lt;=0,"",K18-T18)</f>
        <v>3</v>
      </c>
      <c r="Y18" s="32" t="str">
        <f t="shared" ref="Y18" si="9">IF(L18="","",L18)</f>
        <v>只</v>
      </c>
      <c r="Z18" s="14"/>
      <c r="AA18" s="15"/>
      <c r="AB18" s="35"/>
    </row>
    <row r="19" spans="1:28" s="173" customFormat="1" ht="19.899999999999999" customHeight="1" x14ac:dyDescent="0.3">
      <c r="A19" s="163">
        <v>16</v>
      </c>
      <c r="B19" s="174" t="s">
        <v>860</v>
      </c>
      <c r="C19" s="165" t="s">
        <v>0</v>
      </c>
      <c r="D19" s="166" t="str">
        <f t="shared" si="0"/>
        <v>专用物耗</v>
      </c>
      <c r="E19" s="168"/>
      <c r="F19" s="164"/>
      <c r="G19" s="167"/>
      <c r="H19" s="167"/>
      <c r="I19" s="167"/>
      <c r="J19" s="165" t="s">
        <v>821</v>
      </c>
      <c r="K19" s="164">
        <v>3</v>
      </c>
      <c r="L19" s="165" t="s">
        <v>822</v>
      </c>
      <c r="M19" s="166" t="str">
        <f t="shared" si="1"/>
        <v>常规</v>
      </c>
      <c r="N19" s="181"/>
      <c r="O19" s="180" t="s">
        <v>2254</v>
      </c>
      <c r="P19" s="170" t="s">
        <v>2236</v>
      </c>
      <c r="Q19" s="171"/>
      <c r="R19" s="167"/>
      <c r="S19" s="167" t="s">
        <v>867</v>
      </c>
      <c r="T19" s="167">
        <v>3</v>
      </c>
      <c r="U19" s="166" t="str">
        <f t="shared" si="2"/>
        <v>只</v>
      </c>
      <c r="V19" s="168"/>
      <c r="W19" s="172"/>
      <c r="X19" s="166" t="str">
        <f t="shared" si="3"/>
        <v/>
      </c>
      <c r="Y19" s="166" t="str">
        <f t="shared" si="4"/>
        <v>只</v>
      </c>
      <c r="Z19" s="168"/>
      <c r="AA19" s="167"/>
      <c r="AB19" s="172"/>
    </row>
    <row r="20" spans="1:28" s="45" customFormat="1" ht="19.899999999999999" customHeight="1" x14ac:dyDescent="0.3">
      <c r="A20" s="34">
        <v>17</v>
      </c>
      <c r="B20" s="12" t="s">
        <v>380</v>
      </c>
      <c r="C20" s="29" t="s">
        <v>0</v>
      </c>
      <c r="D20" s="32" t="str">
        <f t="shared" si="0"/>
        <v>专用物耗</v>
      </c>
      <c r="E20" s="14"/>
      <c r="F20" s="12"/>
      <c r="G20" s="15"/>
      <c r="H20" s="15"/>
      <c r="I20" s="15"/>
      <c r="J20" s="29" t="s">
        <v>821</v>
      </c>
      <c r="K20" s="16">
        <v>1</v>
      </c>
      <c r="L20" s="29" t="s">
        <v>825</v>
      </c>
      <c r="M20" s="32" t="str">
        <f t="shared" si="1"/>
        <v>常规</v>
      </c>
      <c r="N20" s="25"/>
      <c r="O20" s="135" t="s">
        <v>2254</v>
      </c>
      <c r="P20" s="134" t="s">
        <v>2236</v>
      </c>
      <c r="Q20" s="141"/>
      <c r="R20" s="15"/>
      <c r="S20" s="15"/>
      <c r="T20" s="15"/>
      <c r="U20" s="32" t="str">
        <f t="shared" si="2"/>
        <v>袋</v>
      </c>
      <c r="V20" s="14"/>
      <c r="W20" s="35"/>
      <c r="X20" s="32">
        <f t="shared" si="3"/>
        <v>1</v>
      </c>
      <c r="Y20" s="32" t="str">
        <f t="shared" si="4"/>
        <v>袋</v>
      </c>
      <c r="Z20" s="14" t="s">
        <v>2189</v>
      </c>
      <c r="AA20" s="15"/>
      <c r="AB20" s="35"/>
    </row>
    <row r="21" spans="1:28" s="173" customFormat="1" ht="19.899999999999999" customHeight="1" x14ac:dyDescent="0.3">
      <c r="A21" s="163">
        <v>18</v>
      </c>
      <c r="B21" s="164" t="s">
        <v>381</v>
      </c>
      <c r="C21" s="165" t="s">
        <v>0</v>
      </c>
      <c r="D21" s="166" t="str">
        <f t="shared" si="0"/>
        <v>专用物耗</v>
      </c>
      <c r="E21" s="168"/>
      <c r="F21" s="168" t="s">
        <v>42</v>
      </c>
      <c r="G21" s="167"/>
      <c r="H21" s="167"/>
      <c r="I21" s="167"/>
      <c r="J21" s="165" t="s">
        <v>821</v>
      </c>
      <c r="K21" s="164">
        <v>6</v>
      </c>
      <c r="L21" s="165" t="s">
        <v>823</v>
      </c>
      <c r="M21" s="166" t="str">
        <f t="shared" si="1"/>
        <v>常规</v>
      </c>
      <c r="N21" s="168" t="s">
        <v>382</v>
      </c>
      <c r="O21" s="180" t="s">
        <v>2254</v>
      </c>
      <c r="P21" s="170" t="s">
        <v>2236</v>
      </c>
      <c r="Q21" s="171"/>
      <c r="R21" s="167"/>
      <c r="S21" s="167" t="s">
        <v>1250</v>
      </c>
      <c r="T21" s="167">
        <v>6</v>
      </c>
      <c r="U21" s="166" t="str">
        <f t="shared" si="2"/>
        <v>个</v>
      </c>
      <c r="V21" s="168"/>
      <c r="W21" s="172"/>
      <c r="X21" s="166" t="str">
        <f t="shared" si="3"/>
        <v/>
      </c>
      <c r="Y21" s="166" t="str">
        <f t="shared" si="4"/>
        <v>个</v>
      </c>
      <c r="Z21" s="168"/>
      <c r="AA21" s="167"/>
      <c r="AB21" s="172"/>
    </row>
    <row r="22" spans="1:28" s="45" customFormat="1" ht="19.899999999999999" customHeight="1" x14ac:dyDescent="0.3">
      <c r="A22" s="34">
        <v>19</v>
      </c>
      <c r="B22" s="12" t="s">
        <v>383</v>
      </c>
      <c r="C22" s="29" t="s">
        <v>0</v>
      </c>
      <c r="D22" s="32" t="str">
        <f t="shared" si="0"/>
        <v>专用物耗</v>
      </c>
      <c r="E22" s="14"/>
      <c r="F22" s="14"/>
      <c r="G22" s="15"/>
      <c r="H22" s="15"/>
      <c r="I22" s="15"/>
      <c r="J22" s="29" t="s">
        <v>821</v>
      </c>
      <c r="K22" s="16">
        <v>180</v>
      </c>
      <c r="L22" s="29" t="s">
        <v>823</v>
      </c>
      <c r="M22" s="32" t="str">
        <f t="shared" si="1"/>
        <v>常规</v>
      </c>
      <c r="N22" s="18"/>
      <c r="O22" s="135" t="s">
        <v>2254</v>
      </c>
      <c r="P22" s="134" t="s">
        <v>2236</v>
      </c>
      <c r="Q22" s="141"/>
      <c r="R22" s="15"/>
      <c r="S22" s="15" t="s">
        <v>914</v>
      </c>
      <c r="T22" s="15">
        <v>26</v>
      </c>
      <c r="U22" s="32" t="str">
        <f t="shared" si="2"/>
        <v>个</v>
      </c>
      <c r="V22" s="14"/>
      <c r="W22" s="35"/>
      <c r="X22" s="32">
        <f t="shared" si="3"/>
        <v>154</v>
      </c>
      <c r="Y22" s="32" t="str">
        <f t="shared" si="4"/>
        <v>个</v>
      </c>
      <c r="Z22" s="14"/>
      <c r="AA22" s="15"/>
      <c r="AB22" s="35"/>
    </row>
    <row r="23" spans="1:28" s="45" customFormat="1" ht="19.899999999999999" customHeight="1" x14ac:dyDescent="0.3">
      <c r="A23" s="34">
        <v>20</v>
      </c>
      <c r="B23" s="12" t="s">
        <v>384</v>
      </c>
      <c r="C23" s="29" t="s">
        <v>0</v>
      </c>
      <c r="D23" s="32" t="str">
        <f t="shared" si="0"/>
        <v>专用物耗</v>
      </c>
      <c r="E23" s="14"/>
      <c r="F23" s="14"/>
      <c r="G23" s="15"/>
      <c r="H23" s="15"/>
      <c r="I23" s="15"/>
      <c r="J23" s="29" t="s">
        <v>821</v>
      </c>
      <c r="K23" s="12">
        <v>42</v>
      </c>
      <c r="L23" s="29" t="s">
        <v>823</v>
      </c>
      <c r="M23" s="32" t="str">
        <f t="shared" si="1"/>
        <v>常规</v>
      </c>
      <c r="N23" s="14"/>
      <c r="O23" s="136" t="s">
        <v>2254</v>
      </c>
      <c r="P23" s="134" t="s">
        <v>2236</v>
      </c>
      <c r="Q23" s="141"/>
      <c r="R23" s="15"/>
      <c r="S23" s="15"/>
      <c r="T23" s="15"/>
      <c r="U23" s="32" t="str">
        <f t="shared" si="2"/>
        <v>个</v>
      </c>
      <c r="V23" s="14"/>
      <c r="W23" s="35"/>
      <c r="X23" s="32">
        <f t="shared" si="3"/>
        <v>42</v>
      </c>
      <c r="Y23" s="32" t="str">
        <f t="shared" si="4"/>
        <v>个</v>
      </c>
      <c r="Z23" s="14"/>
      <c r="AA23" s="15"/>
      <c r="AB23" s="35"/>
    </row>
    <row r="24" spans="1:28" s="173" customFormat="1" ht="19.899999999999999" customHeight="1" x14ac:dyDescent="0.3">
      <c r="A24" s="163">
        <v>21</v>
      </c>
      <c r="B24" s="164" t="s">
        <v>385</v>
      </c>
      <c r="C24" s="165" t="s">
        <v>0</v>
      </c>
      <c r="D24" s="166" t="str">
        <f t="shared" si="0"/>
        <v>专用物耗</v>
      </c>
      <c r="E24" s="168" t="s">
        <v>386</v>
      </c>
      <c r="F24" s="168" t="s">
        <v>43</v>
      </c>
      <c r="G24" s="167"/>
      <c r="H24" s="167"/>
      <c r="I24" s="167"/>
      <c r="J24" s="165" t="s">
        <v>821</v>
      </c>
      <c r="K24" s="164">
        <v>50</v>
      </c>
      <c r="L24" s="165" t="s">
        <v>823</v>
      </c>
      <c r="M24" s="166" t="str">
        <f t="shared" si="1"/>
        <v>常规</v>
      </c>
      <c r="N24" s="168" t="s">
        <v>387</v>
      </c>
      <c r="O24" s="180" t="s">
        <v>2254</v>
      </c>
      <c r="P24" s="170" t="s">
        <v>2236</v>
      </c>
      <c r="Q24" s="171"/>
      <c r="R24" s="167"/>
      <c r="S24" s="167" t="s">
        <v>1251</v>
      </c>
      <c r="T24" s="167">
        <v>50</v>
      </c>
      <c r="U24" s="166" t="str">
        <f t="shared" si="2"/>
        <v>个</v>
      </c>
      <c r="V24" s="168"/>
      <c r="W24" s="172"/>
      <c r="X24" s="166" t="str">
        <f t="shared" si="3"/>
        <v/>
      </c>
      <c r="Y24" s="166" t="str">
        <f t="shared" si="4"/>
        <v>个</v>
      </c>
      <c r="Z24" s="168"/>
      <c r="AA24" s="167"/>
      <c r="AB24" s="172"/>
    </row>
    <row r="25" spans="1:28" s="45" customFormat="1" ht="19.899999999999999" customHeight="1" x14ac:dyDescent="0.3">
      <c r="A25" s="34">
        <v>22</v>
      </c>
      <c r="B25" s="12" t="s">
        <v>388</v>
      </c>
      <c r="C25" s="29" t="s">
        <v>0</v>
      </c>
      <c r="D25" s="32" t="str">
        <f t="shared" si="0"/>
        <v>专用物耗</v>
      </c>
      <c r="E25" s="18" t="s">
        <v>256</v>
      </c>
      <c r="F25" s="14" t="s">
        <v>26</v>
      </c>
      <c r="G25" s="15"/>
      <c r="H25" s="15"/>
      <c r="I25" s="15"/>
      <c r="J25" s="29" t="s">
        <v>821</v>
      </c>
      <c r="K25" s="16">
        <v>2</v>
      </c>
      <c r="L25" s="36" t="s">
        <v>823</v>
      </c>
      <c r="M25" s="32" t="str">
        <f t="shared" si="1"/>
        <v>常规</v>
      </c>
      <c r="N25" s="25"/>
      <c r="O25" s="135" t="s">
        <v>2254</v>
      </c>
      <c r="P25" s="134" t="s">
        <v>2237</v>
      </c>
      <c r="Q25" s="141"/>
      <c r="R25" s="15"/>
      <c r="S25" s="15"/>
      <c r="T25" s="15"/>
      <c r="U25" s="32" t="str">
        <f t="shared" si="2"/>
        <v>个</v>
      </c>
      <c r="V25" s="14"/>
      <c r="W25" s="35"/>
      <c r="X25" s="32">
        <f t="shared" si="3"/>
        <v>2</v>
      </c>
      <c r="Y25" s="32" t="str">
        <f t="shared" si="4"/>
        <v>个</v>
      </c>
      <c r="Z25" s="14"/>
      <c r="AA25" s="15"/>
      <c r="AB25" s="35"/>
    </row>
    <row r="26" spans="1:28" s="45" customFormat="1" ht="19.899999999999999" customHeight="1" x14ac:dyDescent="0.3">
      <c r="A26" s="34">
        <v>23</v>
      </c>
      <c r="B26" s="12" t="s">
        <v>389</v>
      </c>
      <c r="C26" s="29" t="s">
        <v>0</v>
      </c>
      <c r="D26" s="32" t="str">
        <f t="shared" si="0"/>
        <v>专用物耗</v>
      </c>
      <c r="E26" s="14" t="s">
        <v>846</v>
      </c>
      <c r="F26" s="14" t="s">
        <v>4</v>
      </c>
      <c r="G26" s="15"/>
      <c r="H26" s="15"/>
      <c r="I26" s="15"/>
      <c r="J26" s="29" t="s">
        <v>821</v>
      </c>
      <c r="K26" s="16">
        <v>36</v>
      </c>
      <c r="L26" s="29" t="s">
        <v>823</v>
      </c>
      <c r="M26" s="32" t="str">
        <f t="shared" si="1"/>
        <v>常规</v>
      </c>
      <c r="N26" s="18"/>
      <c r="O26" s="135" t="s">
        <v>2254</v>
      </c>
      <c r="P26" s="134" t="s">
        <v>2237</v>
      </c>
      <c r="Q26" s="141"/>
      <c r="R26" s="15"/>
      <c r="S26" s="15"/>
      <c r="T26" s="15"/>
      <c r="U26" s="32" t="str">
        <f t="shared" si="2"/>
        <v>个</v>
      </c>
      <c r="V26" s="14"/>
      <c r="W26" s="35"/>
      <c r="X26" s="32">
        <f t="shared" si="3"/>
        <v>36</v>
      </c>
      <c r="Y26" s="32" t="str">
        <f t="shared" si="4"/>
        <v>个</v>
      </c>
      <c r="Z26" s="14"/>
      <c r="AA26" s="15"/>
      <c r="AB26" s="35"/>
    </row>
    <row r="27" spans="1:28" s="45" customFormat="1" ht="19.899999999999999" customHeight="1" x14ac:dyDescent="0.3">
      <c r="A27" s="34">
        <v>24</v>
      </c>
      <c r="B27" s="12" t="s">
        <v>392</v>
      </c>
      <c r="C27" s="29" t="s">
        <v>0</v>
      </c>
      <c r="D27" s="32" t="str">
        <f t="shared" si="0"/>
        <v>专用物耗</v>
      </c>
      <c r="E27" s="12" t="s">
        <v>283</v>
      </c>
      <c r="F27" s="12" t="s">
        <v>49</v>
      </c>
      <c r="G27" s="15"/>
      <c r="H27" s="15"/>
      <c r="I27" s="15"/>
      <c r="J27" s="29" t="s">
        <v>821</v>
      </c>
      <c r="K27" s="16">
        <v>5</v>
      </c>
      <c r="L27" s="29" t="s">
        <v>823</v>
      </c>
      <c r="M27" s="32" t="str">
        <f t="shared" si="1"/>
        <v>常规</v>
      </c>
      <c r="N27" s="25"/>
      <c r="O27" s="135" t="s">
        <v>2254</v>
      </c>
      <c r="P27" s="134" t="s">
        <v>2237</v>
      </c>
      <c r="Q27" s="141"/>
      <c r="R27" s="15"/>
      <c r="S27" s="15"/>
      <c r="T27" s="15"/>
      <c r="U27" s="32" t="str">
        <f t="shared" si="2"/>
        <v>个</v>
      </c>
      <c r="V27" s="14"/>
      <c r="W27" s="35"/>
      <c r="X27" s="32">
        <f t="shared" si="3"/>
        <v>5</v>
      </c>
      <c r="Y27" s="32" t="str">
        <f t="shared" si="4"/>
        <v>个</v>
      </c>
      <c r="Z27" s="14"/>
      <c r="AA27" s="15"/>
      <c r="AB27" s="35"/>
    </row>
    <row r="28" spans="1:28" s="45" customFormat="1" ht="19.899999999999999" customHeight="1" x14ac:dyDescent="0.3">
      <c r="A28" s="34">
        <v>25</v>
      </c>
      <c r="B28" s="12" t="s">
        <v>392</v>
      </c>
      <c r="C28" s="29" t="s">
        <v>0</v>
      </c>
      <c r="D28" s="32" t="str">
        <f t="shared" si="0"/>
        <v>专用物耗</v>
      </c>
      <c r="E28" s="12" t="s">
        <v>283</v>
      </c>
      <c r="F28" s="12" t="s">
        <v>18</v>
      </c>
      <c r="G28" s="15"/>
      <c r="H28" s="15"/>
      <c r="I28" s="15"/>
      <c r="J28" s="29" t="s">
        <v>821</v>
      </c>
      <c r="K28" s="16">
        <v>5</v>
      </c>
      <c r="L28" s="29" t="s">
        <v>823</v>
      </c>
      <c r="M28" s="32" t="str">
        <f t="shared" si="1"/>
        <v>常规</v>
      </c>
      <c r="N28" s="25"/>
      <c r="O28" s="135" t="s">
        <v>2254</v>
      </c>
      <c r="P28" s="134" t="s">
        <v>2237</v>
      </c>
      <c r="Q28" s="141"/>
      <c r="R28" s="15"/>
      <c r="S28" s="15"/>
      <c r="T28" s="15"/>
      <c r="U28" s="32" t="str">
        <f t="shared" si="2"/>
        <v>个</v>
      </c>
      <c r="V28" s="14"/>
      <c r="W28" s="35"/>
      <c r="X28" s="32">
        <f t="shared" si="3"/>
        <v>5</v>
      </c>
      <c r="Y28" s="32" t="str">
        <f t="shared" si="4"/>
        <v>个</v>
      </c>
      <c r="Z28" s="14"/>
      <c r="AA28" s="15"/>
      <c r="AB28" s="35"/>
    </row>
    <row r="29" spans="1:28" s="45" customFormat="1" ht="19.899999999999999" customHeight="1" x14ac:dyDescent="0.3">
      <c r="A29" s="34">
        <v>26</v>
      </c>
      <c r="B29" s="12" t="s">
        <v>393</v>
      </c>
      <c r="C29" s="29" t="s">
        <v>0</v>
      </c>
      <c r="D29" s="32" t="str">
        <f t="shared" si="0"/>
        <v>专用物耗</v>
      </c>
      <c r="E29" s="14" t="s">
        <v>847</v>
      </c>
      <c r="F29" s="14" t="s">
        <v>49</v>
      </c>
      <c r="G29" s="15"/>
      <c r="H29" s="15"/>
      <c r="I29" s="15"/>
      <c r="J29" s="29" t="s">
        <v>821</v>
      </c>
      <c r="K29" s="16">
        <v>3</v>
      </c>
      <c r="L29" s="29" t="s">
        <v>822</v>
      </c>
      <c r="M29" s="32" t="str">
        <f t="shared" si="1"/>
        <v>常规</v>
      </c>
      <c r="N29" s="25"/>
      <c r="O29" s="135" t="s">
        <v>2254</v>
      </c>
      <c r="P29" s="134" t="s">
        <v>2237</v>
      </c>
      <c r="Q29" s="141"/>
      <c r="R29" s="15"/>
      <c r="S29" s="15"/>
      <c r="T29" s="15"/>
      <c r="U29" s="32" t="str">
        <f t="shared" si="2"/>
        <v>只</v>
      </c>
      <c r="V29" s="14"/>
      <c r="W29" s="35"/>
      <c r="X29" s="32">
        <f t="shared" si="3"/>
        <v>3</v>
      </c>
      <c r="Y29" s="32" t="str">
        <f t="shared" si="4"/>
        <v>只</v>
      </c>
      <c r="Z29" s="14"/>
      <c r="AA29" s="15"/>
      <c r="AB29" s="35"/>
    </row>
    <row r="30" spans="1:28" s="45" customFormat="1" ht="19.899999999999999" customHeight="1" x14ac:dyDescent="0.3">
      <c r="A30" s="34">
        <v>27</v>
      </c>
      <c r="B30" s="12" t="s">
        <v>394</v>
      </c>
      <c r="C30" s="29" t="s">
        <v>0</v>
      </c>
      <c r="D30" s="32" t="str">
        <f t="shared" si="0"/>
        <v>专用物耗</v>
      </c>
      <c r="E30" s="14" t="s">
        <v>256</v>
      </c>
      <c r="F30" s="14" t="s">
        <v>18</v>
      </c>
      <c r="G30" s="15"/>
      <c r="H30" s="15"/>
      <c r="I30" s="15"/>
      <c r="J30" s="29" t="s">
        <v>821</v>
      </c>
      <c r="K30" s="16">
        <v>1</v>
      </c>
      <c r="L30" s="29" t="s">
        <v>823</v>
      </c>
      <c r="M30" s="32" t="str">
        <f t="shared" si="1"/>
        <v>常规</v>
      </c>
      <c r="N30" s="25"/>
      <c r="O30" s="135" t="s">
        <v>2254</v>
      </c>
      <c r="P30" s="134" t="s">
        <v>2237</v>
      </c>
      <c r="Q30" s="141"/>
      <c r="R30" s="15"/>
      <c r="S30" s="15"/>
      <c r="T30" s="15"/>
      <c r="U30" s="32" t="str">
        <f t="shared" si="2"/>
        <v>个</v>
      </c>
      <c r="V30" s="14"/>
      <c r="W30" s="35"/>
      <c r="X30" s="32">
        <f t="shared" si="3"/>
        <v>1</v>
      </c>
      <c r="Y30" s="32" t="str">
        <f t="shared" si="4"/>
        <v>个</v>
      </c>
      <c r="Z30" s="14"/>
      <c r="AA30" s="15"/>
      <c r="AB30" s="35"/>
    </row>
    <row r="31" spans="1:28" s="45" customFormat="1" ht="19.899999999999999" customHeight="1" x14ac:dyDescent="0.3">
      <c r="A31" s="34">
        <v>28</v>
      </c>
      <c r="B31" s="12" t="s">
        <v>394</v>
      </c>
      <c r="C31" s="29" t="s">
        <v>0</v>
      </c>
      <c r="D31" s="32" t="str">
        <f t="shared" si="0"/>
        <v>专用物耗</v>
      </c>
      <c r="E31" s="14" t="s">
        <v>256</v>
      </c>
      <c r="F31" s="14" t="s">
        <v>27</v>
      </c>
      <c r="G31" s="15"/>
      <c r="H31" s="15"/>
      <c r="I31" s="15"/>
      <c r="J31" s="29" t="s">
        <v>821</v>
      </c>
      <c r="K31" s="16">
        <v>5</v>
      </c>
      <c r="L31" s="29" t="s">
        <v>823</v>
      </c>
      <c r="M31" s="32" t="str">
        <f t="shared" si="1"/>
        <v>常规</v>
      </c>
      <c r="N31" s="25"/>
      <c r="O31" s="135" t="s">
        <v>2254</v>
      </c>
      <c r="P31" s="134" t="s">
        <v>2237</v>
      </c>
      <c r="Q31" s="141"/>
      <c r="R31" s="15"/>
      <c r="S31" s="15"/>
      <c r="T31" s="15"/>
      <c r="U31" s="32" t="str">
        <f t="shared" si="2"/>
        <v>个</v>
      </c>
      <c r="V31" s="14"/>
      <c r="W31" s="35"/>
      <c r="X31" s="32">
        <f t="shared" si="3"/>
        <v>5</v>
      </c>
      <c r="Y31" s="32" t="str">
        <f t="shared" si="4"/>
        <v>个</v>
      </c>
      <c r="Z31" s="14"/>
      <c r="AA31" s="15"/>
      <c r="AB31" s="35"/>
    </row>
    <row r="32" spans="1:28" s="45" customFormat="1" ht="19.899999999999999" customHeight="1" x14ac:dyDescent="0.3">
      <c r="A32" s="34">
        <v>29</v>
      </c>
      <c r="B32" s="12" t="s">
        <v>395</v>
      </c>
      <c r="C32" s="29" t="s">
        <v>0</v>
      </c>
      <c r="D32" s="32" t="str">
        <f t="shared" si="0"/>
        <v>专用物耗</v>
      </c>
      <c r="E32" s="14" t="s">
        <v>256</v>
      </c>
      <c r="F32" s="14" t="s">
        <v>50</v>
      </c>
      <c r="G32" s="15"/>
      <c r="H32" s="15"/>
      <c r="I32" s="15"/>
      <c r="J32" s="29" t="s">
        <v>821</v>
      </c>
      <c r="K32" s="16">
        <v>2</v>
      </c>
      <c r="L32" s="37" t="s">
        <v>827</v>
      </c>
      <c r="M32" s="32" t="str">
        <f t="shared" si="1"/>
        <v>常规</v>
      </c>
      <c r="N32" s="25"/>
      <c r="O32" s="135" t="s">
        <v>2254</v>
      </c>
      <c r="P32" s="134" t="s">
        <v>2237</v>
      </c>
      <c r="Q32" s="141"/>
      <c r="R32" s="15"/>
      <c r="S32" s="15"/>
      <c r="T32" s="15"/>
      <c r="U32" s="32" t="str">
        <f t="shared" si="2"/>
        <v>套</v>
      </c>
      <c r="V32" s="14"/>
      <c r="W32" s="35"/>
      <c r="X32" s="32">
        <f t="shared" si="3"/>
        <v>2</v>
      </c>
      <c r="Y32" s="32" t="str">
        <f t="shared" si="4"/>
        <v>套</v>
      </c>
      <c r="Z32" s="14"/>
      <c r="AA32" s="15"/>
      <c r="AB32" s="35"/>
    </row>
    <row r="33" spans="1:28" s="45" customFormat="1" ht="19.899999999999999" customHeight="1" x14ac:dyDescent="0.3">
      <c r="A33" s="34">
        <v>30</v>
      </c>
      <c r="B33" s="89" t="s">
        <v>2869</v>
      </c>
      <c r="C33" s="29" t="s">
        <v>0</v>
      </c>
      <c r="D33" s="32" t="str">
        <f t="shared" si="0"/>
        <v>专用物耗</v>
      </c>
      <c r="E33" s="95" t="s">
        <v>2870</v>
      </c>
      <c r="F33" s="14" t="s">
        <v>2136</v>
      </c>
      <c r="G33" s="15"/>
      <c r="H33" s="15"/>
      <c r="I33" s="15"/>
      <c r="J33" s="29" t="s">
        <v>821</v>
      </c>
      <c r="K33" s="12">
        <v>10</v>
      </c>
      <c r="L33" s="29" t="s">
        <v>828</v>
      </c>
      <c r="M33" s="32" t="str">
        <f t="shared" si="1"/>
        <v>常规</v>
      </c>
      <c r="N33" s="20" t="s">
        <v>396</v>
      </c>
      <c r="O33" s="136" t="s">
        <v>2254</v>
      </c>
      <c r="P33" s="134" t="s">
        <v>2252</v>
      </c>
      <c r="Q33" s="141"/>
      <c r="R33" s="15"/>
      <c r="S33" s="15" t="s">
        <v>2866</v>
      </c>
      <c r="T33" s="15">
        <v>6</v>
      </c>
      <c r="U33" s="32" t="str">
        <f t="shared" si="2"/>
        <v>包</v>
      </c>
      <c r="V33" s="14"/>
      <c r="W33" s="35"/>
      <c r="X33" s="32">
        <f t="shared" si="3"/>
        <v>4</v>
      </c>
      <c r="Y33" s="32" t="str">
        <f t="shared" si="4"/>
        <v>包</v>
      </c>
      <c r="Z33" s="14"/>
      <c r="AA33" s="15"/>
      <c r="AB33" s="35"/>
    </row>
    <row r="34" spans="1:28" s="45" customFormat="1" ht="19.899999999999999" customHeight="1" x14ac:dyDescent="0.3">
      <c r="A34" s="34">
        <v>31</v>
      </c>
      <c r="B34" s="12" t="s">
        <v>397</v>
      </c>
      <c r="C34" s="29" t="s">
        <v>0</v>
      </c>
      <c r="D34" s="32" t="str">
        <f t="shared" si="0"/>
        <v>专用物耗</v>
      </c>
      <c r="E34" s="12" t="s">
        <v>398</v>
      </c>
      <c r="F34" s="12" t="s">
        <v>399</v>
      </c>
      <c r="G34" s="15"/>
      <c r="H34" s="15"/>
      <c r="I34" s="15"/>
      <c r="J34" s="29" t="s">
        <v>821</v>
      </c>
      <c r="K34" s="16">
        <v>11</v>
      </c>
      <c r="L34" s="29" t="s">
        <v>826</v>
      </c>
      <c r="M34" s="32" t="str">
        <f t="shared" si="1"/>
        <v>常规</v>
      </c>
      <c r="N34" s="323" t="s">
        <v>3087</v>
      </c>
      <c r="O34" s="135" t="s">
        <v>2254</v>
      </c>
      <c r="P34" s="134" t="s">
        <v>2252</v>
      </c>
      <c r="Q34" s="141"/>
      <c r="R34" s="15"/>
      <c r="S34" s="15"/>
      <c r="T34" s="15"/>
      <c r="U34" s="32" t="str">
        <f t="shared" si="2"/>
        <v>盒</v>
      </c>
      <c r="V34" s="14"/>
      <c r="W34" s="35"/>
      <c r="X34" s="32">
        <f t="shared" si="3"/>
        <v>11</v>
      </c>
      <c r="Y34" s="32" t="str">
        <f t="shared" si="4"/>
        <v>盒</v>
      </c>
      <c r="Z34" s="14" t="s">
        <v>2415</v>
      </c>
      <c r="AA34" s="15"/>
      <c r="AB34" s="35"/>
    </row>
    <row r="35" spans="1:28" s="45" customFormat="1" ht="19.899999999999999" customHeight="1" x14ac:dyDescent="0.3">
      <c r="A35" s="34">
        <v>32</v>
      </c>
      <c r="B35" s="12" t="s">
        <v>400</v>
      </c>
      <c r="C35" s="29" t="s">
        <v>0</v>
      </c>
      <c r="D35" s="32" t="str">
        <f t="shared" si="0"/>
        <v>专用物耗</v>
      </c>
      <c r="E35" s="12"/>
      <c r="F35" s="12" t="s">
        <v>1659</v>
      </c>
      <c r="G35" s="15"/>
      <c r="H35" s="15"/>
      <c r="I35" s="15"/>
      <c r="J35" s="29" t="s">
        <v>821</v>
      </c>
      <c r="K35" s="16">
        <v>2</v>
      </c>
      <c r="L35" s="29" t="s">
        <v>826</v>
      </c>
      <c r="M35" s="32" t="str">
        <f t="shared" si="1"/>
        <v>常规</v>
      </c>
      <c r="N35" s="25" t="s">
        <v>401</v>
      </c>
      <c r="O35" s="135" t="s">
        <v>2254</v>
      </c>
      <c r="P35" s="134" t="s">
        <v>2252</v>
      </c>
      <c r="Q35" s="141"/>
      <c r="R35" s="15"/>
      <c r="S35" s="15"/>
      <c r="T35" s="15"/>
      <c r="U35" s="32" t="str">
        <f t="shared" si="2"/>
        <v>盒</v>
      </c>
      <c r="V35" s="14"/>
      <c r="W35" s="35"/>
      <c r="X35" s="32">
        <f t="shared" si="3"/>
        <v>2</v>
      </c>
      <c r="Y35" s="32" t="str">
        <f t="shared" si="4"/>
        <v>盒</v>
      </c>
      <c r="Z35" s="14"/>
      <c r="AA35" s="15"/>
      <c r="AB35" s="35"/>
    </row>
    <row r="36" spans="1:28" s="45" customFormat="1" ht="19.899999999999999" customHeight="1" x14ac:dyDescent="0.3">
      <c r="A36" s="34">
        <v>33</v>
      </c>
      <c r="B36" s="12" t="s">
        <v>402</v>
      </c>
      <c r="C36" s="29" t="s">
        <v>0</v>
      </c>
      <c r="D36" s="32" t="str">
        <f t="shared" si="0"/>
        <v>专用物耗</v>
      </c>
      <c r="E36" s="15" t="s">
        <v>848</v>
      </c>
      <c r="F36" s="15" t="s">
        <v>403</v>
      </c>
      <c r="G36" s="15"/>
      <c r="H36" s="15"/>
      <c r="I36" s="15"/>
      <c r="J36" s="29" t="s">
        <v>821</v>
      </c>
      <c r="K36" s="16">
        <v>5</v>
      </c>
      <c r="L36" s="29" t="s">
        <v>826</v>
      </c>
      <c r="M36" s="32" t="str">
        <f t="shared" si="1"/>
        <v>常规</v>
      </c>
      <c r="N36" s="25"/>
      <c r="O36" s="135" t="s">
        <v>2254</v>
      </c>
      <c r="P36" s="134" t="s">
        <v>2252</v>
      </c>
      <c r="Q36" s="141"/>
      <c r="R36" s="15"/>
      <c r="S36" s="15"/>
      <c r="T36" s="15"/>
      <c r="U36" s="32" t="str">
        <f t="shared" si="2"/>
        <v>盒</v>
      </c>
      <c r="V36" s="14"/>
      <c r="W36" s="35"/>
      <c r="X36" s="32">
        <f t="shared" si="3"/>
        <v>5</v>
      </c>
      <c r="Y36" s="32" t="str">
        <f t="shared" si="4"/>
        <v>盒</v>
      </c>
      <c r="Z36" s="14"/>
      <c r="AA36" s="15"/>
      <c r="AB36" s="35"/>
    </row>
    <row r="37" spans="1:28" s="45" customFormat="1" ht="19.899999999999999" customHeight="1" x14ac:dyDescent="0.3">
      <c r="A37" s="34">
        <v>34</v>
      </c>
      <c r="B37" s="12" t="s">
        <v>404</v>
      </c>
      <c r="C37" s="29" t="s">
        <v>0</v>
      </c>
      <c r="D37" s="32" t="str">
        <f t="shared" si="0"/>
        <v>专用物耗</v>
      </c>
      <c r="E37" s="15"/>
      <c r="F37" s="15" t="s">
        <v>405</v>
      </c>
      <c r="G37" s="15"/>
      <c r="H37" s="15"/>
      <c r="I37" s="15"/>
      <c r="J37" s="29" t="s">
        <v>821</v>
      </c>
      <c r="K37" s="16">
        <v>1</v>
      </c>
      <c r="L37" s="29" t="s">
        <v>826</v>
      </c>
      <c r="M37" s="32" t="str">
        <f t="shared" si="1"/>
        <v>常规</v>
      </c>
      <c r="N37" s="25" t="s">
        <v>406</v>
      </c>
      <c r="O37" s="135" t="s">
        <v>2254</v>
      </c>
      <c r="P37" s="134" t="s">
        <v>2252</v>
      </c>
      <c r="Q37" s="141"/>
      <c r="R37" s="15"/>
      <c r="S37" s="15"/>
      <c r="T37" s="15"/>
      <c r="U37" s="32" t="str">
        <f t="shared" si="2"/>
        <v>盒</v>
      </c>
      <c r="V37" s="14"/>
      <c r="W37" s="35"/>
      <c r="X37" s="32">
        <f t="shared" si="3"/>
        <v>1</v>
      </c>
      <c r="Y37" s="32" t="str">
        <f t="shared" si="4"/>
        <v>盒</v>
      </c>
      <c r="Z37" s="14"/>
      <c r="AA37" s="15"/>
      <c r="AB37" s="35"/>
    </row>
    <row r="38" spans="1:28" s="173" customFormat="1" ht="19.899999999999999" customHeight="1" x14ac:dyDescent="0.3">
      <c r="A38" s="163">
        <v>35</v>
      </c>
      <c r="B38" s="164" t="s">
        <v>407</v>
      </c>
      <c r="C38" s="165" t="s">
        <v>0</v>
      </c>
      <c r="D38" s="166" t="str">
        <f t="shared" si="0"/>
        <v>专用物耗</v>
      </c>
      <c r="E38" s="167"/>
      <c r="F38" s="167" t="s">
        <v>408</v>
      </c>
      <c r="G38" s="167"/>
      <c r="H38" s="167"/>
      <c r="I38" s="167"/>
      <c r="J38" s="165" t="s">
        <v>821</v>
      </c>
      <c r="K38" s="164">
        <v>2</v>
      </c>
      <c r="L38" s="165" t="s">
        <v>826</v>
      </c>
      <c r="M38" s="166" t="str">
        <f t="shared" si="1"/>
        <v>常规</v>
      </c>
      <c r="N38" s="181"/>
      <c r="O38" s="180" t="s">
        <v>2254</v>
      </c>
      <c r="P38" s="170" t="s">
        <v>2252</v>
      </c>
      <c r="Q38" s="169"/>
      <c r="R38" s="167"/>
      <c r="S38" s="167" t="s">
        <v>1658</v>
      </c>
      <c r="T38" s="167">
        <v>2</v>
      </c>
      <c r="U38" s="166" t="str">
        <f t="shared" si="2"/>
        <v>盒</v>
      </c>
      <c r="V38" s="167"/>
      <c r="W38" s="172"/>
      <c r="X38" s="166" t="str">
        <f t="shared" si="3"/>
        <v/>
      </c>
      <c r="Y38" s="166" t="str">
        <f t="shared" si="4"/>
        <v>盒</v>
      </c>
      <c r="Z38" s="167"/>
      <c r="AA38" s="167"/>
      <c r="AB38" s="172"/>
    </row>
    <row r="39" spans="1:28" s="45" customFormat="1" ht="19.899999999999999" customHeight="1" x14ac:dyDescent="0.3">
      <c r="A39" s="34">
        <v>36</v>
      </c>
      <c r="B39" s="12" t="s">
        <v>409</v>
      </c>
      <c r="C39" s="29" t="s">
        <v>0</v>
      </c>
      <c r="D39" s="32" t="str">
        <f t="shared" si="0"/>
        <v>专用物耗</v>
      </c>
      <c r="E39" s="15" t="s">
        <v>410</v>
      </c>
      <c r="F39" s="15" t="s">
        <v>411</v>
      </c>
      <c r="G39" s="15"/>
      <c r="H39" s="15"/>
      <c r="I39" s="15"/>
      <c r="J39" s="29" t="s">
        <v>821</v>
      </c>
      <c r="K39" s="16">
        <v>1</v>
      </c>
      <c r="L39" s="29" t="s">
        <v>826</v>
      </c>
      <c r="M39" s="32" t="str">
        <f t="shared" si="1"/>
        <v>常规</v>
      </c>
      <c r="N39" s="25"/>
      <c r="O39" s="135" t="s">
        <v>2254</v>
      </c>
      <c r="P39" s="134" t="s">
        <v>2252</v>
      </c>
      <c r="Q39" s="137"/>
      <c r="R39" s="15"/>
      <c r="S39" s="15"/>
      <c r="T39" s="15"/>
      <c r="U39" s="32" t="str">
        <f t="shared" si="2"/>
        <v>盒</v>
      </c>
      <c r="V39" s="15"/>
      <c r="W39" s="35"/>
      <c r="X39" s="32">
        <f t="shared" si="3"/>
        <v>1</v>
      </c>
      <c r="Y39" s="32" t="str">
        <f t="shared" si="4"/>
        <v>盒</v>
      </c>
      <c r="Z39" s="15"/>
      <c r="AA39" s="15"/>
      <c r="AB39" s="35"/>
    </row>
    <row r="40" spans="1:28" s="173" customFormat="1" ht="19.899999999999999" customHeight="1" x14ac:dyDescent="0.3">
      <c r="A40" s="163">
        <v>37</v>
      </c>
      <c r="B40" s="164" t="s">
        <v>412</v>
      </c>
      <c r="C40" s="165" t="s">
        <v>0</v>
      </c>
      <c r="D40" s="166" t="str">
        <f t="shared" si="0"/>
        <v>专用物耗</v>
      </c>
      <c r="E40" s="167"/>
      <c r="F40" s="167" t="s">
        <v>413</v>
      </c>
      <c r="G40" s="167"/>
      <c r="H40" s="167"/>
      <c r="I40" s="167"/>
      <c r="J40" s="165" t="s">
        <v>821</v>
      </c>
      <c r="K40" s="164">
        <v>1</v>
      </c>
      <c r="L40" s="165" t="s">
        <v>826</v>
      </c>
      <c r="M40" s="166" t="str">
        <f t="shared" si="1"/>
        <v>常规</v>
      </c>
      <c r="N40" s="181"/>
      <c r="O40" s="180" t="s">
        <v>2254</v>
      </c>
      <c r="P40" s="170" t="s">
        <v>2252</v>
      </c>
      <c r="Q40" s="169"/>
      <c r="R40" s="167"/>
      <c r="S40" s="167" t="s">
        <v>871</v>
      </c>
      <c r="T40" s="167">
        <v>1</v>
      </c>
      <c r="U40" s="166" t="str">
        <f t="shared" si="2"/>
        <v>盒</v>
      </c>
      <c r="V40" s="167"/>
      <c r="W40" s="172"/>
      <c r="X40" s="166" t="str">
        <f t="shared" si="3"/>
        <v/>
      </c>
      <c r="Y40" s="166" t="str">
        <f t="shared" si="4"/>
        <v>盒</v>
      </c>
      <c r="Z40" s="167"/>
      <c r="AA40" s="167"/>
      <c r="AB40" s="172"/>
    </row>
    <row r="41" spans="1:28" s="45" customFormat="1" ht="19.899999999999999" customHeight="1" x14ac:dyDescent="0.3">
      <c r="A41" s="34">
        <v>38</v>
      </c>
      <c r="B41" s="12" t="s">
        <v>414</v>
      </c>
      <c r="C41" s="29" t="s">
        <v>0</v>
      </c>
      <c r="D41" s="32" t="str">
        <f t="shared" si="0"/>
        <v>专用物耗</v>
      </c>
      <c r="E41" s="14" t="s">
        <v>849</v>
      </c>
      <c r="F41" s="14" t="s">
        <v>415</v>
      </c>
      <c r="G41" s="15"/>
      <c r="H41" s="15"/>
      <c r="I41" s="15"/>
      <c r="J41" s="29" t="s">
        <v>821</v>
      </c>
      <c r="K41" s="16">
        <v>6</v>
      </c>
      <c r="L41" s="29" t="s">
        <v>826</v>
      </c>
      <c r="M41" s="32" t="str">
        <f t="shared" si="1"/>
        <v>常规</v>
      </c>
      <c r="N41" s="18"/>
      <c r="O41" s="135" t="s">
        <v>2254</v>
      </c>
      <c r="P41" s="134" t="s">
        <v>2252</v>
      </c>
      <c r="Q41" s="141"/>
      <c r="R41" s="15"/>
      <c r="S41" s="15"/>
      <c r="T41" s="15"/>
      <c r="U41" s="32" t="str">
        <f t="shared" si="2"/>
        <v>盒</v>
      </c>
      <c r="V41" s="14"/>
      <c r="W41" s="35"/>
      <c r="X41" s="32">
        <f t="shared" si="3"/>
        <v>6</v>
      </c>
      <c r="Y41" s="32" t="str">
        <f t="shared" si="4"/>
        <v>盒</v>
      </c>
      <c r="Z41" s="14"/>
      <c r="AA41" s="15"/>
      <c r="AB41" s="35"/>
    </row>
    <row r="42" spans="1:28" s="45" customFormat="1" ht="19.899999999999999" customHeight="1" x14ac:dyDescent="0.3">
      <c r="A42" s="34">
        <v>39</v>
      </c>
      <c r="B42" s="12" t="s">
        <v>416</v>
      </c>
      <c r="C42" s="29" t="s">
        <v>0</v>
      </c>
      <c r="D42" s="32" t="str">
        <f t="shared" si="0"/>
        <v>专用物耗</v>
      </c>
      <c r="E42" s="14"/>
      <c r="F42" s="14" t="s">
        <v>417</v>
      </c>
      <c r="G42" s="15"/>
      <c r="H42" s="15"/>
      <c r="I42" s="15"/>
      <c r="J42" s="29" t="s">
        <v>821</v>
      </c>
      <c r="K42" s="18">
        <v>1</v>
      </c>
      <c r="L42" s="29" t="s">
        <v>826</v>
      </c>
      <c r="M42" s="32" t="str">
        <f t="shared" si="1"/>
        <v>常规</v>
      </c>
      <c r="N42" s="18"/>
      <c r="O42" s="135" t="s">
        <v>2254</v>
      </c>
      <c r="P42" s="134" t="s">
        <v>2252</v>
      </c>
      <c r="Q42" s="141"/>
      <c r="R42" s="15"/>
      <c r="S42" s="15"/>
      <c r="T42" s="15"/>
      <c r="U42" s="32" t="str">
        <f t="shared" si="2"/>
        <v>盒</v>
      </c>
      <c r="V42" s="14"/>
      <c r="W42" s="35"/>
      <c r="X42" s="32">
        <f t="shared" si="3"/>
        <v>1</v>
      </c>
      <c r="Y42" s="32" t="str">
        <f t="shared" si="4"/>
        <v>盒</v>
      </c>
      <c r="Z42" s="14"/>
      <c r="AA42" s="15"/>
      <c r="AB42" s="35"/>
    </row>
    <row r="43" spans="1:28" s="45" customFormat="1" ht="19.899999999999999" customHeight="1" x14ac:dyDescent="0.3">
      <c r="A43" s="34">
        <v>40</v>
      </c>
      <c r="B43" s="12" t="s">
        <v>416</v>
      </c>
      <c r="C43" s="29" t="s">
        <v>0</v>
      </c>
      <c r="D43" s="32" t="str">
        <f t="shared" si="0"/>
        <v>专用物耗</v>
      </c>
      <c r="E43" s="14"/>
      <c r="F43" s="14" t="s">
        <v>418</v>
      </c>
      <c r="G43" s="15"/>
      <c r="H43" s="15"/>
      <c r="I43" s="15"/>
      <c r="J43" s="29" t="s">
        <v>821</v>
      </c>
      <c r="K43" s="18">
        <v>1</v>
      </c>
      <c r="L43" s="29" t="s">
        <v>826</v>
      </c>
      <c r="M43" s="32" t="str">
        <f t="shared" si="1"/>
        <v>常规</v>
      </c>
      <c r="N43" s="18"/>
      <c r="O43" s="135" t="s">
        <v>2254</v>
      </c>
      <c r="P43" s="134" t="s">
        <v>2252</v>
      </c>
      <c r="Q43" s="141"/>
      <c r="R43" s="15"/>
      <c r="S43" s="15"/>
      <c r="T43" s="15"/>
      <c r="U43" s="32" t="str">
        <f t="shared" si="2"/>
        <v>盒</v>
      </c>
      <c r="V43" s="14"/>
      <c r="W43" s="35"/>
      <c r="X43" s="32">
        <f t="shared" si="3"/>
        <v>1</v>
      </c>
      <c r="Y43" s="32" t="str">
        <f t="shared" si="4"/>
        <v>盒</v>
      </c>
      <c r="Z43" s="14"/>
      <c r="AA43" s="15"/>
      <c r="AB43" s="35"/>
    </row>
    <row r="44" spans="1:28" s="45" customFormat="1" ht="19.899999999999999" customHeight="1" x14ac:dyDescent="0.3">
      <c r="A44" s="34">
        <v>41</v>
      </c>
      <c r="B44" s="12" t="s">
        <v>419</v>
      </c>
      <c r="C44" s="29" t="s">
        <v>0</v>
      </c>
      <c r="D44" s="32" t="str">
        <f t="shared" si="0"/>
        <v>专用物耗</v>
      </c>
      <c r="E44" s="14"/>
      <c r="F44" s="15"/>
      <c r="G44" s="15"/>
      <c r="H44" s="15"/>
      <c r="I44" s="15"/>
      <c r="J44" s="29" t="s">
        <v>821</v>
      </c>
      <c r="K44" s="18">
        <v>1</v>
      </c>
      <c r="L44" s="37" t="s">
        <v>826</v>
      </c>
      <c r="M44" s="32" t="str">
        <f t="shared" si="1"/>
        <v>常规</v>
      </c>
      <c r="N44" s="18"/>
      <c r="O44" s="135" t="s">
        <v>2254</v>
      </c>
      <c r="P44" s="134" t="s">
        <v>2252</v>
      </c>
      <c r="Q44" s="141"/>
      <c r="R44" s="15"/>
      <c r="S44" s="15"/>
      <c r="T44" s="15"/>
      <c r="U44" s="32" t="str">
        <f t="shared" si="2"/>
        <v>盒</v>
      </c>
      <c r="V44" s="14"/>
      <c r="W44" s="35"/>
      <c r="X44" s="32">
        <f t="shared" si="3"/>
        <v>1</v>
      </c>
      <c r="Y44" s="32" t="str">
        <f t="shared" si="4"/>
        <v>盒</v>
      </c>
      <c r="Z44" s="14"/>
      <c r="AA44" s="15"/>
      <c r="AB44" s="35"/>
    </row>
    <row r="45" spans="1:28" s="173" customFormat="1" ht="19.899999999999999" customHeight="1" x14ac:dyDescent="0.3">
      <c r="A45" s="163">
        <v>42</v>
      </c>
      <c r="B45" s="164" t="s">
        <v>420</v>
      </c>
      <c r="C45" s="165" t="s">
        <v>0</v>
      </c>
      <c r="D45" s="166" t="str">
        <f t="shared" si="0"/>
        <v>专用物耗</v>
      </c>
      <c r="E45" s="164"/>
      <c r="F45" s="168" t="s">
        <v>421</v>
      </c>
      <c r="G45" s="167"/>
      <c r="H45" s="167"/>
      <c r="I45" s="167"/>
      <c r="J45" s="165" t="s">
        <v>821</v>
      </c>
      <c r="K45" s="168">
        <v>1</v>
      </c>
      <c r="L45" s="189" t="s">
        <v>826</v>
      </c>
      <c r="M45" s="166" t="str">
        <f t="shared" si="1"/>
        <v>常规</v>
      </c>
      <c r="N45" s="168"/>
      <c r="O45" s="180" t="s">
        <v>2254</v>
      </c>
      <c r="P45" s="170" t="s">
        <v>2252</v>
      </c>
      <c r="Q45" s="171"/>
      <c r="R45" s="167"/>
      <c r="S45" s="167" t="s">
        <v>937</v>
      </c>
      <c r="T45" s="167">
        <v>1</v>
      </c>
      <c r="U45" s="166" t="str">
        <f t="shared" si="2"/>
        <v>盒</v>
      </c>
      <c r="V45" s="168"/>
      <c r="W45" s="172"/>
      <c r="X45" s="166" t="str">
        <f t="shared" si="3"/>
        <v/>
      </c>
      <c r="Y45" s="166" t="str">
        <f t="shared" si="4"/>
        <v>盒</v>
      </c>
      <c r="Z45" s="168"/>
      <c r="AA45" s="167"/>
      <c r="AB45" s="172"/>
    </row>
    <row r="46" spans="1:28" s="45" customFormat="1" ht="19.899999999999999" customHeight="1" x14ac:dyDescent="0.3">
      <c r="A46" s="34">
        <v>43</v>
      </c>
      <c r="B46" s="12" t="s">
        <v>422</v>
      </c>
      <c r="C46" s="29" t="s">
        <v>0</v>
      </c>
      <c r="D46" s="32" t="str">
        <f t="shared" si="0"/>
        <v>专用物耗</v>
      </c>
      <c r="E46" s="14" t="s">
        <v>256</v>
      </c>
      <c r="F46" s="14" t="s">
        <v>423</v>
      </c>
      <c r="G46" s="15"/>
      <c r="H46" s="15"/>
      <c r="I46" s="15"/>
      <c r="J46" s="29" t="s">
        <v>821</v>
      </c>
      <c r="K46" s="16">
        <v>48</v>
      </c>
      <c r="L46" s="29" t="s">
        <v>829</v>
      </c>
      <c r="M46" s="32" t="str">
        <f t="shared" si="1"/>
        <v>常规</v>
      </c>
      <c r="N46" s="25"/>
      <c r="O46" s="135" t="s">
        <v>2254</v>
      </c>
      <c r="P46" s="134" t="s">
        <v>2252</v>
      </c>
      <c r="Q46" s="141"/>
      <c r="R46" s="15"/>
      <c r="S46" s="15" t="s">
        <v>1252</v>
      </c>
      <c r="T46" s="15">
        <v>15</v>
      </c>
      <c r="U46" s="32" t="str">
        <f t="shared" si="2"/>
        <v>本</v>
      </c>
      <c r="V46" s="14"/>
      <c r="W46" s="35"/>
      <c r="X46" s="32">
        <f t="shared" si="3"/>
        <v>33</v>
      </c>
      <c r="Y46" s="32" t="str">
        <f t="shared" si="4"/>
        <v>本</v>
      </c>
      <c r="Z46" s="14"/>
      <c r="AA46" s="15"/>
      <c r="AB46" s="35"/>
    </row>
    <row r="47" spans="1:28" s="45" customFormat="1" ht="19.899999999999999" customHeight="1" x14ac:dyDescent="0.3">
      <c r="A47" s="34">
        <v>44</v>
      </c>
      <c r="B47" s="12" t="s">
        <v>424</v>
      </c>
      <c r="C47" s="29" t="s">
        <v>0</v>
      </c>
      <c r="D47" s="32" t="str">
        <f t="shared" si="0"/>
        <v>专用物耗</v>
      </c>
      <c r="E47" s="14" t="s">
        <v>256</v>
      </c>
      <c r="F47" s="14" t="s">
        <v>425</v>
      </c>
      <c r="G47" s="15"/>
      <c r="H47" s="15"/>
      <c r="I47" s="15"/>
      <c r="J47" s="29" t="s">
        <v>821</v>
      </c>
      <c r="K47" s="16">
        <v>9</v>
      </c>
      <c r="L47" s="29" t="s">
        <v>823</v>
      </c>
      <c r="M47" s="32" t="str">
        <f t="shared" si="1"/>
        <v>常规</v>
      </c>
      <c r="N47" s="25" t="s">
        <v>51</v>
      </c>
      <c r="O47" s="135" t="s">
        <v>2254</v>
      </c>
      <c r="P47" s="134" t="s">
        <v>2252</v>
      </c>
      <c r="Q47" s="141"/>
      <c r="R47" s="15"/>
      <c r="S47" s="15"/>
      <c r="T47" s="15"/>
      <c r="U47" s="32" t="str">
        <f t="shared" si="2"/>
        <v>个</v>
      </c>
      <c r="V47" s="14"/>
      <c r="W47" s="35"/>
      <c r="X47" s="32">
        <f t="shared" si="3"/>
        <v>9</v>
      </c>
      <c r="Y47" s="32" t="str">
        <f t="shared" si="4"/>
        <v>个</v>
      </c>
      <c r="Z47" s="14"/>
      <c r="AA47" s="15"/>
      <c r="AB47" s="35"/>
    </row>
    <row r="48" spans="1:28" s="45" customFormat="1" ht="19.899999999999999" customHeight="1" x14ac:dyDescent="0.3">
      <c r="A48" s="34">
        <v>45</v>
      </c>
      <c r="B48" s="12" t="s">
        <v>426</v>
      </c>
      <c r="C48" s="29" t="s">
        <v>0</v>
      </c>
      <c r="D48" s="32" t="str">
        <f t="shared" si="0"/>
        <v>专用物耗</v>
      </c>
      <c r="E48" s="14" t="s">
        <v>427</v>
      </c>
      <c r="F48" s="14" t="s">
        <v>428</v>
      </c>
      <c r="G48" s="15"/>
      <c r="H48" s="15"/>
      <c r="I48" s="15"/>
      <c r="J48" s="29" t="s">
        <v>821</v>
      </c>
      <c r="K48" s="16">
        <v>2</v>
      </c>
      <c r="L48" s="29" t="s">
        <v>826</v>
      </c>
      <c r="M48" s="32" t="str">
        <f t="shared" si="1"/>
        <v>常规</v>
      </c>
      <c r="N48" s="25" t="s">
        <v>429</v>
      </c>
      <c r="O48" s="135" t="s">
        <v>2254</v>
      </c>
      <c r="P48" s="134" t="s">
        <v>2252</v>
      </c>
      <c r="Q48" s="141"/>
      <c r="R48" s="15"/>
      <c r="S48" s="15"/>
      <c r="T48" s="15"/>
      <c r="U48" s="32" t="str">
        <f t="shared" si="2"/>
        <v>盒</v>
      </c>
      <c r="V48" s="14"/>
      <c r="W48" s="35"/>
      <c r="X48" s="32">
        <f t="shared" si="3"/>
        <v>2</v>
      </c>
      <c r="Y48" s="32" t="str">
        <f t="shared" si="4"/>
        <v>盒</v>
      </c>
      <c r="Z48" s="14"/>
      <c r="AA48" s="15"/>
      <c r="AB48" s="35"/>
    </row>
    <row r="49" spans="1:28" s="45" customFormat="1" ht="19.899999999999999" customHeight="1" x14ac:dyDescent="0.3">
      <c r="A49" s="34">
        <v>46</v>
      </c>
      <c r="B49" s="12" t="s">
        <v>430</v>
      </c>
      <c r="C49" s="29" t="s">
        <v>0</v>
      </c>
      <c r="D49" s="32" t="str">
        <f t="shared" si="0"/>
        <v>专用物耗</v>
      </c>
      <c r="E49" s="14" t="s">
        <v>431</v>
      </c>
      <c r="F49" s="14" t="s">
        <v>428</v>
      </c>
      <c r="G49" s="15"/>
      <c r="H49" s="15"/>
      <c r="I49" s="15"/>
      <c r="J49" s="29" t="s">
        <v>821</v>
      </c>
      <c r="K49" s="16">
        <v>11</v>
      </c>
      <c r="L49" s="29" t="s">
        <v>826</v>
      </c>
      <c r="M49" s="32" t="str">
        <f t="shared" si="1"/>
        <v>常规</v>
      </c>
      <c r="N49" s="25" t="s">
        <v>429</v>
      </c>
      <c r="O49" s="135" t="s">
        <v>2254</v>
      </c>
      <c r="P49" s="134" t="s">
        <v>2252</v>
      </c>
      <c r="Q49" s="141"/>
      <c r="R49" s="15"/>
      <c r="S49" s="15"/>
      <c r="T49" s="15"/>
      <c r="U49" s="32" t="str">
        <f t="shared" si="2"/>
        <v>盒</v>
      </c>
      <c r="V49" s="14"/>
      <c r="W49" s="35"/>
      <c r="X49" s="32">
        <f t="shared" si="3"/>
        <v>11</v>
      </c>
      <c r="Y49" s="32" t="str">
        <f t="shared" si="4"/>
        <v>盒</v>
      </c>
      <c r="Z49" s="14"/>
      <c r="AA49" s="15"/>
      <c r="AB49" s="35"/>
    </row>
    <row r="50" spans="1:28" s="45" customFormat="1" ht="19.899999999999999" customHeight="1" x14ac:dyDescent="0.3">
      <c r="A50" s="34">
        <v>47</v>
      </c>
      <c r="B50" s="12" t="s">
        <v>432</v>
      </c>
      <c r="C50" s="29" t="s">
        <v>0</v>
      </c>
      <c r="D50" s="32" t="str">
        <f t="shared" si="0"/>
        <v>专用物耗</v>
      </c>
      <c r="E50" s="14" t="s">
        <v>431</v>
      </c>
      <c r="F50" s="14" t="s">
        <v>428</v>
      </c>
      <c r="G50" s="15"/>
      <c r="H50" s="15"/>
      <c r="I50" s="15"/>
      <c r="J50" s="29" t="s">
        <v>821</v>
      </c>
      <c r="K50" s="16">
        <v>11</v>
      </c>
      <c r="L50" s="29" t="s">
        <v>826</v>
      </c>
      <c r="M50" s="32" t="str">
        <f t="shared" si="1"/>
        <v>常规</v>
      </c>
      <c r="N50" s="25" t="s">
        <v>429</v>
      </c>
      <c r="O50" s="135" t="s">
        <v>2254</v>
      </c>
      <c r="P50" s="134" t="s">
        <v>2252</v>
      </c>
      <c r="Q50" s="141"/>
      <c r="R50" s="15"/>
      <c r="S50" s="15"/>
      <c r="T50" s="15"/>
      <c r="U50" s="32" t="str">
        <f t="shared" si="2"/>
        <v>盒</v>
      </c>
      <c r="V50" s="14"/>
      <c r="W50" s="35"/>
      <c r="X50" s="32">
        <f t="shared" si="3"/>
        <v>11</v>
      </c>
      <c r="Y50" s="32" t="str">
        <f t="shared" si="4"/>
        <v>盒</v>
      </c>
      <c r="Z50" s="14"/>
      <c r="AA50" s="15"/>
      <c r="AB50" s="35"/>
    </row>
    <row r="51" spans="1:28" s="45" customFormat="1" ht="19.899999999999999" customHeight="1" x14ac:dyDescent="0.3">
      <c r="A51" s="34">
        <v>48</v>
      </c>
      <c r="B51" s="12" t="s">
        <v>433</v>
      </c>
      <c r="C51" s="29" t="s">
        <v>0</v>
      </c>
      <c r="D51" s="32" t="str">
        <f t="shared" si="0"/>
        <v>专用物耗</v>
      </c>
      <c r="E51" s="14"/>
      <c r="F51" s="14" t="s">
        <v>434</v>
      </c>
      <c r="G51" s="15"/>
      <c r="H51" s="15"/>
      <c r="I51" s="15"/>
      <c r="J51" s="29" t="s">
        <v>821</v>
      </c>
      <c r="K51" s="12">
        <v>5</v>
      </c>
      <c r="L51" s="37" t="s">
        <v>826</v>
      </c>
      <c r="M51" s="32" t="str">
        <f t="shared" si="1"/>
        <v>常规</v>
      </c>
      <c r="N51" s="20"/>
      <c r="O51" s="135" t="s">
        <v>2254</v>
      </c>
      <c r="P51" s="134" t="s">
        <v>2252</v>
      </c>
      <c r="Q51" s="141"/>
      <c r="R51" s="15"/>
      <c r="S51" s="15" t="s">
        <v>2151</v>
      </c>
      <c r="T51" s="15">
        <v>3</v>
      </c>
      <c r="U51" s="32" t="str">
        <f t="shared" si="2"/>
        <v>盒</v>
      </c>
      <c r="V51" s="14"/>
      <c r="W51" s="35"/>
      <c r="X51" s="32">
        <f t="shared" si="3"/>
        <v>2</v>
      </c>
      <c r="Y51" s="32" t="str">
        <f t="shared" si="4"/>
        <v>盒</v>
      </c>
      <c r="Z51" s="14"/>
      <c r="AA51" s="15"/>
      <c r="AB51" s="35"/>
    </row>
    <row r="52" spans="1:28" s="45" customFormat="1" ht="19.899999999999999" customHeight="1" x14ac:dyDescent="0.3">
      <c r="A52" s="34">
        <v>49</v>
      </c>
      <c r="B52" s="12" t="s">
        <v>433</v>
      </c>
      <c r="C52" s="29" t="s">
        <v>0</v>
      </c>
      <c r="D52" s="32" t="str">
        <f t="shared" ref="D52" si="10">IF(C52="J1","常规化学品",IF(C52="J2","危险化学品",IF(C52="J3","标准物质",IF(C52="J4","玻璃仪器",IF(C52="J5","实验气体",IF(C52="J6","专用物耗",IF(C52="J7","备品配件",IF(C52="J8","专用工具",IF(C52="Z1","劳保物资",IF(C52="Z2","办公耗材",IF(C52="Z3","食品饮料",IF(C52="Z4","特殊物耗",IF(C52="Z5","通用物耗",IF(C52="Z6","通用工具",""))))))))))))))</f>
        <v>专用物耗</v>
      </c>
      <c r="E52" s="14"/>
      <c r="F52" s="14" t="s">
        <v>434</v>
      </c>
      <c r="G52" s="15"/>
      <c r="H52" s="15"/>
      <c r="I52" s="15" t="s">
        <v>2199</v>
      </c>
      <c r="J52" s="29" t="s">
        <v>821</v>
      </c>
      <c r="K52" s="12">
        <v>1</v>
      </c>
      <c r="L52" s="37" t="s">
        <v>826</v>
      </c>
      <c r="M52" s="32" t="str">
        <f t="shared" ref="M52" si="11">IF(D52="危险化学品","五双",IF(D52="标准物资","严控",IF(D52&lt;&gt;"","常规","")))</f>
        <v>常规</v>
      </c>
      <c r="N52" s="20"/>
      <c r="O52" s="135" t="s">
        <v>2254</v>
      </c>
      <c r="P52" s="134" t="s">
        <v>2252</v>
      </c>
      <c r="Q52" s="141"/>
      <c r="R52" s="15"/>
      <c r="S52" s="15"/>
      <c r="T52" s="15"/>
      <c r="U52" s="32" t="str">
        <f t="shared" ref="U52" si="12">IF(L52="","",L52)</f>
        <v>盒</v>
      </c>
      <c r="V52" s="14"/>
      <c r="W52" s="35"/>
      <c r="X52" s="32">
        <f t="shared" ref="X52" si="13">IF((K52-T52)&lt;=0,"",K52-T52)</f>
        <v>1</v>
      </c>
      <c r="Y52" s="32" t="str">
        <f t="shared" ref="Y52" si="14">IF(L52="","",L52)</f>
        <v>盒</v>
      </c>
      <c r="Z52" s="14"/>
      <c r="AA52" s="15"/>
      <c r="AB52" s="35"/>
    </row>
    <row r="53" spans="1:28" s="45" customFormat="1" ht="19.899999999999999" customHeight="1" x14ac:dyDescent="0.3">
      <c r="A53" s="34">
        <v>50</v>
      </c>
      <c r="B53" s="12" t="s">
        <v>435</v>
      </c>
      <c r="C53" s="29" t="s">
        <v>0</v>
      </c>
      <c r="D53" s="32" t="str">
        <f t="shared" si="0"/>
        <v>专用物耗</v>
      </c>
      <c r="E53" s="14"/>
      <c r="F53" s="14" t="s">
        <v>2174</v>
      </c>
      <c r="G53" s="15"/>
      <c r="H53" s="15"/>
      <c r="I53" s="15"/>
      <c r="J53" s="29" t="s">
        <v>821</v>
      </c>
      <c r="K53" s="12">
        <v>9</v>
      </c>
      <c r="L53" s="37" t="s">
        <v>829</v>
      </c>
      <c r="M53" s="32" t="str">
        <f t="shared" si="1"/>
        <v>常规</v>
      </c>
      <c r="N53" s="20" t="s">
        <v>436</v>
      </c>
      <c r="O53" s="135" t="s">
        <v>2254</v>
      </c>
      <c r="P53" s="134" t="s">
        <v>2252</v>
      </c>
      <c r="Q53" s="141"/>
      <c r="R53" s="15"/>
      <c r="S53" s="15"/>
      <c r="T53" s="15"/>
      <c r="U53" s="32" t="str">
        <f t="shared" si="2"/>
        <v>本</v>
      </c>
      <c r="V53" s="14"/>
      <c r="W53" s="35"/>
      <c r="X53" s="32">
        <f t="shared" si="3"/>
        <v>9</v>
      </c>
      <c r="Y53" s="32" t="str">
        <f t="shared" si="4"/>
        <v>本</v>
      </c>
      <c r="Z53" s="14"/>
      <c r="AA53" s="15"/>
      <c r="AB53" s="35"/>
    </row>
    <row r="54" spans="1:28" s="45" customFormat="1" ht="19.899999999999999" customHeight="1" x14ac:dyDescent="0.3">
      <c r="A54" s="34">
        <v>51</v>
      </c>
      <c r="B54" s="12" t="s">
        <v>435</v>
      </c>
      <c r="C54" s="29" t="s">
        <v>0</v>
      </c>
      <c r="D54" s="32" t="str">
        <f t="shared" ref="D54" si="15">IF(C54="J1","常规化学品",IF(C54="J2","危险化学品",IF(C54="J3","标准物质",IF(C54="J4","玻璃仪器",IF(C54="J5","实验气体",IF(C54="J6","专用物耗",IF(C54="J7","备品配件",IF(C54="J8","专用工具",IF(C54="Z1","劳保物资",IF(C54="Z2","办公耗材",IF(C54="Z3","食品饮料",IF(C54="Z4","特殊物耗",IF(C54="Z5","通用物耗",IF(C54="Z6","通用工具",""))))))))))))))</f>
        <v>专用物耗</v>
      </c>
      <c r="E54" s="14"/>
      <c r="F54" s="14" t="s">
        <v>2174</v>
      </c>
      <c r="G54" s="15"/>
      <c r="H54" s="15"/>
      <c r="I54" s="15" t="s">
        <v>2200</v>
      </c>
      <c r="J54" s="29" t="s">
        <v>821</v>
      </c>
      <c r="K54" s="12">
        <v>7</v>
      </c>
      <c r="L54" s="37" t="s">
        <v>829</v>
      </c>
      <c r="M54" s="32" t="str">
        <f t="shared" ref="M54" si="16">IF(D54="危险化学品","五双",IF(D54="标准物资","严控",IF(D54&lt;&gt;"","常规","")))</f>
        <v>常规</v>
      </c>
      <c r="N54" s="20" t="s">
        <v>436</v>
      </c>
      <c r="O54" s="135" t="s">
        <v>2254</v>
      </c>
      <c r="P54" s="134" t="s">
        <v>2252</v>
      </c>
      <c r="Q54" s="141"/>
      <c r="R54" s="15"/>
      <c r="S54" s="15"/>
      <c r="T54" s="15"/>
      <c r="U54" s="32" t="str">
        <f t="shared" ref="U54" si="17">IF(L54="","",L54)</f>
        <v>本</v>
      </c>
      <c r="V54" s="14"/>
      <c r="W54" s="35"/>
      <c r="X54" s="32">
        <f t="shared" ref="X54" si="18">IF((K54-T54)&lt;=0,"",K54-T54)</f>
        <v>7</v>
      </c>
      <c r="Y54" s="32" t="str">
        <f t="shared" ref="Y54" si="19">IF(L54="","",L54)</f>
        <v>本</v>
      </c>
      <c r="Z54" s="14"/>
      <c r="AA54" s="15"/>
      <c r="AB54" s="35"/>
    </row>
    <row r="55" spans="1:28" s="173" customFormat="1" ht="19.899999999999999" customHeight="1" x14ac:dyDescent="0.3">
      <c r="A55" s="163">
        <v>52</v>
      </c>
      <c r="B55" s="164" t="s">
        <v>437</v>
      </c>
      <c r="C55" s="165" t="s">
        <v>0</v>
      </c>
      <c r="D55" s="166" t="str">
        <f t="shared" si="0"/>
        <v>专用物耗</v>
      </c>
      <c r="E55" s="164"/>
      <c r="F55" s="164" t="s">
        <v>438</v>
      </c>
      <c r="G55" s="167"/>
      <c r="H55" s="167"/>
      <c r="I55" s="167"/>
      <c r="J55" s="165" t="s">
        <v>821</v>
      </c>
      <c r="K55" s="168">
        <v>2</v>
      </c>
      <c r="L55" s="165" t="s">
        <v>830</v>
      </c>
      <c r="M55" s="166" t="str">
        <f t="shared" si="1"/>
        <v>常规</v>
      </c>
      <c r="N55" s="164" t="s">
        <v>439</v>
      </c>
      <c r="O55" s="180" t="s">
        <v>2254</v>
      </c>
      <c r="P55" s="170" t="s">
        <v>2252</v>
      </c>
      <c r="Q55" s="171"/>
      <c r="R55" s="167"/>
      <c r="S55" s="167" t="s">
        <v>238</v>
      </c>
      <c r="T55" s="167">
        <v>2</v>
      </c>
      <c r="U55" s="166" t="str">
        <f t="shared" si="2"/>
        <v>卷</v>
      </c>
      <c r="V55" s="168"/>
      <c r="W55" s="172"/>
      <c r="X55" s="166" t="str">
        <f t="shared" si="3"/>
        <v/>
      </c>
      <c r="Y55" s="166" t="str">
        <f t="shared" si="4"/>
        <v>卷</v>
      </c>
      <c r="Z55" s="168"/>
      <c r="AA55" s="167"/>
      <c r="AB55" s="172"/>
    </row>
    <row r="56" spans="1:28" s="45" customFormat="1" ht="19.899999999999999" customHeight="1" x14ac:dyDescent="0.3">
      <c r="A56" s="34">
        <v>53</v>
      </c>
      <c r="B56" s="20" t="s">
        <v>440</v>
      </c>
      <c r="C56" s="29" t="s">
        <v>0</v>
      </c>
      <c r="D56" s="32" t="str">
        <f t="shared" si="0"/>
        <v>专用物耗</v>
      </c>
      <c r="E56" s="16"/>
      <c r="F56" s="22" t="s">
        <v>441</v>
      </c>
      <c r="G56" s="15"/>
      <c r="H56" s="15"/>
      <c r="I56" s="15"/>
      <c r="J56" s="29" t="s">
        <v>821</v>
      </c>
      <c r="K56" s="18">
        <v>300</v>
      </c>
      <c r="L56" s="36" t="s">
        <v>823</v>
      </c>
      <c r="M56" s="32" t="str">
        <f t="shared" si="1"/>
        <v>常规</v>
      </c>
      <c r="N56" s="40" t="s">
        <v>442</v>
      </c>
      <c r="O56" s="135" t="s">
        <v>2254</v>
      </c>
      <c r="P56" s="134" t="s">
        <v>2239</v>
      </c>
      <c r="Q56" s="141" t="s">
        <v>2517</v>
      </c>
      <c r="R56" s="15"/>
      <c r="S56" s="19" t="s">
        <v>52</v>
      </c>
      <c r="T56" s="15">
        <v>100</v>
      </c>
      <c r="U56" s="32" t="str">
        <f t="shared" si="2"/>
        <v>个</v>
      </c>
      <c r="V56" s="14"/>
      <c r="W56" s="35"/>
      <c r="X56" s="32">
        <f t="shared" si="3"/>
        <v>200</v>
      </c>
      <c r="Y56" s="32" t="str">
        <f t="shared" si="4"/>
        <v>个</v>
      </c>
      <c r="Z56" s="14"/>
      <c r="AA56" s="15"/>
      <c r="AB56" s="35"/>
    </row>
    <row r="57" spans="1:28" s="173" customFormat="1" ht="19.899999999999999" customHeight="1" x14ac:dyDescent="0.3">
      <c r="A57" s="163">
        <v>54</v>
      </c>
      <c r="B57" s="164" t="s">
        <v>443</v>
      </c>
      <c r="C57" s="165" t="s">
        <v>0</v>
      </c>
      <c r="D57" s="166" t="str">
        <f t="shared" si="0"/>
        <v>专用物耗</v>
      </c>
      <c r="E57" s="164"/>
      <c r="F57" s="168" t="s">
        <v>53</v>
      </c>
      <c r="G57" s="167"/>
      <c r="H57" s="167"/>
      <c r="I57" s="167"/>
      <c r="J57" s="165" t="s">
        <v>821</v>
      </c>
      <c r="K57" s="168">
        <v>180</v>
      </c>
      <c r="L57" s="165" t="s">
        <v>823</v>
      </c>
      <c r="M57" s="166" t="str">
        <f t="shared" si="1"/>
        <v>常规</v>
      </c>
      <c r="N57" s="168"/>
      <c r="O57" s="180" t="s">
        <v>2254</v>
      </c>
      <c r="P57" s="170" t="s">
        <v>2239</v>
      </c>
      <c r="Q57" s="171" t="s">
        <v>2517</v>
      </c>
      <c r="R57" s="167"/>
      <c r="S57" s="167" t="s">
        <v>1253</v>
      </c>
      <c r="T57" s="167">
        <v>180</v>
      </c>
      <c r="U57" s="166" t="str">
        <f t="shared" si="2"/>
        <v>个</v>
      </c>
      <c r="V57" s="168"/>
      <c r="W57" s="172"/>
      <c r="X57" s="166" t="str">
        <f t="shared" si="3"/>
        <v/>
      </c>
      <c r="Y57" s="166" t="str">
        <f t="shared" si="4"/>
        <v>个</v>
      </c>
      <c r="Z57" s="168"/>
      <c r="AA57" s="167"/>
      <c r="AB57" s="172"/>
    </row>
    <row r="58" spans="1:28" s="45" customFormat="1" ht="19.899999999999999" customHeight="1" x14ac:dyDescent="0.3">
      <c r="A58" s="34">
        <v>55</v>
      </c>
      <c r="B58" s="12" t="s">
        <v>443</v>
      </c>
      <c r="C58" s="29" t="s">
        <v>0</v>
      </c>
      <c r="D58" s="32" t="str">
        <f t="shared" si="0"/>
        <v>专用物耗</v>
      </c>
      <c r="E58" s="16"/>
      <c r="F58" s="14" t="s">
        <v>54</v>
      </c>
      <c r="G58" s="15"/>
      <c r="H58" s="15"/>
      <c r="I58" s="15"/>
      <c r="J58" s="29" t="s">
        <v>821</v>
      </c>
      <c r="K58" s="18">
        <v>800</v>
      </c>
      <c r="L58" s="29" t="s">
        <v>823</v>
      </c>
      <c r="M58" s="32" t="str">
        <f t="shared" si="1"/>
        <v>常规</v>
      </c>
      <c r="N58" s="18"/>
      <c r="O58" s="135" t="s">
        <v>2254</v>
      </c>
      <c r="P58" s="134" t="s">
        <v>2239</v>
      </c>
      <c r="Q58" s="141" t="s">
        <v>2517</v>
      </c>
      <c r="R58" s="15"/>
      <c r="S58" s="15" t="s">
        <v>1254</v>
      </c>
      <c r="T58" s="15">
        <v>700</v>
      </c>
      <c r="U58" s="32" t="str">
        <f t="shared" si="2"/>
        <v>个</v>
      </c>
      <c r="V58" s="14"/>
      <c r="W58" s="35"/>
      <c r="X58" s="32">
        <f t="shared" si="3"/>
        <v>100</v>
      </c>
      <c r="Y58" s="32" t="str">
        <f t="shared" si="4"/>
        <v>个</v>
      </c>
      <c r="Z58" s="14"/>
      <c r="AA58" s="15"/>
      <c r="AB58" s="35"/>
    </row>
    <row r="59" spans="1:28" s="45" customFormat="1" ht="19.899999999999999" customHeight="1" x14ac:dyDescent="0.3">
      <c r="A59" s="34">
        <v>56</v>
      </c>
      <c r="B59" s="12" t="s">
        <v>443</v>
      </c>
      <c r="C59" s="29" t="s">
        <v>0</v>
      </c>
      <c r="D59" s="32" t="str">
        <f t="shared" si="0"/>
        <v>专用物耗</v>
      </c>
      <c r="E59" s="16"/>
      <c r="F59" s="14" t="s">
        <v>55</v>
      </c>
      <c r="G59" s="15"/>
      <c r="H59" s="15"/>
      <c r="I59" s="15" t="s">
        <v>2155</v>
      </c>
      <c r="J59" s="29" t="s">
        <v>821</v>
      </c>
      <c r="K59" s="18">
        <v>200</v>
      </c>
      <c r="L59" s="29" t="s">
        <v>823</v>
      </c>
      <c r="M59" s="32" t="str">
        <f t="shared" si="1"/>
        <v>常规</v>
      </c>
      <c r="N59" s="18"/>
      <c r="O59" s="135" t="s">
        <v>2254</v>
      </c>
      <c r="P59" s="134" t="s">
        <v>2239</v>
      </c>
      <c r="Q59" s="141" t="s">
        <v>2517</v>
      </c>
      <c r="R59" s="15"/>
      <c r="S59" s="15" t="s">
        <v>1255</v>
      </c>
      <c r="T59" s="15">
        <v>0</v>
      </c>
      <c r="U59" s="32" t="str">
        <f t="shared" si="2"/>
        <v>个</v>
      </c>
      <c r="V59" s="14"/>
      <c r="W59" s="35"/>
      <c r="X59" s="32">
        <f t="shared" si="3"/>
        <v>200</v>
      </c>
      <c r="Y59" s="32" t="str">
        <f t="shared" si="4"/>
        <v>个</v>
      </c>
      <c r="Z59" s="14"/>
      <c r="AA59" s="15"/>
      <c r="AB59" s="35"/>
    </row>
    <row r="60" spans="1:28" s="45" customFormat="1" ht="19.899999999999999" customHeight="1" x14ac:dyDescent="0.3">
      <c r="A60" s="34">
        <v>57</v>
      </c>
      <c r="B60" s="12" t="s">
        <v>444</v>
      </c>
      <c r="C60" s="29" t="s">
        <v>0</v>
      </c>
      <c r="D60" s="32" t="str">
        <f t="shared" si="0"/>
        <v>专用物耗</v>
      </c>
      <c r="E60" s="16"/>
      <c r="F60" s="14" t="s">
        <v>445</v>
      </c>
      <c r="G60" s="15"/>
      <c r="H60" s="15"/>
      <c r="I60" s="15"/>
      <c r="J60" s="29" t="s">
        <v>821</v>
      </c>
      <c r="K60" s="18">
        <v>10</v>
      </c>
      <c r="L60" s="29" t="s">
        <v>823</v>
      </c>
      <c r="M60" s="32" t="str">
        <f t="shared" si="1"/>
        <v>常规</v>
      </c>
      <c r="N60" s="40" t="s">
        <v>446</v>
      </c>
      <c r="O60" s="135" t="s">
        <v>2254</v>
      </c>
      <c r="P60" s="134" t="s">
        <v>2239</v>
      </c>
      <c r="Q60" s="141" t="s">
        <v>2517</v>
      </c>
      <c r="R60" s="15"/>
      <c r="S60" s="15"/>
      <c r="T60" s="15"/>
      <c r="U60" s="32" t="str">
        <f t="shared" si="2"/>
        <v>个</v>
      </c>
      <c r="V60" s="14"/>
      <c r="W60" s="35"/>
      <c r="X60" s="32">
        <f t="shared" si="3"/>
        <v>10</v>
      </c>
      <c r="Y60" s="32" t="str">
        <f t="shared" si="4"/>
        <v>个</v>
      </c>
      <c r="Z60" s="14"/>
      <c r="AA60" s="15"/>
      <c r="AB60" s="35"/>
    </row>
    <row r="61" spans="1:28" s="45" customFormat="1" ht="19.899999999999999" customHeight="1" x14ac:dyDescent="0.3">
      <c r="A61" s="34">
        <v>58</v>
      </c>
      <c r="B61" s="12" t="s">
        <v>447</v>
      </c>
      <c r="C61" s="29" t="s">
        <v>0</v>
      </c>
      <c r="D61" s="32" t="str">
        <f t="shared" si="0"/>
        <v>专用物耗</v>
      </c>
      <c r="E61" s="16"/>
      <c r="F61" s="14"/>
      <c r="G61" s="15"/>
      <c r="H61" s="15"/>
      <c r="I61" s="15"/>
      <c r="J61" s="29" t="s">
        <v>821</v>
      </c>
      <c r="K61" s="18">
        <v>10</v>
      </c>
      <c r="L61" s="29" t="s">
        <v>822</v>
      </c>
      <c r="M61" s="32" t="str">
        <f t="shared" si="1"/>
        <v>常规</v>
      </c>
      <c r="N61" s="40" t="s">
        <v>448</v>
      </c>
      <c r="O61" s="135" t="s">
        <v>2254</v>
      </c>
      <c r="P61" s="134" t="s">
        <v>2239</v>
      </c>
      <c r="Q61" s="141" t="s">
        <v>2517</v>
      </c>
      <c r="R61" s="15"/>
      <c r="S61" s="15"/>
      <c r="T61" s="15"/>
      <c r="U61" s="32" t="str">
        <f t="shared" si="2"/>
        <v>只</v>
      </c>
      <c r="V61" s="14"/>
      <c r="W61" s="35"/>
      <c r="X61" s="32">
        <f t="shared" si="3"/>
        <v>10</v>
      </c>
      <c r="Y61" s="32" t="str">
        <f t="shared" si="4"/>
        <v>只</v>
      </c>
      <c r="Z61" s="14"/>
      <c r="AA61" s="15"/>
      <c r="AB61" s="35"/>
    </row>
    <row r="62" spans="1:28" s="45" customFormat="1" ht="19.899999999999999" customHeight="1" x14ac:dyDescent="0.3">
      <c r="A62" s="34">
        <v>59</v>
      </c>
      <c r="B62" s="12" t="s">
        <v>449</v>
      </c>
      <c r="C62" s="29" t="s">
        <v>0</v>
      </c>
      <c r="D62" s="32" t="str">
        <f t="shared" si="0"/>
        <v>专用物耗</v>
      </c>
      <c r="E62" s="16"/>
      <c r="F62" s="14" t="s">
        <v>450</v>
      </c>
      <c r="G62" s="15"/>
      <c r="H62" s="15"/>
      <c r="I62" s="15"/>
      <c r="J62" s="29" t="s">
        <v>821</v>
      </c>
      <c r="K62" s="18">
        <v>10</v>
      </c>
      <c r="L62" s="29" t="s">
        <v>827</v>
      </c>
      <c r="M62" s="32" t="str">
        <f t="shared" si="1"/>
        <v>常规</v>
      </c>
      <c r="N62" s="18" t="s">
        <v>451</v>
      </c>
      <c r="O62" s="135" t="s">
        <v>2254</v>
      </c>
      <c r="P62" s="134" t="s">
        <v>2239</v>
      </c>
      <c r="Q62" s="141" t="s">
        <v>2517</v>
      </c>
      <c r="R62" s="15"/>
      <c r="S62" s="15"/>
      <c r="T62" s="15"/>
      <c r="U62" s="32" t="str">
        <f t="shared" si="2"/>
        <v>套</v>
      </c>
      <c r="V62" s="14"/>
      <c r="W62" s="35"/>
      <c r="X62" s="32">
        <f t="shared" si="3"/>
        <v>10</v>
      </c>
      <c r="Y62" s="32" t="str">
        <f t="shared" si="4"/>
        <v>套</v>
      </c>
      <c r="Z62" s="14"/>
      <c r="AA62" s="15"/>
      <c r="AB62" s="35"/>
    </row>
    <row r="63" spans="1:28" s="45" customFormat="1" ht="19.899999999999999" customHeight="1" x14ac:dyDescent="0.3">
      <c r="A63" s="34">
        <v>60</v>
      </c>
      <c r="B63" s="12" t="s">
        <v>452</v>
      </c>
      <c r="C63" s="29" t="s">
        <v>0</v>
      </c>
      <c r="D63" s="32" t="str">
        <f t="shared" si="0"/>
        <v>专用物耗</v>
      </c>
      <c r="E63" s="16"/>
      <c r="F63" s="14"/>
      <c r="G63" s="15"/>
      <c r="H63" s="15"/>
      <c r="I63" s="15"/>
      <c r="J63" s="29" t="s">
        <v>821</v>
      </c>
      <c r="K63" s="18">
        <v>25</v>
      </c>
      <c r="L63" s="29" t="s">
        <v>822</v>
      </c>
      <c r="M63" s="32" t="str">
        <f t="shared" si="1"/>
        <v>常规</v>
      </c>
      <c r="N63" s="18" t="s">
        <v>453</v>
      </c>
      <c r="O63" s="135" t="s">
        <v>2254</v>
      </c>
      <c r="P63" s="134" t="s">
        <v>2239</v>
      </c>
      <c r="Q63" s="141" t="s">
        <v>2517</v>
      </c>
      <c r="R63" s="15"/>
      <c r="S63" s="15"/>
      <c r="T63" s="15"/>
      <c r="U63" s="32" t="str">
        <f t="shared" si="2"/>
        <v>只</v>
      </c>
      <c r="V63" s="14"/>
      <c r="W63" s="35"/>
      <c r="X63" s="32">
        <f t="shared" si="3"/>
        <v>25</v>
      </c>
      <c r="Y63" s="32" t="str">
        <f t="shared" si="4"/>
        <v>只</v>
      </c>
      <c r="Z63" s="14"/>
      <c r="AA63" s="15"/>
      <c r="AB63" s="35"/>
    </row>
    <row r="64" spans="1:28" s="45" customFormat="1" ht="19.899999999999999" customHeight="1" x14ac:dyDescent="0.3">
      <c r="A64" s="34">
        <v>61</v>
      </c>
      <c r="B64" s="12" t="s">
        <v>454</v>
      </c>
      <c r="C64" s="29" t="s">
        <v>0</v>
      </c>
      <c r="D64" s="32" t="str">
        <f t="shared" si="0"/>
        <v>专用物耗</v>
      </c>
      <c r="E64" s="16"/>
      <c r="F64" s="23" t="s">
        <v>455</v>
      </c>
      <c r="G64" s="15"/>
      <c r="H64" s="15"/>
      <c r="I64" s="15"/>
      <c r="J64" s="29" t="s">
        <v>821</v>
      </c>
      <c r="K64" s="18">
        <v>4</v>
      </c>
      <c r="L64" s="29" t="s">
        <v>823</v>
      </c>
      <c r="M64" s="32" t="str">
        <f t="shared" si="1"/>
        <v>常规</v>
      </c>
      <c r="N64" s="18" t="s">
        <v>456</v>
      </c>
      <c r="O64" s="135" t="s">
        <v>2254</v>
      </c>
      <c r="P64" s="134" t="s">
        <v>2239</v>
      </c>
      <c r="Q64" s="141" t="s">
        <v>2517</v>
      </c>
      <c r="R64" s="15"/>
      <c r="S64" s="15"/>
      <c r="T64" s="15"/>
      <c r="U64" s="32" t="str">
        <f t="shared" si="2"/>
        <v>个</v>
      </c>
      <c r="V64" s="14"/>
      <c r="W64" s="35"/>
      <c r="X64" s="32">
        <f t="shared" si="3"/>
        <v>4</v>
      </c>
      <c r="Y64" s="32" t="str">
        <f t="shared" si="4"/>
        <v>个</v>
      </c>
      <c r="Z64" s="14"/>
      <c r="AA64" s="15"/>
      <c r="AB64" s="35"/>
    </row>
    <row r="65" spans="1:28" s="45" customFormat="1" ht="19.899999999999999" customHeight="1" x14ac:dyDescent="0.3">
      <c r="A65" s="34">
        <v>62</v>
      </c>
      <c r="B65" s="12" t="s">
        <v>458</v>
      </c>
      <c r="C65" s="29" t="s">
        <v>0</v>
      </c>
      <c r="D65" s="32" t="str">
        <f t="shared" si="0"/>
        <v>专用物耗</v>
      </c>
      <c r="E65" s="16"/>
      <c r="F65" s="18"/>
      <c r="G65" s="15"/>
      <c r="H65" s="15"/>
      <c r="I65" s="15"/>
      <c r="J65" s="29" t="s">
        <v>821</v>
      </c>
      <c r="K65" s="26">
        <v>9</v>
      </c>
      <c r="L65" s="36" t="s">
        <v>823</v>
      </c>
      <c r="M65" s="32" t="str">
        <f t="shared" si="1"/>
        <v>常规</v>
      </c>
      <c r="N65" s="18"/>
      <c r="O65" s="140" t="s">
        <v>2249</v>
      </c>
      <c r="P65" s="134" t="s">
        <v>2236</v>
      </c>
      <c r="Q65" s="141"/>
      <c r="R65" s="15"/>
      <c r="S65" s="15"/>
      <c r="T65" s="15"/>
      <c r="U65" s="32" t="str">
        <f t="shared" si="2"/>
        <v>个</v>
      </c>
      <c r="V65" s="14"/>
      <c r="W65" s="35"/>
      <c r="X65" s="32">
        <f t="shared" si="3"/>
        <v>9</v>
      </c>
      <c r="Y65" s="32" t="str">
        <f t="shared" si="4"/>
        <v>个</v>
      </c>
      <c r="Z65" s="14"/>
      <c r="AA65" s="15"/>
      <c r="AB65" s="35"/>
    </row>
    <row r="66" spans="1:28" s="45" customFormat="1" ht="19.899999999999999" customHeight="1" x14ac:dyDescent="0.3">
      <c r="A66" s="34">
        <v>63</v>
      </c>
      <c r="B66" s="12" t="s">
        <v>462</v>
      </c>
      <c r="C66" s="29" t="s">
        <v>0</v>
      </c>
      <c r="D66" s="32" t="str">
        <f t="shared" si="0"/>
        <v>专用物耗</v>
      </c>
      <c r="E66" s="14" t="s">
        <v>256</v>
      </c>
      <c r="F66" s="16" t="s">
        <v>35</v>
      </c>
      <c r="G66" s="15"/>
      <c r="H66" s="15"/>
      <c r="I66" s="15"/>
      <c r="J66" s="29" t="s">
        <v>821</v>
      </c>
      <c r="K66" s="16">
        <v>4</v>
      </c>
      <c r="L66" s="37" t="s">
        <v>823</v>
      </c>
      <c r="M66" s="32" t="str">
        <f t="shared" si="1"/>
        <v>常规</v>
      </c>
      <c r="N66" s="18"/>
      <c r="O66" s="135" t="s">
        <v>2254</v>
      </c>
      <c r="P66" s="134" t="s">
        <v>2237</v>
      </c>
      <c r="Q66" s="141"/>
      <c r="R66" s="15"/>
      <c r="S66" s="15"/>
      <c r="T66" s="15"/>
      <c r="U66" s="32" t="str">
        <f t="shared" si="2"/>
        <v>个</v>
      </c>
      <c r="V66" s="14"/>
      <c r="W66" s="35"/>
      <c r="X66" s="32">
        <f t="shared" si="3"/>
        <v>4</v>
      </c>
      <c r="Y66" s="32" t="str">
        <f t="shared" si="4"/>
        <v>个</v>
      </c>
      <c r="Z66" s="14"/>
      <c r="AA66" s="15"/>
      <c r="AB66" s="35"/>
    </row>
    <row r="67" spans="1:28" s="45" customFormat="1" ht="19.899999999999999" customHeight="1" x14ac:dyDescent="0.3">
      <c r="A67" s="34">
        <v>64</v>
      </c>
      <c r="B67" s="12" t="s">
        <v>462</v>
      </c>
      <c r="C67" s="29" t="s">
        <v>0</v>
      </c>
      <c r="D67" s="32" t="str">
        <f t="shared" si="0"/>
        <v>专用物耗</v>
      </c>
      <c r="E67" s="14" t="s">
        <v>256</v>
      </c>
      <c r="F67" s="16" t="s">
        <v>60</v>
      </c>
      <c r="G67" s="15"/>
      <c r="H67" s="15"/>
      <c r="I67" s="15"/>
      <c r="J67" s="29" t="s">
        <v>821</v>
      </c>
      <c r="K67" s="16">
        <v>3</v>
      </c>
      <c r="L67" s="37" t="s">
        <v>823</v>
      </c>
      <c r="M67" s="32" t="str">
        <f t="shared" si="1"/>
        <v>常规</v>
      </c>
      <c r="N67" s="18"/>
      <c r="O67" s="135" t="s">
        <v>2254</v>
      </c>
      <c r="P67" s="134" t="s">
        <v>2237</v>
      </c>
      <c r="Q67" s="141"/>
      <c r="R67" s="15"/>
      <c r="S67" s="15"/>
      <c r="T67" s="15"/>
      <c r="U67" s="32" t="str">
        <f t="shared" si="2"/>
        <v>个</v>
      </c>
      <c r="V67" s="14"/>
      <c r="W67" s="35"/>
      <c r="X67" s="32">
        <f t="shared" si="3"/>
        <v>3</v>
      </c>
      <c r="Y67" s="32" t="str">
        <f t="shared" si="4"/>
        <v>个</v>
      </c>
      <c r="Z67" s="14"/>
      <c r="AA67" s="15"/>
      <c r="AB67" s="35"/>
    </row>
    <row r="68" spans="1:28" s="173" customFormat="1" ht="19.899999999999999" customHeight="1" x14ac:dyDescent="0.3">
      <c r="A68" s="163">
        <v>65</v>
      </c>
      <c r="B68" s="164" t="s">
        <v>463</v>
      </c>
      <c r="C68" s="165" t="s">
        <v>0</v>
      </c>
      <c r="D68" s="166" t="str">
        <f t="shared" si="0"/>
        <v>专用物耗</v>
      </c>
      <c r="E68" s="168" t="s">
        <v>256</v>
      </c>
      <c r="F68" s="168" t="s">
        <v>61</v>
      </c>
      <c r="G68" s="167"/>
      <c r="H68" s="167"/>
      <c r="I68" s="167"/>
      <c r="J68" s="165" t="s">
        <v>821</v>
      </c>
      <c r="K68" s="164">
        <v>1</v>
      </c>
      <c r="L68" s="165" t="s">
        <v>825</v>
      </c>
      <c r="M68" s="166" t="str">
        <f t="shared" si="1"/>
        <v>常规</v>
      </c>
      <c r="N68" s="181"/>
      <c r="O68" s="169" t="s">
        <v>2249</v>
      </c>
      <c r="P68" s="170" t="s">
        <v>2237</v>
      </c>
      <c r="Q68" s="171"/>
      <c r="R68" s="167"/>
      <c r="S68" s="167" t="s">
        <v>1066</v>
      </c>
      <c r="T68" s="167">
        <v>1</v>
      </c>
      <c r="U68" s="166" t="str">
        <f t="shared" si="2"/>
        <v>袋</v>
      </c>
      <c r="V68" s="168"/>
      <c r="W68" s="172"/>
      <c r="X68" s="166" t="str">
        <f t="shared" si="3"/>
        <v/>
      </c>
      <c r="Y68" s="166" t="str">
        <f t="shared" si="4"/>
        <v>袋</v>
      </c>
      <c r="Z68" s="168"/>
      <c r="AA68" s="167"/>
      <c r="AB68" s="172"/>
    </row>
    <row r="69" spans="1:28" s="45" customFormat="1" ht="19.899999999999999" customHeight="1" x14ac:dyDescent="0.3">
      <c r="A69" s="34">
        <v>66</v>
      </c>
      <c r="B69" s="12" t="s">
        <v>464</v>
      </c>
      <c r="C69" s="29" t="s">
        <v>0</v>
      </c>
      <c r="D69" s="32" t="str">
        <f t="shared" si="0"/>
        <v>专用物耗</v>
      </c>
      <c r="E69" s="18" t="s">
        <v>256</v>
      </c>
      <c r="F69" s="18"/>
      <c r="G69" s="15"/>
      <c r="H69" s="15"/>
      <c r="I69" s="15"/>
      <c r="J69" s="29" t="s">
        <v>821</v>
      </c>
      <c r="K69" s="16">
        <v>2</v>
      </c>
      <c r="L69" s="36" t="s">
        <v>823</v>
      </c>
      <c r="M69" s="32" t="str">
        <f t="shared" si="1"/>
        <v>常规</v>
      </c>
      <c r="N69" s="25"/>
      <c r="O69" s="135" t="s">
        <v>2254</v>
      </c>
      <c r="P69" s="134" t="s">
        <v>2237</v>
      </c>
      <c r="Q69" s="141"/>
      <c r="R69" s="15"/>
      <c r="S69" s="15"/>
      <c r="T69" s="15"/>
      <c r="U69" s="32" t="str">
        <f t="shared" si="2"/>
        <v>个</v>
      </c>
      <c r="V69" s="14"/>
      <c r="W69" s="35"/>
      <c r="X69" s="32">
        <f t="shared" si="3"/>
        <v>2</v>
      </c>
      <c r="Y69" s="32" t="str">
        <f t="shared" si="4"/>
        <v>个</v>
      </c>
      <c r="Z69" s="14"/>
      <c r="AA69" s="15"/>
      <c r="AB69" s="35"/>
    </row>
    <row r="70" spans="1:28" s="45" customFormat="1" ht="19.899999999999999" customHeight="1" x14ac:dyDescent="0.3">
      <c r="A70" s="34">
        <v>67</v>
      </c>
      <c r="B70" s="12" t="s">
        <v>493</v>
      </c>
      <c r="C70" s="29" t="s">
        <v>0</v>
      </c>
      <c r="D70" s="32" t="str">
        <f t="shared" ref="D70:D127" si="20">IF(C70="J1","常规化学品",IF(C70="J2","危险化学品",IF(C70="J3","标准物质",IF(C70="J4","玻璃仪器",IF(C70="J5","实验气体",IF(C70="J6","专用物耗",IF(C70="J7","备品配件",IF(C70="J8","专用工具",IF(C70="Z1","劳保物资",IF(C70="Z2","办公耗材",IF(C70="Z3","食品饮料",IF(C70="Z4","特殊物耗",IF(C70="Z5","通用物耗",IF(C70="Z6","通用工具",""))))))))))))))</f>
        <v>专用物耗</v>
      </c>
      <c r="E70" s="12"/>
      <c r="F70" s="14" t="s">
        <v>1257</v>
      </c>
      <c r="G70" s="15"/>
      <c r="H70" s="15"/>
      <c r="I70" s="15"/>
      <c r="J70" s="29" t="s">
        <v>821</v>
      </c>
      <c r="K70" s="26">
        <v>9</v>
      </c>
      <c r="L70" s="37" t="s">
        <v>823</v>
      </c>
      <c r="M70" s="32" t="str">
        <f t="shared" ref="M70:M127" si="21">IF(D70="危险化学品","五双",IF(D70="标准物资","严控",IF(D70&lt;&gt;"","常规","")))</f>
        <v>常规</v>
      </c>
      <c r="N70" s="40" t="s">
        <v>495</v>
      </c>
      <c r="O70" s="135" t="s">
        <v>2254</v>
      </c>
      <c r="P70" s="134" t="s">
        <v>2237</v>
      </c>
      <c r="Q70" s="141"/>
      <c r="R70" s="15"/>
      <c r="S70" s="15" t="s">
        <v>2412</v>
      </c>
      <c r="T70" s="15">
        <v>5</v>
      </c>
      <c r="U70" s="32" t="str">
        <f t="shared" ref="U70:U127" si="22">IF(L70="","",L70)</f>
        <v>个</v>
      </c>
      <c r="V70" s="14"/>
      <c r="W70" s="35"/>
      <c r="X70" s="32">
        <f t="shared" ref="X70:X127" si="23">IF((K70-T70)&lt;=0,"",K70-T70)</f>
        <v>4</v>
      </c>
      <c r="Y70" s="32" t="str">
        <f t="shared" ref="Y70:Y127" si="24">IF(L70="","",L70)</f>
        <v>个</v>
      </c>
      <c r="Z70" s="14"/>
      <c r="AA70" s="15"/>
      <c r="AB70" s="35"/>
    </row>
    <row r="71" spans="1:28" s="173" customFormat="1" ht="19.899999999999999" customHeight="1" x14ac:dyDescent="0.3">
      <c r="A71" s="163">
        <v>68</v>
      </c>
      <c r="B71" s="164" t="s">
        <v>531</v>
      </c>
      <c r="C71" s="165" t="s">
        <v>0</v>
      </c>
      <c r="D71" s="166" t="str">
        <f t="shared" si="20"/>
        <v>专用物耗</v>
      </c>
      <c r="E71" s="168" t="s">
        <v>532</v>
      </c>
      <c r="F71" s="168" t="s">
        <v>13</v>
      </c>
      <c r="G71" s="167"/>
      <c r="H71" s="167"/>
      <c r="I71" s="167"/>
      <c r="J71" s="165" t="s">
        <v>821</v>
      </c>
      <c r="K71" s="168">
        <v>1</v>
      </c>
      <c r="L71" s="165" t="s">
        <v>823</v>
      </c>
      <c r="M71" s="166" t="str">
        <f t="shared" si="21"/>
        <v>常规</v>
      </c>
      <c r="N71" s="168"/>
      <c r="O71" s="171" t="s">
        <v>2244</v>
      </c>
      <c r="P71" s="170" t="s">
        <v>2236</v>
      </c>
      <c r="Q71" s="171"/>
      <c r="R71" s="167"/>
      <c r="S71" s="167" t="s">
        <v>2090</v>
      </c>
      <c r="T71" s="167">
        <v>1</v>
      </c>
      <c r="U71" s="166" t="str">
        <f t="shared" si="22"/>
        <v>个</v>
      </c>
      <c r="V71" s="168"/>
      <c r="W71" s="172"/>
      <c r="X71" s="166" t="str">
        <f t="shared" si="3"/>
        <v/>
      </c>
      <c r="Y71" s="166" t="str">
        <f t="shared" si="24"/>
        <v>个</v>
      </c>
      <c r="Z71" s="168"/>
      <c r="AA71" s="167"/>
      <c r="AB71" s="172"/>
    </row>
    <row r="72" spans="1:28" s="173" customFormat="1" ht="19.899999999999999" customHeight="1" x14ac:dyDescent="0.3">
      <c r="A72" s="163">
        <v>69</v>
      </c>
      <c r="B72" s="164" t="s">
        <v>533</v>
      </c>
      <c r="C72" s="165" t="s">
        <v>0</v>
      </c>
      <c r="D72" s="166" t="str">
        <f t="shared" si="20"/>
        <v>专用物耗</v>
      </c>
      <c r="E72" s="168" t="s">
        <v>532</v>
      </c>
      <c r="F72" s="168" t="s">
        <v>534</v>
      </c>
      <c r="G72" s="167"/>
      <c r="H72" s="167"/>
      <c r="I72" s="167"/>
      <c r="J72" s="165" t="s">
        <v>821</v>
      </c>
      <c r="K72" s="168">
        <v>1</v>
      </c>
      <c r="L72" s="165" t="s">
        <v>823</v>
      </c>
      <c r="M72" s="166" t="str">
        <f t="shared" si="21"/>
        <v>常规</v>
      </c>
      <c r="N72" s="168"/>
      <c r="O72" s="171" t="s">
        <v>2244</v>
      </c>
      <c r="P72" s="170" t="s">
        <v>2236</v>
      </c>
      <c r="Q72" s="171"/>
      <c r="R72" s="167"/>
      <c r="S72" s="167" t="s">
        <v>921</v>
      </c>
      <c r="T72" s="167">
        <v>1</v>
      </c>
      <c r="U72" s="166" t="str">
        <f t="shared" si="22"/>
        <v>个</v>
      </c>
      <c r="V72" s="168"/>
      <c r="W72" s="172"/>
      <c r="X72" s="166" t="str">
        <f t="shared" si="23"/>
        <v/>
      </c>
      <c r="Y72" s="166" t="str">
        <f t="shared" si="24"/>
        <v>个</v>
      </c>
      <c r="Z72" s="168"/>
      <c r="AA72" s="167"/>
      <c r="AB72" s="172"/>
    </row>
    <row r="73" spans="1:28" s="173" customFormat="1" ht="19.899999999999999" customHeight="1" x14ac:dyDescent="0.3">
      <c r="A73" s="163">
        <v>70</v>
      </c>
      <c r="B73" s="164" t="s">
        <v>2518</v>
      </c>
      <c r="C73" s="165" t="s">
        <v>0</v>
      </c>
      <c r="D73" s="166" t="str">
        <f t="shared" si="20"/>
        <v>专用物耗</v>
      </c>
      <c r="E73" s="164"/>
      <c r="F73" s="168" t="s">
        <v>2152</v>
      </c>
      <c r="G73" s="167"/>
      <c r="H73" s="167"/>
      <c r="I73" s="167"/>
      <c r="J73" s="165" t="s">
        <v>821</v>
      </c>
      <c r="K73" s="168">
        <v>6</v>
      </c>
      <c r="L73" s="165" t="s">
        <v>832</v>
      </c>
      <c r="M73" s="166" t="str">
        <f t="shared" si="21"/>
        <v>常规</v>
      </c>
      <c r="N73" s="168"/>
      <c r="O73" s="171" t="s">
        <v>2244</v>
      </c>
      <c r="P73" s="170" t="s">
        <v>2238</v>
      </c>
      <c r="Q73" s="171"/>
      <c r="R73" s="167"/>
      <c r="S73" s="167" t="s">
        <v>2153</v>
      </c>
      <c r="T73" s="167">
        <v>6</v>
      </c>
      <c r="U73" s="166" t="str">
        <f t="shared" si="22"/>
        <v>瓶</v>
      </c>
      <c r="V73" s="168"/>
      <c r="W73" s="172"/>
      <c r="X73" s="166" t="str">
        <f t="shared" si="23"/>
        <v/>
      </c>
      <c r="Y73" s="166" t="str">
        <f t="shared" si="24"/>
        <v>瓶</v>
      </c>
      <c r="Z73" s="168"/>
      <c r="AA73" s="167"/>
      <c r="AB73" s="172"/>
    </row>
    <row r="74" spans="1:28" s="45" customFormat="1" ht="19.899999999999999" customHeight="1" x14ac:dyDescent="0.3">
      <c r="A74" s="34">
        <v>71</v>
      </c>
      <c r="B74" s="12" t="s">
        <v>538</v>
      </c>
      <c r="C74" s="29" t="s">
        <v>0</v>
      </c>
      <c r="D74" s="32" t="str">
        <f t="shared" si="20"/>
        <v>专用物耗</v>
      </c>
      <c r="E74" s="12"/>
      <c r="F74" s="14" t="s">
        <v>70</v>
      </c>
      <c r="G74" s="15"/>
      <c r="H74" s="15"/>
      <c r="I74" s="15"/>
      <c r="J74" s="29" t="s">
        <v>821</v>
      </c>
      <c r="K74" s="14">
        <v>3</v>
      </c>
      <c r="L74" s="29" t="s">
        <v>832</v>
      </c>
      <c r="M74" s="32" t="str">
        <f t="shared" si="21"/>
        <v>常规</v>
      </c>
      <c r="N74" s="14"/>
      <c r="O74" s="141" t="s">
        <v>2255</v>
      </c>
      <c r="P74" s="134" t="s">
        <v>2256</v>
      </c>
      <c r="Q74" s="141"/>
      <c r="R74" s="15"/>
      <c r="S74" s="15"/>
      <c r="T74" s="15"/>
      <c r="U74" s="32" t="str">
        <f t="shared" si="22"/>
        <v>瓶</v>
      </c>
      <c r="V74" s="14"/>
      <c r="W74" s="35"/>
      <c r="X74" s="32">
        <f t="shared" si="23"/>
        <v>3</v>
      </c>
      <c r="Y74" s="32" t="str">
        <f t="shared" si="24"/>
        <v>瓶</v>
      </c>
      <c r="Z74" s="14"/>
      <c r="AA74" s="15"/>
      <c r="AB74" s="35"/>
    </row>
    <row r="75" spans="1:28" s="45" customFormat="1" ht="19.899999999999999" customHeight="1" x14ac:dyDescent="0.3">
      <c r="A75" s="34">
        <v>72</v>
      </c>
      <c r="B75" s="12" t="s">
        <v>539</v>
      </c>
      <c r="C75" s="29" t="s">
        <v>0</v>
      </c>
      <c r="D75" s="32" t="str">
        <f t="shared" si="20"/>
        <v>专用物耗</v>
      </c>
      <c r="E75" s="14" t="s">
        <v>256</v>
      </c>
      <c r="F75" s="16" t="s">
        <v>71</v>
      </c>
      <c r="G75" s="15"/>
      <c r="H75" s="15"/>
      <c r="I75" s="15"/>
      <c r="J75" s="29" t="s">
        <v>821</v>
      </c>
      <c r="K75" s="16">
        <v>3</v>
      </c>
      <c r="L75" s="37" t="s">
        <v>832</v>
      </c>
      <c r="M75" s="32" t="str">
        <f t="shared" si="21"/>
        <v>常规</v>
      </c>
      <c r="N75" s="25"/>
      <c r="O75" s="141" t="s">
        <v>2244</v>
      </c>
      <c r="P75" s="134" t="s">
        <v>2239</v>
      </c>
      <c r="Q75" s="141"/>
      <c r="R75" s="15"/>
      <c r="S75" s="15" t="s">
        <v>2089</v>
      </c>
      <c r="T75" s="15">
        <v>1</v>
      </c>
      <c r="U75" s="32" t="str">
        <f t="shared" si="22"/>
        <v>瓶</v>
      </c>
      <c r="V75" s="14"/>
      <c r="W75" s="35"/>
      <c r="X75" s="32">
        <f t="shared" si="23"/>
        <v>2</v>
      </c>
      <c r="Y75" s="32" t="str">
        <f t="shared" si="24"/>
        <v>瓶</v>
      </c>
      <c r="Z75" s="14"/>
      <c r="AA75" s="15"/>
      <c r="AB75" s="35"/>
    </row>
    <row r="76" spans="1:28" s="45" customFormat="1" ht="19.899999999999999" customHeight="1" x14ac:dyDescent="0.3">
      <c r="A76" s="34">
        <v>73</v>
      </c>
      <c r="B76" s="12" t="s">
        <v>540</v>
      </c>
      <c r="C76" s="29" t="s">
        <v>0</v>
      </c>
      <c r="D76" s="32" t="str">
        <f t="shared" si="20"/>
        <v>专用物耗</v>
      </c>
      <c r="E76" s="16"/>
      <c r="F76" s="14" t="s">
        <v>541</v>
      </c>
      <c r="G76" s="15"/>
      <c r="H76" s="15"/>
      <c r="I76" s="15"/>
      <c r="J76" s="29" t="s">
        <v>821</v>
      </c>
      <c r="K76" s="18">
        <v>2.5</v>
      </c>
      <c r="L76" s="29" t="s">
        <v>72</v>
      </c>
      <c r="M76" s="32" t="str">
        <f t="shared" si="21"/>
        <v>常规</v>
      </c>
      <c r="N76" s="18"/>
      <c r="O76" s="141" t="s">
        <v>2244</v>
      </c>
      <c r="P76" s="134" t="s">
        <v>2239</v>
      </c>
      <c r="Q76" s="141"/>
      <c r="R76" s="15"/>
      <c r="S76" s="15"/>
      <c r="T76" s="15"/>
      <c r="U76" s="32" t="str">
        <f t="shared" si="22"/>
        <v>kg</v>
      </c>
      <c r="V76" s="14"/>
      <c r="W76" s="35"/>
      <c r="X76" s="32">
        <f t="shared" si="23"/>
        <v>2.5</v>
      </c>
      <c r="Y76" s="32" t="str">
        <f t="shared" si="24"/>
        <v>kg</v>
      </c>
      <c r="Z76" s="14"/>
      <c r="AA76" s="15"/>
      <c r="AB76" s="35"/>
    </row>
    <row r="77" spans="1:28" s="45" customFormat="1" ht="19.899999999999999" customHeight="1" x14ac:dyDescent="0.3">
      <c r="A77" s="34">
        <v>74</v>
      </c>
      <c r="B77" s="12" t="s">
        <v>542</v>
      </c>
      <c r="C77" s="29" t="s">
        <v>0</v>
      </c>
      <c r="D77" s="32" t="str">
        <f t="shared" si="20"/>
        <v>专用物耗</v>
      </c>
      <c r="E77" s="14"/>
      <c r="F77" s="14">
        <v>80011</v>
      </c>
      <c r="G77" s="15"/>
      <c r="H77" s="15"/>
      <c r="I77" s="15"/>
      <c r="J77" s="29" t="s">
        <v>821</v>
      </c>
      <c r="K77" s="41">
        <v>2</v>
      </c>
      <c r="L77" s="29" t="s">
        <v>828</v>
      </c>
      <c r="M77" s="32" t="str">
        <f t="shared" si="21"/>
        <v>常规</v>
      </c>
      <c r="N77" s="18" t="s">
        <v>543</v>
      </c>
      <c r="O77" s="136" t="s">
        <v>2245</v>
      </c>
      <c r="P77" s="134" t="s">
        <v>2236</v>
      </c>
      <c r="Q77" s="141"/>
      <c r="R77" s="15"/>
      <c r="S77" s="15" t="s">
        <v>2093</v>
      </c>
      <c r="T77" s="15">
        <v>1</v>
      </c>
      <c r="U77" s="32" t="str">
        <f t="shared" si="22"/>
        <v>包</v>
      </c>
      <c r="V77" s="14"/>
      <c r="W77" s="35"/>
      <c r="X77" s="32">
        <f t="shared" si="23"/>
        <v>1</v>
      </c>
      <c r="Y77" s="32" t="str">
        <f t="shared" si="24"/>
        <v>包</v>
      </c>
      <c r="Z77" s="14"/>
      <c r="AA77" s="15"/>
      <c r="AB77" s="35"/>
    </row>
    <row r="78" spans="1:28" s="173" customFormat="1" ht="19.899999999999999" customHeight="1" x14ac:dyDescent="0.3">
      <c r="A78" s="163">
        <v>75</v>
      </c>
      <c r="B78" s="164" t="s">
        <v>546</v>
      </c>
      <c r="C78" s="165" t="s">
        <v>0</v>
      </c>
      <c r="D78" s="166" t="str">
        <f t="shared" si="20"/>
        <v>专用物耗</v>
      </c>
      <c r="E78" s="168"/>
      <c r="F78" s="168">
        <v>18001</v>
      </c>
      <c r="G78" s="167"/>
      <c r="H78" s="167"/>
      <c r="I78" s="167"/>
      <c r="J78" s="165" t="s">
        <v>821</v>
      </c>
      <c r="K78" s="239">
        <v>1</v>
      </c>
      <c r="L78" s="165" t="s">
        <v>828</v>
      </c>
      <c r="M78" s="166" t="str">
        <f t="shared" si="21"/>
        <v>常规</v>
      </c>
      <c r="N78" s="168" t="s">
        <v>547</v>
      </c>
      <c r="O78" s="180" t="s">
        <v>2245</v>
      </c>
      <c r="P78" s="170" t="s">
        <v>2236</v>
      </c>
      <c r="Q78" s="171"/>
      <c r="R78" s="167"/>
      <c r="S78" s="167" t="s">
        <v>915</v>
      </c>
      <c r="T78" s="167">
        <v>1</v>
      </c>
      <c r="U78" s="166" t="str">
        <f t="shared" si="22"/>
        <v>包</v>
      </c>
      <c r="V78" s="168"/>
      <c r="W78" s="172"/>
      <c r="X78" s="166" t="str">
        <f t="shared" si="23"/>
        <v/>
      </c>
      <c r="Y78" s="166" t="str">
        <f t="shared" si="24"/>
        <v>包</v>
      </c>
      <c r="Z78" s="168"/>
      <c r="AA78" s="167"/>
      <c r="AB78" s="172"/>
    </row>
    <row r="79" spans="1:28" s="173" customFormat="1" ht="19.899999999999999" customHeight="1" x14ac:dyDescent="0.3">
      <c r="A79" s="163">
        <v>76</v>
      </c>
      <c r="B79" s="164" t="s">
        <v>548</v>
      </c>
      <c r="C79" s="165" t="s">
        <v>0</v>
      </c>
      <c r="D79" s="166" t="str">
        <f t="shared" si="20"/>
        <v>专用物耗</v>
      </c>
      <c r="E79" s="164"/>
      <c r="F79" s="168"/>
      <c r="G79" s="167"/>
      <c r="H79" s="167"/>
      <c r="I79" s="167"/>
      <c r="J79" s="165" t="s">
        <v>821</v>
      </c>
      <c r="K79" s="168">
        <v>2</v>
      </c>
      <c r="L79" s="165" t="s">
        <v>828</v>
      </c>
      <c r="M79" s="166" t="str">
        <f t="shared" si="21"/>
        <v>常规</v>
      </c>
      <c r="N79" s="168"/>
      <c r="O79" s="180" t="s">
        <v>2245</v>
      </c>
      <c r="P79" s="170" t="s">
        <v>2236</v>
      </c>
      <c r="Q79" s="171"/>
      <c r="R79" s="167"/>
      <c r="S79" s="167" t="s">
        <v>1260</v>
      </c>
      <c r="T79" s="167">
        <v>2</v>
      </c>
      <c r="U79" s="166" t="str">
        <f t="shared" si="22"/>
        <v>包</v>
      </c>
      <c r="V79" s="168"/>
      <c r="W79" s="172"/>
      <c r="X79" s="166" t="str">
        <f t="shared" si="23"/>
        <v/>
      </c>
      <c r="Y79" s="166" t="str">
        <f t="shared" si="24"/>
        <v>包</v>
      </c>
      <c r="Z79" s="168"/>
      <c r="AA79" s="167"/>
      <c r="AB79" s="172"/>
    </row>
    <row r="80" spans="1:28" s="45" customFormat="1" ht="19.899999999999999" customHeight="1" x14ac:dyDescent="0.3">
      <c r="A80" s="34">
        <v>77</v>
      </c>
      <c r="B80" s="12" t="s">
        <v>549</v>
      </c>
      <c r="C80" s="29" t="s">
        <v>0</v>
      </c>
      <c r="D80" s="32" t="str">
        <f t="shared" si="20"/>
        <v>专用物耗</v>
      </c>
      <c r="E80" s="16"/>
      <c r="F80" s="14"/>
      <c r="G80" s="15"/>
      <c r="H80" s="15"/>
      <c r="I80" s="15"/>
      <c r="J80" s="29" t="s">
        <v>821</v>
      </c>
      <c r="K80" s="18">
        <v>1</v>
      </c>
      <c r="L80" s="29" t="s">
        <v>825</v>
      </c>
      <c r="M80" s="32" t="str">
        <f t="shared" si="21"/>
        <v>常规</v>
      </c>
      <c r="N80" s="18"/>
      <c r="O80" s="136" t="s">
        <v>2245</v>
      </c>
      <c r="P80" s="134" t="s">
        <v>2236</v>
      </c>
      <c r="Q80" s="141"/>
      <c r="R80" s="15"/>
      <c r="S80" s="15"/>
      <c r="T80" s="15"/>
      <c r="U80" s="32" t="str">
        <f t="shared" si="22"/>
        <v>袋</v>
      </c>
      <c r="V80" s="14"/>
      <c r="W80" s="35"/>
      <c r="X80" s="32">
        <f t="shared" si="23"/>
        <v>1</v>
      </c>
      <c r="Y80" s="32" t="str">
        <f t="shared" si="24"/>
        <v>袋</v>
      </c>
      <c r="Z80" s="14"/>
      <c r="AA80" s="15"/>
      <c r="AB80" s="35"/>
    </row>
    <row r="81" spans="1:28" s="45" customFormat="1" ht="19.899999999999999" customHeight="1" x14ac:dyDescent="0.3">
      <c r="A81" s="34">
        <v>78</v>
      </c>
      <c r="B81" s="12" t="s">
        <v>550</v>
      </c>
      <c r="C81" s="29" t="s">
        <v>0</v>
      </c>
      <c r="D81" s="32" t="str">
        <f t="shared" si="20"/>
        <v>专用物耗</v>
      </c>
      <c r="E81" s="16"/>
      <c r="F81" s="14"/>
      <c r="G81" s="15"/>
      <c r="H81" s="15"/>
      <c r="I81" s="15"/>
      <c r="J81" s="29" t="s">
        <v>821</v>
      </c>
      <c r="K81" s="18">
        <v>68</v>
      </c>
      <c r="L81" s="29" t="s">
        <v>833</v>
      </c>
      <c r="M81" s="32" t="str">
        <f t="shared" si="21"/>
        <v>常规</v>
      </c>
      <c r="N81" s="18"/>
      <c r="O81" s="136" t="s">
        <v>2245</v>
      </c>
      <c r="P81" s="134" t="s">
        <v>2236</v>
      </c>
      <c r="Q81" s="141"/>
      <c r="R81" s="15"/>
      <c r="S81" s="15" t="s">
        <v>254</v>
      </c>
      <c r="T81" s="15">
        <v>10</v>
      </c>
      <c r="U81" s="32" t="str">
        <f t="shared" si="22"/>
        <v>张</v>
      </c>
      <c r="V81" s="14"/>
      <c r="W81" s="35"/>
      <c r="X81" s="32">
        <f t="shared" si="23"/>
        <v>58</v>
      </c>
      <c r="Y81" s="32" t="str">
        <f t="shared" si="24"/>
        <v>张</v>
      </c>
      <c r="Z81" s="14"/>
      <c r="AA81" s="15"/>
      <c r="AB81" s="35"/>
    </row>
    <row r="82" spans="1:28" s="173" customFormat="1" ht="19.899999999999999" customHeight="1" x14ac:dyDescent="0.3">
      <c r="A82" s="163">
        <v>79</v>
      </c>
      <c r="B82" s="164" t="s">
        <v>551</v>
      </c>
      <c r="C82" s="165" t="s">
        <v>0</v>
      </c>
      <c r="D82" s="166" t="str">
        <f t="shared" si="20"/>
        <v>专用物耗</v>
      </c>
      <c r="E82" s="164"/>
      <c r="F82" s="168"/>
      <c r="G82" s="167"/>
      <c r="H82" s="167"/>
      <c r="I82" s="164"/>
      <c r="J82" s="165" t="s">
        <v>821</v>
      </c>
      <c r="K82" s="168">
        <v>4</v>
      </c>
      <c r="L82" s="165" t="s">
        <v>823</v>
      </c>
      <c r="M82" s="166" t="str">
        <f t="shared" si="21"/>
        <v>常规</v>
      </c>
      <c r="N82" s="168"/>
      <c r="O82" s="180" t="s">
        <v>2245</v>
      </c>
      <c r="P82" s="170" t="s">
        <v>2236</v>
      </c>
      <c r="Q82" s="171"/>
      <c r="R82" s="167"/>
      <c r="S82" s="164" t="s">
        <v>2201</v>
      </c>
      <c r="T82" s="167">
        <v>4</v>
      </c>
      <c r="U82" s="166" t="str">
        <f t="shared" si="22"/>
        <v>个</v>
      </c>
      <c r="V82" s="168"/>
      <c r="W82" s="172"/>
      <c r="X82" s="166" t="str">
        <f t="shared" si="23"/>
        <v/>
      </c>
      <c r="Y82" s="166" t="str">
        <f t="shared" si="24"/>
        <v>个</v>
      </c>
      <c r="Z82" s="168"/>
      <c r="AA82" s="167"/>
      <c r="AB82" s="172"/>
    </row>
    <row r="83" spans="1:28" s="173" customFormat="1" ht="19.899999999999999" customHeight="1" x14ac:dyDescent="0.3">
      <c r="A83" s="163">
        <v>80</v>
      </c>
      <c r="B83" s="164" t="s">
        <v>552</v>
      </c>
      <c r="C83" s="165" t="s">
        <v>0</v>
      </c>
      <c r="D83" s="166" t="str">
        <f t="shared" si="20"/>
        <v>专用物耗</v>
      </c>
      <c r="E83" s="164"/>
      <c r="F83" s="168"/>
      <c r="G83" s="167"/>
      <c r="H83" s="167"/>
      <c r="I83" s="167"/>
      <c r="J83" s="165" t="s">
        <v>821</v>
      </c>
      <c r="K83" s="168">
        <v>2</v>
      </c>
      <c r="L83" s="165" t="s">
        <v>823</v>
      </c>
      <c r="M83" s="166" t="str">
        <f t="shared" si="21"/>
        <v>常规</v>
      </c>
      <c r="N83" s="168" t="s">
        <v>1656</v>
      </c>
      <c r="O83" s="180" t="s">
        <v>2245</v>
      </c>
      <c r="P83" s="170" t="s">
        <v>2236</v>
      </c>
      <c r="Q83" s="171"/>
      <c r="R83" s="167"/>
      <c r="S83" s="167"/>
      <c r="T83" s="167">
        <v>2</v>
      </c>
      <c r="U83" s="166" t="str">
        <f t="shared" si="22"/>
        <v>个</v>
      </c>
      <c r="V83" s="168"/>
      <c r="W83" s="172"/>
      <c r="X83" s="166" t="str">
        <f t="shared" si="23"/>
        <v/>
      </c>
      <c r="Y83" s="166" t="str">
        <f t="shared" si="24"/>
        <v>个</v>
      </c>
      <c r="Z83" s="168"/>
      <c r="AA83" s="167"/>
      <c r="AB83" s="172"/>
    </row>
    <row r="84" spans="1:28" s="173" customFormat="1" ht="19.899999999999999" customHeight="1" x14ac:dyDescent="0.3">
      <c r="A84" s="163">
        <v>81</v>
      </c>
      <c r="B84" s="164" t="s">
        <v>553</v>
      </c>
      <c r="C84" s="165" t="s">
        <v>0</v>
      </c>
      <c r="D84" s="166" t="str">
        <f t="shared" si="20"/>
        <v>专用物耗</v>
      </c>
      <c r="E84" s="164"/>
      <c r="F84" s="168"/>
      <c r="G84" s="167"/>
      <c r="H84" s="167"/>
      <c r="I84" s="167"/>
      <c r="J84" s="165" t="s">
        <v>821</v>
      </c>
      <c r="K84" s="168">
        <v>1</v>
      </c>
      <c r="L84" s="165" t="s">
        <v>827</v>
      </c>
      <c r="M84" s="166" t="str">
        <f t="shared" si="21"/>
        <v>常规</v>
      </c>
      <c r="N84" s="168"/>
      <c r="O84" s="180" t="s">
        <v>2245</v>
      </c>
      <c r="P84" s="170" t="s">
        <v>2236</v>
      </c>
      <c r="Q84" s="171"/>
      <c r="R84" s="167"/>
      <c r="S84" s="167" t="s">
        <v>940</v>
      </c>
      <c r="T84" s="167">
        <v>1</v>
      </c>
      <c r="U84" s="166" t="str">
        <f t="shared" si="22"/>
        <v>套</v>
      </c>
      <c r="V84" s="168"/>
      <c r="W84" s="172"/>
      <c r="X84" s="166" t="str">
        <f t="shared" si="23"/>
        <v/>
      </c>
      <c r="Y84" s="166" t="str">
        <f t="shared" si="24"/>
        <v>套</v>
      </c>
      <c r="Z84" s="168"/>
      <c r="AA84" s="167"/>
      <c r="AB84" s="172"/>
    </row>
    <row r="85" spans="1:28" s="45" customFormat="1" ht="19.899999999999999" customHeight="1" x14ac:dyDescent="0.3">
      <c r="A85" s="34">
        <v>82</v>
      </c>
      <c r="B85" s="12" t="s">
        <v>554</v>
      </c>
      <c r="C85" s="29" t="s">
        <v>0</v>
      </c>
      <c r="D85" s="32" t="str">
        <f t="shared" si="20"/>
        <v>专用物耗</v>
      </c>
      <c r="E85" s="16"/>
      <c r="F85" s="14"/>
      <c r="G85" s="15"/>
      <c r="H85" s="15"/>
      <c r="I85" s="15"/>
      <c r="J85" s="29" t="s">
        <v>821</v>
      </c>
      <c r="K85" s="18">
        <v>1</v>
      </c>
      <c r="L85" s="29" t="s">
        <v>823</v>
      </c>
      <c r="M85" s="32" t="str">
        <f t="shared" si="21"/>
        <v>常规</v>
      </c>
      <c r="N85" s="18"/>
      <c r="O85" s="136" t="s">
        <v>2245</v>
      </c>
      <c r="P85" s="134" t="s">
        <v>2236</v>
      </c>
      <c r="Q85" s="141"/>
      <c r="R85" s="15"/>
      <c r="S85" s="15"/>
      <c r="T85" s="15"/>
      <c r="U85" s="32" t="str">
        <f t="shared" si="22"/>
        <v>个</v>
      </c>
      <c r="V85" s="14"/>
      <c r="W85" s="35"/>
      <c r="X85" s="32">
        <f t="shared" si="23"/>
        <v>1</v>
      </c>
      <c r="Y85" s="32" t="str">
        <f t="shared" si="24"/>
        <v>个</v>
      </c>
      <c r="Z85" s="14"/>
      <c r="AA85" s="15"/>
      <c r="AB85" s="35"/>
    </row>
    <row r="86" spans="1:28" s="45" customFormat="1" ht="19.899999999999999" customHeight="1" x14ac:dyDescent="0.3">
      <c r="A86" s="34">
        <v>83</v>
      </c>
      <c r="B86" s="12" t="s">
        <v>555</v>
      </c>
      <c r="C86" s="29" t="s">
        <v>0</v>
      </c>
      <c r="D86" s="32" t="str">
        <f t="shared" si="20"/>
        <v>专用物耗</v>
      </c>
      <c r="E86" s="16"/>
      <c r="F86" s="14" t="s">
        <v>556</v>
      </c>
      <c r="G86" s="15"/>
      <c r="H86" s="15"/>
      <c r="I86" s="15"/>
      <c r="J86" s="29" t="s">
        <v>821</v>
      </c>
      <c r="K86" s="18">
        <v>1</v>
      </c>
      <c r="L86" s="29" t="s">
        <v>823</v>
      </c>
      <c r="M86" s="32" t="str">
        <f t="shared" si="21"/>
        <v>常规</v>
      </c>
      <c r="N86" s="18"/>
      <c r="O86" s="136" t="s">
        <v>2245</v>
      </c>
      <c r="P86" s="134" t="s">
        <v>2236</v>
      </c>
      <c r="Q86" s="141"/>
      <c r="R86" s="15"/>
      <c r="S86" s="15"/>
      <c r="T86" s="15"/>
      <c r="U86" s="32" t="str">
        <f t="shared" si="22"/>
        <v>个</v>
      </c>
      <c r="V86" s="14"/>
      <c r="W86" s="35"/>
      <c r="X86" s="32">
        <f t="shared" si="23"/>
        <v>1</v>
      </c>
      <c r="Y86" s="32" t="str">
        <f t="shared" si="24"/>
        <v>个</v>
      </c>
      <c r="Z86" s="14"/>
      <c r="AA86" s="15"/>
      <c r="AB86" s="35"/>
    </row>
    <row r="87" spans="1:28" s="45" customFormat="1" ht="19.899999999999999" customHeight="1" x14ac:dyDescent="0.3">
      <c r="A87" s="34">
        <v>84</v>
      </c>
      <c r="B87" s="12" t="s">
        <v>557</v>
      </c>
      <c r="C87" s="29" t="s">
        <v>0</v>
      </c>
      <c r="D87" s="32" t="str">
        <f t="shared" si="20"/>
        <v>专用物耗</v>
      </c>
      <c r="E87" s="16"/>
      <c r="F87" s="14"/>
      <c r="G87" s="15"/>
      <c r="H87" s="15"/>
      <c r="I87" s="15"/>
      <c r="J87" s="29" t="s">
        <v>821</v>
      </c>
      <c r="K87" s="18">
        <v>4</v>
      </c>
      <c r="L87" s="29" t="s">
        <v>823</v>
      </c>
      <c r="M87" s="32" t="str">
        <f t="shared" si="21"/>
        <v>常规</v>
      </c>
      <c r="N87" s="18"/>
      <c r="O87" s="136" t="s">
        <v>2245</v>
      </c>
      <c r="P87" s="134" t="s">
        <v>2236</v>
      </c>
      <c r="Q87" s="141"/>
      <c r="R87" s="15"/>
      <c r="S87" s="15"/>
      <c r="T87" s="15"/>
      <c r="U87" s="32" t="str">
        <f t="shared" si="22"/>
        <v>个</v>
      </c>
      <c r="V87" s="14"/>
      <c r="W87" s="35"/>
      <c r="X87" s="32">
        <f t="shared" si="23"/>
        <v>4</v>
      </c>
      <c r="Y87" s="32" t="str">
        <f t="shared" si="24"/>
        <v>个</v>
      </c>
      <c r="Z87" s="14"/>
      <c r="AA87" s="15"/>
      <c r="AB87" s="35"/>
    </row>
    <row r="88" spans="1:28" s="45" customFormat="1" ht="19.899999999999999" customHeight="1" x14ac:dyDescent="0.3">
      <c r="A88" s="34">
        <v>85</v>
      </c>
      <c r="B88" s="12" t="s">
        <v>558</v>
      </c>
      <c r="C88" s="29" t="s">
        <v>0</v>
      </c>
      <c r="D88" s="32" t="str">
        <f t="shared" si="20"/>
        <v>专用物耗</v>
      </c>
      <c r="E88" s="16"/>
      <c r="F88" s="14" t="s">
        <v>74</v>
      </c>
      <c r="G88" s="15"/>
      <c r="H88" s="15"/>
      <c r="I88" s="15"/>
      <c r="J88" s="29" t="s">
        <v>821</v>
      </c>
      <c r="K88" s="18">
        <v>19</v>
      </c>
      <c r="L88" s="29" t="s">
        <v>830</v>
      </c>
      <c r="M88" s="32" t="str">
        <f t="shared" si="21"/>
        <v>常规</v>
      </c>
      <c r="N88" s="18" t="s">
        <v>559</v>
      </c>
      <c r="O88" s="136" t="s">
        <v>2245</v>
      </c>
      <c r="P88" s="134" t="s">
        <v>2236</v>
      </c>
      <c r="Q88" s="141"/>
      <c r="R88" s="15"/>
      <c r="S88" s="15"/>
      <c r="T88" s="15"/>
      <c r="U88" s="32" t="str">
        <f t="shared" si="22"/>
        <v>卷</v>
      </c>
      <c r="V88" s="14"/>
      <c r="W88" s="35"/>
      <c r="X88" s="32">
        <f t="shared" si="23"/>
        <v>19</v>
      </c>
      <c r="Y88" s="32" t="str">
        <f t="shared" si="24"/>
        <v>卷</v>
      </c>
      <c r="Z88" s="14"/>
      <c r="AA88" s="15"/>
      <c r="AB88" s="35"/>
    </row>
    <row r="89" spans="1:28" s="45" customFormat="1" ht="19.899999999999999" customHeight="1" x14ac:dyDescent="0.3">
      <c r="A89" s="34">
        <v>86</v>
      </c>
      <c r="B89" s="12" t="s">
        <v>560</v>
      </c>
      <c r="C89" s="29" t="s">
        <v>0</v>
      </c>
      <c r="D89" s="32" t="str">
        <f t="shared" si="20"/>
        <v>专用物耗</v>
      </c>
      <c r="E89" s="16"/>
      <c r="F89" s="14" t="s">
        <v>75</v>
      </c>
      <c r="G89" s="15"/>
      <c r="H89" s="15"/>
      <c r="I89" s="15"/>
      <c r="J89" s="29" t="s">
        <v>821</v>
      </c>
      <c r="K89" s="18">
        <v>96</v>
      </c>
      <c r="L89" s="29" t="s">
        <v>823</v>
      </c>
      <c r="M89" s="32" t="str">
        <f t="shared" si="21"/>
        <v>常规</v>
      </c>
      <c r="N89" s="18"/>
      <c r="O89" s="136" t="s">
        <v>2245</v>
      </c>
      <c r="P89" s="134" t="s">
        <v>2236</v>
      </c>
      <c r="Q89" s="141"/>
      <c r="R89" s="15"/>
      <c r="S89" s="15"/>
      <c r="T89" s="15"/>
      <c r="U89" s="32" t="str">
        <f t="shared" si="22"/>
        <v>个</v>
      </c>
      <c r="V89" s="14"/>
      <c r="W89" s="35"/>
      <c r="X89" s="32">
        <f t="shared" si="23"/>
        <v>96</v>
      </c>
      <c r="Y89" s="32" t="str">
        <f t="shared" si="24"/>
        <v>个</v>
      </c>
      <c r="Z89" s="14"/>
      <c r="AA89" s="15"/>
      <c r="AB89" s="35"/>
    </row>
    <row r="90" spans="1:28" s="45" customFormat="1" ht="19.899999999999999" customHeight="1" x14ac:dyDescent="0.3">
      <c r="A90" s="34">
        <v>87</v>
      </c>
      <c r="B90" s="12" t="s">
        <v>561</v>
      </c>
      <c r="C90" s="29" t="s">
        <v>0</v>
      </c>
      <c r="D90" s="32" t="str">
        <f t="shared" si="20"/>
        <v>专用物耗</v>
      </c>
      <c r="E90" s="16"/>
      <c r="F90" s="14"/>
      <c r="G90" s="15"/>
      <c r="H90" s="15"/>
      <c r="I90" s="15"/>
      <c r="J90" s="29" t="s">
        <v>821</v>
      </c>
      <c r="K90" s="18">
        <v>4</v>
      </c>
      <c r="L90" s="29" t="s">
        <v>823</v>
      </c>
      <c r="M90" s="32" t="str">
        <f t="shared" si="21"/>
        <v>常规</v>
      </c>
      <c r="N90" s="18"/>
      <c r="O90" s="136" t="s">
        <v>2245</v>
      </c>
      <c r="P90" s="134" t="s">
        <v>2236</v>
      </c>
      <c r="Q90" s="141"/>
      <c r="R90" s="15"/>
      <c r="S90" s="15"/>
      <c r="T90" s="15"/>
      <c r="U90" s="32" t="str">
        <f t="shared" si="22"/>
        <v>个</v>
      </c>
      <c r="V90" s="14"/>
      <c r="W90" s="35"/>
      <c r="X90" s="32">
        <f t="shared" si="23"/>
        <v>4</v>
      </c>
      <c r="Y90" s="32" t="str">
        <f t="shared" si="24"/>
        <v>个</v>
      </c>
      <c r="Z90" s="14"/>
      <c r="AA90" s="15"/>
      <c r="AB90" s="35"/>
    </row>
    <row r="91" spans="1:28" s="45" customFormat="1" ht="19.899999999999999" customHeight="1" x14ac:dyDescent="0.3">
      <c r="A91" s="34">
        <v>88</v>
      </c>
      <c r="B91" s="12" t="s">
        <v>562</v>
      </c>
      <c r="C91" s="29" t="s">
        <v>0</v>
      </c>
      <c r="D91" s="32" t="str">
        <f t="shared" si="20"/>
        <v>专用物耗</v>
      </c>
      <c r="E91" s="16"/>
      <c r="F91" s="14" t="s">
        <v>2175</v>
      </c>
      <c r="G91" s="15"/>
      <c r="H91" s="15"/>
      <c r="I91" s="15"/>
      <c r="J91" s="29" t="s">
        <v>821</v>
      </c>
      <c r="K91" s="18">
        <v>5</v>
      </c>
      <c r="L91" s="29" t="s">
        <v>823</v>
      </c>
      <c r="M91" s="32" t="str">
        <f t="shared" si="21"/>
        <v>常规</v>
      </c>
      <c r="N91" s="18" t="s">
        <v>563</v>
      </c>
      <c r="O91" s="136" t="s">
        <v>2245</v>
      </c>
      <c r="P91" s="134" t="s">
        <v>2236</v>
      </c>
      <c r="Q91" s="141"/>
      <c r="R91" s="15"/>
      <c r="S91" s="15" t="s">
        <v>1261</v>
      </c>
      <c r="T91" s="15">
        <v>4</v>
      </c>
      <c r="U91" s="32" t="str">
        <f t="shared" si="22"/>
        <v>个</v>
      </c>
      <c r="V91" s="14"/>
      <c r="W91" s="35"/>
      <c r="X91" s="32">
        <f t="shared" si="23"/>
        <v>1</v>
      </c>
      <c r="Y91" s="32" t="str">
        <f t="shared" si="24"/>
        <v>个</v>
      </c>
      <c r="Z91" s="14"/>
      <c r="AA91" s="15"/>
      <c r="AB91" s="35"/>
    </row>
    <row r="92" spans="1:28" s="45" customFormat="1" ht="19.899999999999999" customHeight="1" x14ac:dyDescent="0.3">
      <c r="A92" s="34">
        <v>89</v>
      </c>
      <c r="B92" s="12" t="s">
        <v>564</v>
      </c>
      <c r="C92" s="29" t="s">
        <v>0</v>
      </c>
      <c r="D92" s="32" t="str">
        <f t="shared" si="20"/>
        <v>专用物耗</v>
      </c>
      <c r="E92" s="16"/>
      <c r="F92" s="14" t="s">
        <v>565</v>
      </c>
      <c r="G92" s="15"/>
      <c r="H92" s="15"/>
      <c r="I92" s="15"/>
      <c r="J92" s="29" t="s">
        <v>821</v>
      </c>
      <c r="K92" s="18">
        <v>1</v>
      </c>
      <c r="L92" s="29" t="s">
        <v>823</v>
      </c>
      <c r="M92" s="32" t="str">
        <f t="shared" si="21"/>
        <v>常规</v>
      </c>
      <c r="N92" s="18"/>
      <c r="O92" s="136" t="s">
        <v>2245</v>
      </c>
      <c r="P92" s="134" t="s">
        <v>2236</v>
      </c>
      <c r="Q92" s="141"/>
      <c r="R92" s="15"/>
      <c r="S92" s="15"/>
      <c r="T92" s="15"/>
      <c r="U92" s="32" t="str">
        <f t="shared" si="22"/>
        <v>个</v>
      </c>
      <c r="V92" s="14"/>
      <c r="W92" s="35"/>
      <c r="X92" s="32">
        <f t="shared" si="23"/>
        <v>1</v>
      </c>
      <c r="Y92" s="32" t="str">
        <f t="shared" si="24"/>
        <v>个</v>
      </c>
      <c r="Z92" s="14"/>
      <c r="AA92" s="15"/>
      <c r="AB92" s="35"/>
    </row>
    <row r="93" spans="1:28" s="45" customFormat="1" ht="19.899999999999999" customHeight="1" x14ac:dyDescent="0.3">
      <c r="A93" s="34">
        <v>90</v>
      </c>
      <c r="B93" s="20" t="s">
        <v>566</v>
      </c>
      <c r="C93" s="29" t="s">
        <v>0</v>
      </c>
      <c r="D93" s="32" t="str">
        <f t="shared" si="20"/>
        <v>专用物耗</v>
      </c>
      <c r="E93" s="16"/>
      <c r="F93" s="23" t="s">
        <v>567</v>
      </c>
      <c r="G93" s="15"/>
      <c r="H93" s="15"/>
      <c r="I93" s="15"/>
      <c r="J93" s="29" t="s">
        <v>821</v>
      </c>
      <c r="K93" s="18">
        <v>5</v>
      </c>
      <c r="L93" s="37" t="s">
        <v>834</v>
      </c>
      <c r="M93" s="32" t="str">
        <f t="shared" si="21"/>
        <v>常规</v>
      </c>
      <c r="N93" s="40"/>
      <c r="O93" s="136" t="s">
        <v>2245</v>
      </c>
      <c r="P93" s="134" t="s">
        <v>2239</v>
      </c>
      <c r="Q93" s="141"/>
      <c r="R93" s="15"/>
      <c r="S93" s="15"/>
      <c r="T93" s="15"/>
      <c r="U93" s="32" t="str">
        <f t="shared" si="22"/>
        <v>副</v>
      </c>
      <c r="V93" s="14"/>
      <c r="W93" s="35"/>
      <c r="X93" s="32">
        <f t="shared" si="23"/>
        <v>5</v>
      </c>
      <c r="Y93" s="32" t="str">
        <f t="shared" si="24"/>
        <v>副</v>
      </c>
      <c r="Z93" s="14"/>
      <c r="AA93" s="15"/>
      <c r="AB93" s="35"/>
    </row>
    <row r="94" spans="1:28" s="173" customFormat="1" ht="19.899999999999999" customHeight="1" x14ac:dyDescent="0.3">
      <c r="A94" s="163">
        <v>91</v>
      </c>
      <c r="B94" s="164" t="s">
        <v>568</v>
      </c>
      <c r="C94" s="165" t="s">
        <v>0</v>
      </c>
      <c r="D94" s="166" t="str">
        <f t="shared" si="20"/>
        <v>专用物耗</v>
      </c>
      <c r="E94" s="164"/>
      <c r="F94" s="164"/>
      <c r="G94" s="167"/>
      <c r="H94" s="167"/>
      <c r="I94" s="167"/>
      <c r="J94" s="165" t="s">
        <v>821</v>
      </c>
      <c r="K94" s="168">
        <v>3</v>
      </c>
      <c r="L94" s="189" t="s">
        <v>834</v>
      </c>
      <c r="M94" s="166" t="str">
        <f t="shared" si="21"/>
        <v>常规</v>
      </c>
      <c r="N94" s="168"/>
      <c r="O94" s="180" t="s">
        <v>2245</v>
      </c>
      <c r="P94" s="170" t="s">
        <v>2239</v>
      </c>
      <c r="Q94" s="171"/>
      <c r="R94" s="167"/>
      <c r="S94" s="167" t="s">
        <v>1051</v>
      </c>
      <c r="T94" s="167">
        <v>3</v>
      </c>
      <c r="U94" s="166" t="str">
        <f t="shared" si="22"/>
        <v>副</v>
      </c>
      <c r="V94" s="168"/>
      <c r="W94" s="172"/>
      <c r="X94" s="166" t="str">
        <f t="shared" si="23"/>
        <v/>
      </c>
      <c r="Y94" s="166" t="str">
        <f t="shared" si="24"/>
        <v>副</v>
      </c>
      <c r="Z94" s="168"/>
      <c r="AA94" s="167"/>
      <c r="AB94" s="172"/>
    </row>
    <row r="95" spans="1:28" s="45" customFormat="1" ht="19.899999999999999" customHeight="1" x14ac:dyDescent="0.3">
      <c r="A95" s="34">
        <v>92</v>
      </c>
      <c r="B95" s="20" t="s">
        <v>569</v>
      </c>
      <c r="C95" s="29" t="s">
        <v>0</v>
      </c>
      <c r="D95" s="32" t="str">
        <f t="shared" si="20"/>
        <v>专用物耗</v>
      </c>
      <c r="E95" s="16"/>
      <c r="F95" s="23" t="s">
        <v>76</v>
      </c>
      <c r="G95" s="15"/>
      <c r="H95" s="15"/>
      <c r="I95" s="15"/>
      <c r="J95" s="29" t="s">
        <v>821</v>
      </c>
      <c r="K95" s="18">
        <v>27</v>
      </c>
      <c r="L95" s="29" t="s">
        <v>825</v>
      </c>
      <c r="M95" s="32" t="str">
        <f t="shared" si="21"/>
        <v>常规</v>
      </c>
      <c r="N95" s="18"/>
      <c r="O95" s="136" t="s">
        <v>2245</v>
      </c>
      <c r="P95" s="134" t="s">
        <v>2239</v>
      </c>
      <c r="Q95" s="141"/>
      <c r="R95" s="15"/>
      <c r="S95" s="15" t="s">
        <v>2227</v>
      </c>
      <c r="T95" s="15">
        <v>3</v>
      </c>
      <c r="U95" s="32" t="str">
        <f t="shared" si="22"/>
        <v>袋</v>
      </c>
      <c r="V95" s="14"/>
      <c r="W95" s="35"/>
      <c r="X95" s="32">
        <f t="shared" si="23"/>
        <v>24</v>
      </c>
      <c r="Y95" s="32" t="str">
        <f t="shared" si="24"/>
        <v>袋</v>
      </c>
      <c r="Z95" s="14"/>
      <c r="AA95" s="15"/>
      <c r="AB95" s="35"/>
    </row>
    <row r="96" spans="1:28" s="173" customFormat="1" ht="19.899999999999999" customHeight="1" x14ac:dyDescent="0.3">
      <c r="A96" s="163">
        <v>93</v>
      </c>
      <c r="B96" s="164" t="s">
        <v>570</v>
      </c>
      <c r="C96" s="165" t="s">
        <v>0</v>
      </c>
      <c r="D96" s="166" t="str">
        <f t="shared" si="20"/>
        <v>专用物耗</v>
      </c>
      <c r="E96" s="164"/>
      <c r="F96" s="164" t="s">
        <v>571</v>
      </c>
      <c r="G96" s="167"/>
      <c r="H96" s="167"/>
      <c r="I96" s="167"/>
      <c r="J96" s="165" t="s">
        <v>821</v>
      </c>
      <c r="K96" s="168">
        <v>2</v>
      </c>
      <c r="L96" s="165" t="s">
        <v>826</v>
      </c>
      <c r="M96" s="166" t="str">
        <f t="shared" si="21"/>
        <v>常规</v>
      </c>
      <c r="N96" s="168"/>
      <c r="O96" s="180" t="s">
        <v>2245</v>
      </c>
      <c r="P96" s="170" t="s">
        <v>2239</v>
      </c>
      <c r="Q96" s="171"/>
      <c r="R96" s="167"/>
      <c r="S96" s="167" t="s">
        <v>2154</v>
      </c>
      <c r="T96" s="167">
        <v>2</v>
      </c>
      <c r="U96" s="166" t="str">
        <f t="shared" si="22"/>
        <v>盒</v>
      </c>
      <c r="V96" s="168"/>
      <c r="W96" s="172"/>
      <c r="X96" s="166" t="str">
        <f t="shared" si="23"/>
        <v/>
      </c>
      <c r="Y96" s="166" t="str">
        <f t="shared" si="24"/>
        <v>盒</v>
      </c>
      <c r="Z96" s="168"/>
      <c r="AA96" s="167"/>
      <c r="AB96" s="172"/>
    </row>
    <row r="97" spans="1:28" s="173" customFormat="1" ht="19.899999999999999" customHeight="1" x14ac:dyDescent="0.3">
      <c r="A97" s="163">
        <v>94</v>
      </c>
      <c r="B97" s="164" t="s">
        <v>572</v>
      </c>
      <c r="C97" s="165" t="s">
        <v>0</v>
      </c>
      <c r="D97" s="166" t="str">
        <f t="shared" si="20"/>
        <v>专用物耗</v>
      </c>
      <c r="E97" s="164"/>
      <c r="F97" s="164" t="s">
        <v>573</v>
      </c>
      <c r="G97" s="167"/>
      <c r="H97" s="167"/>
      <c r="I97" s="167"/>
      <c r="J97" s="165" t="s">
        <v>821</v>
      </c>
      <c r="K97" s="167">
        <v>5.38</v>
      </c>
      <c r="L97" s="165" t="s">
        <v>826</v>
      </c>
      <c r="M97" s="166" t="str">
        <f t="shared" si="21"/>
        <v>常规</v>
      </c>
      <c r="N97" s="181"/>
      <c r="O97" s="180" t="s">
        <v>2245</v>
      </c>
      <c r="P97" s="170" t="s">
        <v>2239</v>
      </c>
      <c r="Q97" s="171"/>
      <c r="R97" s="167"/>
      <c r="S97" s="174" t="s">
        <v>2166</v>
      </c>
      <c r="T97" s="167">
        <v>5.38</v>
      </c>
      <c r="U97" s="166" t="str">
        <f t="shared" si="22"/>
        <v>盒</v>
      </c>
      <c r="V97" s="168"/>
      <c r="W97" s="172"/>
      <c r="X97" s="166" t="str">
        <f t="shared" si="23"/>
        <v/>
      </c>
      <c r="Y97" s="166" t="str">
        <f t="shared" si="24"/>
        <v>盒</v>
      </c>
      <c r="Z97" s="168"/>
      <c r="AA97" s="167"/>
      <c r="AB97" s="187"/>
    </row>
    <row r="98" spans="1:28" s="173" customFormat="1" ht="19.899999999999999" customHeight="1" x14ac:dyDescent="0.3">
      <c r="A98" s="163">
        <v>95</v>
      </c>
      <c r="B98" s="164" t="s">
        <v>574</v>
      </c>
      <c r="C98" s="165" t="s">
        <v>0</v>
      </c>
      <c r="D98" s="166" t="str">
        <f t="shared" si="20"/>
        <v>专用物耗</v>
      </c>
      <c r="E98" s="164"/>
      <c r="F98" s="168" t="s">
        <v>575</v>
      </c>
      <c r="G98" s="167"/>
      <c r="H98" s="167"/>
      <c r="I98" s="167"/>
      <c r="J98" s="165" t="s">
        <v>821</v>
      </c>
      <c r="K98" s="188">
        <v>3</v>
      </c>
      <c r="L98" s="165" t="s">
        <v>835</v>
      </c>
      <c r="M98" s="166" t="str">
        <f t="shared" si="21"/>
        <v>常规</v>
      </c>
      <c r="N98" s="181"/>
      <c r="O98" s="180" t="s">
        <v>2245</v>
      </c>
      <c r="P98" s="170" t="s">
        <v>2239</v>
      </c>
      <c r="Q98" s="171"/>
      <c r="R98" s="167"/>
      <c r="S98" s="167" t="s">
        <v>993</v>
      </c>
      <c r="T98" s="167">
        <v>3</v>
      </c>
      <c r="U98" s="166" t="str">
        <f t="shared" si="22"/>
        <v>付</v>
      </c>
      <c r="V98" s="168"/>
      <c r="W98" s="172"/>
      <c r="X98" s="166" t="str">
        <f t="shared" si="23"/>
        <v/>
      </c>
      <c r="Y98" s="166" t="str">
        <f t="shared" si="24"/>
        <v>付</v>
      </c>
      <c r="Z98" s="168"/>
      <c r="AA98" s="167"/>
      <c r="AB98" s="172"/>
    </row>
    <row r="99" spans="1:28" s="45" customFormat="1" ht="19.899999999999999" customHeight="1" x14ac:dyDescent="0.3">
      <c r="A99" s="34">
        <v>96</v>
      </c>
      <c r="B99" s="20" t="s">
        <v>576</v>
      </c>
      <c r="C99" s="29" t="s">
        <v>0</v>
      </c>
      <c r="D99" s="32" t="str">
        <f t="shared" si="20"/>
        <v>专用物耗</v>
      </c>
      <c r="E99" s="14"/>
      <c r="F99" s="23" t="s">
        <v>1655</v>
      </c>
      <c r="G99" s="15"/>
      <c r="H99" s="15"/>
      <c r="I99" s="15"/>
      <c r="J99" s="29" t="s">
        <v>821</v>
      </c>
      <c r="K99" s="42">
        <v>16</v>
      </c>
      <c r="L99" s="37" t="s">
        <v>823</v>
      </c>
      <c r="M99" s="32" t="str">
        <f t="shared" si="21"/>
        <v>常规</v>
      </c>
      <c r="N99" s="25"/>
      <c r="O99" s="136" t="s">
        <v>2245</v>
      </c>
      <c r="P99" s="134" t="s">
        <v>2239</v>
      </c>
      <c r="Q99" s="141" t="s">
        <v>2519</v>
      </c>
      <c r="R99" s="15"/>
      <c r="S99" s="15"/>
      <c r="T99" s="15"/>
      <c r="U99" s="32" t="str">
        <f t="shared" si="22"/>
        <v>个</v>
      </c>
      <c r="V99" s="14"/>
      <c r="W99" s="35"/>
      <c r="X99" s="32">
        <f t="shared" si="23"/>
        <v>16</v>
      </c>
      <c r="Y99" s="32" t="str">
        <f t="shared" si="24"/>
        <v>个</v>
      </c>
      <c r="Z99" s="14"/>
      <c r="AA99" s="15"/>
      <c r="AB99" s="35"/>
    </row>
    <row r="100" spans="1:28" s="45" customFormat="1" ht="19.899999999999999" customHeight="1" x14ac:dyDescent="0.3">
      <c r="A100" s="34">
        <v>97</v>
      </c>
      <c r="B100" s="12" t="s">
        <v>577</v>
      </c>
      <c r="C100" s="29" t="s">
        <v>0</v>
      </c>
      <c r="D100" s="32" t="str">
        <f t="shared" si="20"/>
        <v>专用物耗</v>
      </c>
      <c r="E100" s="14" t="s">
        <v>256</v>
      </c>
      <c r="F100" s="14" t="s">
        <v>578</v>
      </c>
      <c r="G100" s="15"/>
      <c r="H100" s="15"/>
      <c r="I100" s="15" t="s">
        <v>3112</v>
      </c>
      <c r="J100" s="29" t="s">
        <v>821</v>
      </c>
      <c r="K100" s="16">
        <v>2</v>
      </c>
      <c r="L100" s="29" t="s">
        <v>823</v>
      </c>
      <c r="M100" s="32" t="str">
        <f t="shared" si="21"/>
        <v>常规</v>
      </c>
      <c r="N100" s="25"/>
      <c r="O100" s="135" t="s">
        <v>2246</v>
      </c>
      <c r="P100" s="134" t="s">
        <v>2236</v>
      </c>
      <c r="Q100" s="141"/>
      <c r="R100" s="15"/>
      <c r="S100" s="15"/>
      <c r="T100" s="15"/>
      <c r="U100" s="32" t="str">
        <f t="shared" si="22"/>
        <v>个</v>
      </c>
      <c r="V100" s="14"/>
      <c r="W100" s="35"/>
      <c r="X100" s="32">
        <f t="shared" si="23"/>
        <v>2</v>
      </c>
      <c r="Y100" s="32" t="str">
        <f t="shared" si="24"/>
        <v>个</v>
      </c>
      <c r="Z100" s="14"/>
      <c r="AA100" s="15"/>
      <c r="AB100" s="35" t="s">
        <v>3111</v>
      </c>
    </row>
    <row r="101" spans="1:28" s="45" customFormat="1" ht="19.899999999999999" customHeight="1" x14ac:dyDescent="0.3">
      <c r="A101" s="34">
        <v>98</v>
      </c>
      <c r="B101" s="12" t="s">
        <v>577</v>
      </c>
      <c r="C101" s="29" t="s">
        <v>0</v>
      </c>
      <c r="D101" s="32" t="str">
        <f t="shared" si="20"/>
        <v>专用物耗</v>
      </c>
      <c r="E101" s="14" t="s">
        <v>256</v>
      </c>
      <c r="F101" s="14" t="s">
        <v>579</v>
      </c>
      <c r="G101" s="15"/>
      <c r="H101" s="15"/>
      <c r="I101" s="15"/>
      <c r="J101" s="29" t="s">
        <v>821</v>
      </c>
      <c r="K101" s="16">
        <v>3</v>
      </c>
      <c r="L101" s="29" t="s">
        <v>823</v>
      </c>
      <c r="M101" s="32" t="str">
        <f t="shared" si="21"/>
        <v>常规</v>
      </c>
      <c r="N101" s="25"/>
      <c r="O101" s="135" t="s">
        <v>2246</v>
      </c>
      <c r="P101" s="134" t="s">
        <v>2236</v>
      </c>
      <c r="Q101" s="141"/>
      <c r="R101" s="15"/>
      <c r="S101" s="15"/>
      <c r="T101" s="15"/>
      <c r="U101" s="32" t="str">
        <f t="shared" si="22"/>
        <v>个</v>
      </c>
      <c r="V101" s="14"/>
      <c r="W101" s="35"/>
      <c r="X101" s="32">
        <f t="shared" si="23"/>
        <v>3</v>
      </c>
      <c r="Y101" s="32" t="str">
        <f t="shared" si="24"/>
        <v>个</v>
      </c>
      <c r="Z101" s="14"/>
      <c r="AA101" s="15"/>
      <c r="AB101" s="35"/>
    </row>
    <row r="102" spans="1:28" s="45" customFormat="1" ht="19.899999999999999" customHeight="1" x14ac:dyDescent="0.3">
      <c r="A102" s="34">
        <v>99</v>
      </c>
      <c r="B102" s="12" t="s">
        <v>577</v>
      </c>
      <c r="C102" s="29" t="s">
        <v>0</v>
      </c>
      <c r="D102" s="32" t="str">
        <f t="shared" si="20"/>
        <v>专用物耗</v>
      </c>
      <c r="E102" s="14" t="s">
        <v>256</v>
      </c>
      <c r="F102" s="14" t="s">
        <v>580</v>
      </c>
      <c r="G102" s="15"/>
      <c r="H102" s="15"/>
      <c r="I102" s="15"/>
      <c r="J102" s="29" t="s">
        <v>821</v>
      </c>
      <c r="K102" s="16">
        <v>1</v>
      </c>
      <c r="L102" s="29" t="s">
        <v>823</v>
      </c>
      <c r="M102" s="32" t="str">
        <f t="shared" si="21"/>
        <v>常规</v>
      </c>
      <c r="N102" s="25"/>
      <c r="O102" s="135" t="s">
        <v>2246</v>
      </c>
      <c r="P102" s="134" t="s">
        <v>2236</v>
      </c>
      <c r="Q102" s="141"/>
      <c r="R102" s="15"/>
      <c r="S102" s="15"/>
      <c r="T102" s="15"/>
      <c r="U102" s="32" t="str">
        <f t="shared" si="22"/>
        <v>个</v>
      </c>
      <c r="V102" s="14"/>
      <c r="W102" s="35"/>
      <c r="X102" s="32">
        <f t="shared" si="23"/>
        <v>1</v>
      </c>
      <c r="Y102" s="32" t="str">
        <f t="shared" si="24"/>
        <v>个</v>
      </c>
      <c r="Z102" s="14"/>
      <c r="AA102" s="15"/>
      <c r="AB102" s="35"/>
    </row>
    <row r="103" spans="1:28" s="45" customFormat="1" ht="19.899999999999999" customHeight="1" x14ac:dyDescent="0.3">
      <c r="A103" s="34">
        <v>100</v>
      </c>
      <c r="B103" s="12" t="s">
        <v>577</v>
      </c>
      <c r="C103" s="29" t="s">
        <v>0</v>
      </c>
      <c r="D103" s="32" t="str">
        <f t="shared" si="20"/>
        <v>专用物耗</v>
      </c>
      <c r="E103" s="14" t="s">
        <v>256</v>
      </c>
      <c r="F103" s="14" t="s">
        <v>581</v>
      </c>
      <c r="G103" s="15"/>
      <c r="H103" s="15"/>
      <c r="I103" s="15"/>
      <c r="J103" s="29" t="s">
        <v>821</v>
      </c>
      <c r="K103" s="16">
        <v>1</v>
      </c>
      <c r="L103" s="29" t="s">
        <v>823</v>
      </c>
      <c r="M103" s="32" t="str">
        <f t="shared" si="21"/>
        <v>常规</v>
      </c>
      <c r="N103" s="25"/>
      <c r="O103" s="135" t="s">
        <v>2246</v>
      </c>
      <c r="P103" s="134" t="s">
        <v>2236</v>
      </c>
      <c r="Q103" s="141"/>
      <c r="R103" s="15"/>
      <c r="S103" s="15"/>
      <c r="T103" s="15"/>
      <c r="U103" s="32" t="str">
        <f t="shared" si="22"/>
        <v>个</v>
      </c>
      <c r="V103" s="14"/>
      <c r="W103" s="35"/>
      <c r="X103" s="32">
        <f t="shared" si="23"/>
        <v>1</v>
      </c>
      <c r="Y103" s="32" t="str">
        <f t="shared" si="24"/>
        <v>个</v>
      </c>
      <c r="Z103" s="14"/>
      <c r="AA103" s="15"/>
      <c r="AB103" s="35"/>
    </row>
    <row r="104" spans="1:28" s="173" customFormat="1" ht="19.899999999999999" customHeight="1" x14ac:dyDescent="0.3">
      <c r="A104" s="163">
        <v>101</v>
      </c>
      <c r="B104" s="164" t="s">
        <v>577</v>
      </c>
      <c r="C104" s="165" t="s">
        <v>0</v>
      </c>
      <c r="D104" s="166" t="str">
        <f t="shared" si="20"/>
        <v>专用物耗</v>
      </c>
      <c r="E104" s="168" t="s">
        <v>256</v>
      </c>
      <c r="F104" s="168" t="s">
        <v>582</v>
      </c>
      <c r="G104" s="167"/>
      <c r="H104" s="167"/>
      <c r="I104" s="167"/>
      <c r="J104" s="165" t="s">
        <v>821</v>
      </c>
      <c r="K104" s="164">
        <v>1</v>
      </c>
      <c r="L104" s="165" t="s">
        <v>823</v>
      </c>
      <c r="M104" s="166" t="str">
        <f t="shared" si="21"/>
        <v>常规</v>
      </c>
      <c r="N104" s="181"/>
      <c r="O104" s="180" t="s">
        <v>2246</v>
      </c>
      <c r="P104" s="170" t="s">
        <v>2236</v>
      </c>
      <c r="Q104" s="171"/>
      <c r="R104" s="167"/>
      <c r="S104" s="167" t="s">
        <v>3110</v>
      </c>
      <c r="T104" s="167">
        <v>1</v>
      </c>
      <c r="U104" s="166" t="str">
        <f t="shared" si="22"/>
        <v>个</v>
      </c>
      <c r="V104" s="168"/>
      <c r="W104" s="172"/>
      <c r="X104" s="166" t="str">
        <f t="shared" si="23"/>
        <v/>
      </c>
      <c r="Y104" s="166" t="str">
        <f t="shared" si="24"/>
        <v>个</v>
      </c>
      <c r="Z104" s="168"/>
      <c r="AA104" s="167"/>
      <c r="AB104" s="172" t="s">
        <v>3113</v>
      </c>
    </row>
    <row r="105" spans="1:28" s="45" customFormat="1" ht="19.899999999999999" customHeight="1" x14ac:dyDescent="0.3">
      <c r="A105" s="34">
        <v>102</v>
      </c>
      <c r="B105" s="12" t="s">
        <v>577</v>
      </c>
      <c r="C105" s="29" t="s">
        <v>0</v>
      </c>
      <c r="D105" s="32" t="str">
        <f t="shared" si="20"/>
        <v>专用物耗</v>
      </c>
      <c r="E105" s="14" t="s">
        <v>256</v>
      </c>
      <c r="F105" s="14" t="s">
        <v>583</v>
      </c>
      <c r="G105" s="15"/>
      <c r="H105" s="15"/>
      <c r="I105" s="15"/>
      <c r="J105" s="29" t="s">
        <v>821</v>
      </c>
      <c r="K105" s="16">
        <v>1</v>
      </c>
      <c r="L105" s="29" t="s">
        <v>823</v>
      </c>
      <c r="M105" s="32" t="str">
        <f t="shared" si="21"/>
        <v>常规</v>
      </c>
      <c r="N105" s="25"/>
      <c r="O105" s="135" t="s">
        <v>2246</v>
      </c>
      <c r="P105" s="134" t="s">
        <v>2236</v>
      </c>
      <c r="Q105" s="141"/>
      <c r="R105" s="15"/>
      <c r="S105" s="15"/>
      <c r="T105" s="15"/>
      <c r="U105" s="32" t="str">
        <f t="shared" si="22"/>
        <v>个</v>
      </c>
      <c r="V105" s="14"/>
      <c r="W105" s="35"/>
      <c r="X105" s="32">
        <f t="shared" si="23"/>
        <v>1</v>
      </c>
      <c r="Y105" s="32" t="str">
        <f t="shared" si="24"/>
        <v>个</v>
      </c>
      <c r="Z105" s="14"/>
      <c r="AA105" s="15"/>
      <c r="AB105" s="35"/>
    </row>
    <row r="106" spans="1:28" s="45" customFormat="1" ht="19.899999999999999" customHeight="1" x14ac:dyDescent="0.3">
      <c r="A106" s="34">
        <v>103</v>
      </c>
      <c r="B106" s="12" t="s">
        <v>584</v>
      </c>
      <c r="C106" s="29" t="s">
        <v>0</v>
      </c>
      <c r="D106" s="32" t="str">
        <f t="shared" si="20"/>
        <v>专用物耗</v>
      </c>
      <c r="E106" s="14"/>
      <c r="F106" s="14" t="s">
        <v>20</v>
      </c>
      <c r="G106" s="15"/>
      <c r="H106" s="15"/>
      <c r="I106" s="15"/>
      <c r="J106" s="29" t="s">
        <v>1619</v>
      </c>
      <c r="K106" s="18">
        <v>11</v>
      </c>
      <c r="L106" s="29" t="s">
        <v>823</v>
      </c>
      <c r="M106" s="32" t="str">
        <f t="shared" si="21"/>
        <v>常规</v>
      </c>
      <c r="N106" s="25" t="s">
        <v>585</v>
      </c>
      <c r="O106" s="135" t="s">
        <v>2246</v>
      </c>
      <c r="P106" s="134" t="s">
        <v>2236</v>
      </c>
      <c r="Q106" s="141"/>
      <c r="R106" s="15"/>
      <c r="S106" s="15"/>
      <c r="T106" s="15"/>
      <c r="U106" s="32" t="str">
        <f t="shared" si="22"/>
        <v>个</v>
      </c>
      <c r="V106" s="14"/>
      <c r="W106" s="35"/>
      <c r="X106" s="32">
        <f t="shared" si="23"/>
        <v>11</v>
      </c>
      <c r="Y106" s="32" t="str">
        <f t="shared" si="24"/>
        <v>个</v>
      </c>
      <c r="Z106" s="14"/>
      <c r="AA106" s="15"/>
      <c r="AB106" s="35"/>
    </row>
    <row r="107" spans="1:28" s="173" customFormat="1" ht="19.899999999999999" customHeight="1" x14ac:dyDescent="0.3">
      <c r="A107" s="163">
        <v>104</v>
      </c>
      <c r="B107" s="181" t="s">
        <v>586</v>
      </c>
      <c r="C107" s="165" t="s">
        <v>0</v>
      </c>
      <c r="D107" s="166" t="str">
        <f t="shared" si="20"/>
        <v>专用物耗</v>
      </c>
      <c r="E107" s="164"/>
      <c r="F107" s="241" t="s">
        <v>587</v>
      </c>
      <c r="G107" s="167"/>
      <c r="H107" s="167"/>
      <c r="I107" s="167"/>
      <c r="J107" s="165" t="s">
        <v>821</v>
      </c>
      <c r="K107" s="168">
        <v>1</v>
      </c>
      <c r="L107" s="165" t="s">
        <v>826</v>
      </c>
      <c r="M107" s="166" t="str">
        <f t="shared" si="21"/>
        <v>常规</v>
      </c>
      <c r="N107" s="242"/>
      <c r="O107" s="169" t="s">
        <v>2248</v>
      </c>
      <c r="P107" s="170" t="s">
        <v>2238</v>
      </c>
      <c r="Q107" s="171"/>
      <c r="R107" s="167"/>
      <c r="S107" s="167" t="s">
        <v>2111</v>
      </c>
      <c r="T107" s="167">
        <v>1</v>
      </c>
      <c r="U107" s="166" t="str">
        <f t="shared" si="22"/>
        <v>盒</v>
      </c>
      <c r="V107" s="168"/>
      <c r="W107" s="172"/>
      <c r="X107" s="166" t="str">
        <f t="shared" si="23"/>
        <v/>
      </c>
      <c r="Y107" s="166" t="str">
        <f t="shared" si="24"/>
        <v>盒</v>
      </c>
      <c r="Z107" s="168"/>
      <c r="AA107" s="167"/>
      <c r="AB107" s="172"/>
    </row>
    <row r="108" spans="1:28" s="45" customFormat="1" ht="19.899999999999999" customHeight="1" x14ac:dyDescent="0.3">
      <c r="A108" s="34">
        <v>105</v>
      </c>
      <c r="B108" s="20" t="s">
        <v>588</v>
      </c>
      <c r="C108" s="29" t="s">
        <v>0</v>
      </c>
      <c r="D108" s="32" t="str">
        <f t="shared" si="20"/>
        <v>专用物耗</v>
      </c>
      <c r="E108" s="16"/>
      <c r="F108" s="23" t="s">
        <v>589</v>
      </c>
      <c r="G108" s="15"/>
      <c r="H108" s="15"/>
      <c r="I108" s="15"/>
      <c r="J108" s="29" t="s">
        <v>821</v>
      </c>
      <c r="K108" s="18">
        <v>1</v>
      </c>
      <c r="L108" s="29" t="s">
        <v>822</v>
      </c>
      <c r="M108" s="32" t="str">
        <f t="shared" si="21"/>
        <v>常规</v>
      </c>
      <c r="N108" s="40"/>
      <c r="O108" s="137" t="s">
        <v>2248</v>
      </c>
      <c r="P108" s="134" t="s">
        <v>2238</v>
      </c>
      <c r="Q108" s="141"/>
      <c r="R108" s="15"/>
      <c r="S108" s="15"/>
      <c r="T108" s="15"/>
      <c r="U108" s="32" t="str">
        <f t="shared" si="22"/>
        <v>只</v>
      </c>
      <c r="V108" s="14"/>
      <c r="W108" s="35"/>
      <c r="X108" s="32">
        <f t="shared" si="23"/>
        <v>1</v>
      </c>
      <c r="Y108" s="32" t="str">
        <f t="shared" si="24"/>
        <v>只</v>
      </c>
      <c r="Z108" s="14"/>
      <c r="AA108" s="15"/>
      <c r="AB108" s="35"/>
    </row>
    <row r="109" spans="1:28" s="45" customFormat="1" ht="19.899999999999999" customHeight="1" x14ac:dyDescent="0.3">
      <c r="A109" s="34">
        <v>106</v>
      </c>
      <c r="B109" s="12" t="s">
        <v>590</v>
      </c>
      <c r="C109" s="29" t="s">
        <v>0</v>
      </c>
      <c r="D109" s="32" t="str">
        <f t="shared" si="20"/>
        <v>专用物耗</v>
      </c>
      <c r="E109" s="16"/>
      <c r="F109" s="14" t="s">
        <v>591</v>
      </c>
      <c r="G109" s="15"/>
      <c r="H109" s="15"/>
      <c r="I109" s="15"/>
      <c r="J109" s="29" t="s">
        <v>821</v>
      </c>
      <c r="K109" s="18">
        <v>140</v>
      </c>
      <c r="L109" s="29" t="s">
        <v>823</v>
      </c>
      <c r="M109" s="32" t="str">
        <f t="shared" si="21"/>
        <v>常规</v>
      </c>
      <c r="N109" s="18" t="s">
        <v>592</v>
      </c>
      <c r="O109" s="137" t="s">
        <v>2248</v>
      </c>
      <c r="P109" s="134" t="s">
        <v>2238</v>
      </c>
      <c r="Q109" s="141"/>
      <c r="R109" s="15"/>
      <c r="S109" s="15"/>
      <c r="T109" s="15"/>
      <c r="U109" s="32" t="str">
        <f t="shared" si="22"/>
        <v>个</v>
      </c>
      <c r="V109" s="14"/>
      <c r="W109" s="35"/>
      <c r="X109" s="32">
        <f t="shared" si="23"/>
        <v>140</v>
      </c>
      <c r="Y109" s="32" t="str">
        <f t="shared" si="24"/>
        <v>个</v>
      </c>
      <c r="Z109" s="14"/>
      <c r="AA109" s="15"/>
      <c r="AB109" s="35"/>
    </row>
    <row r="110" spans="1:28" s="45" customFormat="1" ht="19.899999999999999" customHeight="1" x14ac:dyDescent="0.3">
      <c r="A110" s="34">
        <v>107</v>
      </c>
      <c r="B110" s="12" t="s">
        <v>593</v>
      </c>
      <c r="C110" s="29" t="s">
        <v>0</v>
      </c>
      <c r="D110" s="32" t="str">
        <f t="shared" si="20"/>
        <v>专用物耗</v>
      </c>
      <c r="E110" s="16"/>
      <c r="F110" s="14" t="s">
        <v>594</v>
      </c>
      <c r="G110" s="15"/>
      <c r="H110" s="15"/>
      <c r="I110" s="15"/>
      <c r="J110" s="29" t="s">
        <v>821</v>
      </c>
      <c r="K110" s="18">
        <v>2</v>
      </c>
      <c r="L110" s="29" t="s">
        <v>823</v>
      </c>
      <c r="M110" s="32" t="str">
        <f t="shared" si="21"/>
        <v>常规</v>
      </c>
      <c r="N110" s="18"/>
      <c r="O110" s="137" t="s">
        <v>2248</v>
      </c>
      <c r="P110" s="134" t="s">
        <v>2238</v>
      </c>
      <c r="Q110" s="141"/>
      <c r="R110" s="15"/>
      <c r="S110" s="15"/>
      <c r="T110" s="15"/>
      <c r="U110" s="32" t="str">
        <f t="shared" si="22"/>
        <v>个</v>
      </c>
      <c r="V110" s="14"/>
      <c r="W110" s="35"/>
      <c r="X110" s="32">
        <f t="shared" si="23"/>
        <v>2</v>
      </c>
      <c r="Y110" s="32" t="str">
        <f t="shared" si="24"/>
        <v>个</v>
      </c>
      <c r="Z110" s="14"/>
      <c r="AA110" s="15"/>
      <c r="AB110" s="35"/>
    </row>
    <row r="111" spans="1:28" s="45" customFormat="1" ht="19.899999999999999" customHeight="1" x14ac:dyDescent="0.3">
      <c r="A111" s="34">
        <v>108</v>
      </c>
      <c r="B111" s="89" t="s">
        <v>3019</v>
      </c>
      <c r="C111" s="29" t="s">
        <v>0</v>
      </c>
      <c r="D111" s="32" t="s">
        <v>150</v>
      </c>
      <c r="E111" s="309" t="s">
        <v>3016</v>
      </c>
      <c r="F111" s="14" t="s">
        <v>3017</v>
      </c>
      <c r="G111" s="15"/>
      <c r="H111" s="15"/>
      <c r="I111" s="15"/>
      <c r="J111" s="29" t="s">
        <v>1589</v>
      </c>
      <c r="K111" s="18">
        <v>4</v>
      </c>
      <c r="L111" s="29" t="s">
        <v>2520</v>
      </c>
      <c r="M111" s="32" t="s">
        <v>2474</v>
      </c>
      <c r="N111" s="18"/>
      <c r="O111" s="137" t="s">
        <v>2477</v>
      </c>
      <c r="P111" s="134" t="s">
        <v>2478</v>
      </c>
      <c r="Q111" s="141"/>
      <c r="R111" s="15"/>
      <c r="S111" s="15"/>
      <c r="T111" s="15"/>
      <c r="U111" s="32" t="str">
        <f t="shared" si="22"/>
        <v>把</v>
      </c>
      <c r="V111" s="14"/>
      <c r="W111" s="35"/>
      <c r="X111" s="32">
        <f t="shared" si="23"/>
        <v>4</v>
      </c>
      <c r="Y111" s="32" t="str">
        <f t="shared" si="24"/>
        <v>把</v>
      </c>
      <c r="Z111" s="14"/>
      <c r="AA111" s="15"/>
      <c r="AB111" s="35"/>
    </row>
    <row r="112" spans="1:28" s="45" customFormat="1" ht="19.899999999999999" customHeight="1" x14ac:dyDescent="0.3">
      <c r="A112" s="34">
        <v>109</v>
      </c>
      <c r="B112" s="12" t="s">
        <v>3018</v>
      </c>
      <c r="C112" s="29" t="s">
        <v>0</v>
      </c>
      <c r="D112" s="32" t="str">
        <f t="shared" si="20"/>
        <v>专用物耗</v>
      </c>
      <c r="E112" s="16"/>
      <c r="F112" s="14" t="s">
        <v>595</v>
      </c>
      <c r="G112" s="15"/>
      <c r="H112" s="15"/>
      <c r="I112" s="15"/>
      <c r="J112" s="29" t="s">
        <v>821</v>
      </c>
      <c r="K112" s="18">
        <v>1</v>
      </c>
      <c r="L112" s="29" t="s">
        <v>823</v>
      </c>
      <c r="M112" s="32" t="str">
        <f t="shared" si="21"/>
        <v>常规</v>
      </c>
      <c r="N112" s="18"/>
      <c r="O112" s="137" t="s">
        <v>2248</v>
      </c>
      <c r="P112" s="134" t="s">
        <v>2238</v>
      </c>
      <c r="Q112" s="141"/>
      <c r="R112" s="15"/>
      <c r="S112" s="15"/>
      <c r="T112" s="15"/>
      <c r="U112" s="32" t="str">
        <f t="shared" si="22"/>
        <v>个</v>
      </c>
      <c r="V112" s="14"/>
      <c r="W112" s="35"/>
      <c r="X112" s="32">
        <f t="shared" si="23"/>
        <v>1</v>
      </c>
      <c r="Y112" s="32" t="str">
        <f t="shared" si="24"/>
        <v>个</v>
      </c>
      <c r="Z112" s="14"/>
      <c r="AA112" s="15"/>
      <c r="AB112" s="35"/>
    </row>
    <row r="113" spans="1:28" s="45" customFormat="1" ht="19.899999999999999" customHeight="1" x14ac:dyDescent="0.3">
      <c r="A113" s="34">
        <v>110</v>
      </c>
      <c r="B113" s="12" t="s">
        <v>596</v>
      </c>
      <c r="C113" s="29" t="s">
        <v>0</v>
      </c>
      <c r="D113" s="32" t="str">
        <f t="shared" si="20"/>
        <v>专用物耗</v>
      </c>
      <c r="E113" s="309" t="s">
        <v>3089</v>
      </c>
      <c r="F113" s="14" t="s">
        <v>77</v>
      </c>
      <c r="G113" s="15"/>
      <c r="H113" s="15"/>
      <c r="I113" s="15"/>
      <c r="J113" s="29" t="s">
        <v>821</v>
      </c>
      <c r="K113" s="18">
        <v>1</v>
      </c>
      <c r="L113" s="29" t="s">
        <v>823</v>
      </c>
      <c r="M113" s="32" t="str">
        <f t="shared" si="21"/>
        <v>常规</v>
      </c>
      <c r="N113" s="18"/>
      <c r="O113" s="137" t="s">
        <v>2248</v>
      </c>
      <c r="P113" s="134" t="s">
        <v>2238</v>
      </c>
      <c r="Q113" s="141"/>
      <c r="R113" s="15"/>
      <c r="S113" s="15"/>
      <c r="T113" s="15"/>
      <c r="U113" s="32" t="str">
        <f t="shared" si="22"/>
        <v>个</v>
      </c>
      <c r="V113" s="14"/>
      <c r="W113" s="35"/>
      <c r="X113" s="32">
        <f t="shared" si="23"/>
        <v>1</v>
      </c>
      <c r="Y113" s="32" t="str">
        <f t="shared" si="24"/>
        <v>个</v>
      </c>
      <c r="Z113" s="14"/>
      <c r="AA113" s="15"/>
      <c r="AB113" s="35"/>
    </row>
    <row r="114" spans="1:28" s="45" customFormat="1" ht="19.899999999999999" customHeight="1" x14ac:dyDescent="0.3">
      <c r="A114" s="34">
        <v>111</v>
      </c>
      <c r="B114" s="12" t="s">
        <v>597</v>
      </c>
      <c r="C114" s="29" t="s">
        <v>0</v>
      </c>
      <c r="D114" s="32" t="str">
        <f t="shared" si="20"/>
        <v>专用物耗</v>
      </c>
      <c r="E114" s="16"/>
      <c r="F114" s="14" t="s">
        <v>598</v>
      </c>
      <c r="G114" s="15"/>
      <c r="H114" s="15"/>
      <c r="I114" s="15"/>
      <c r="J114" s="29" t="s">
        <v>821</v>
      </c>
      <c r="K114" s="18">
        <v>1</v>
      </c>
      <c r="L114" s="29" t="s">
        <v>823</v>
      </c>
      <c r="M114" s="32" t="str">
        <f t="shared" si="21"/>
        <v>常规</v>
      </c>
      <c r="N114" s="18"/>
      <c r="O114" s="137" t="s">
        <v>2248</v>
      </c>
      <c r="P114" s="134" t="s">
        <v>2236</v>
      </c>
      <c r="Q114" s="137"/>
      <c r="R114" s="15"/>
      <c r="S114" s="15"/>
      <c r="T114" s="15"/>
      <c r="U114" s="32" t="str">
        <f t="shared" si="22"/>
        <v>个</v>
      </c>
      <c r="V114" s="15"/>
      <c r="W114" s="35"/>
      <c r="X114" s="32">
        <f t="shared" si="23"/>
        <v>1</v>
      </c>
      <c r="Y114" s="32" t="str">
        <f t="shared" si="24"/>
        <v>个</v>
      </c>
      <c r="Z114" s="15"/>
      <c r="AA114" s="15"/>
      <c r="AB114" s="35"/>
    </row>
    <row r="115" spans="1:28" s="45" customFormat="1" ht="19.899999999999999" customHeight="1" x14ac:dyDescent="0.3">
      <c r="A115" s="34">
        <v>112</v>
      </c>
      <c r="B115" s="12" t="s">
        <v>599</v>
      </c>
      <c r="C115" s="29" t="s">
        <v>0</v>
      </c>
      <c r="D115" s="32" t="str">
        <f t="shared" si="20"/>
        <v>专用物耗</v>
      </c>
      <c r="E115" s="14" t="s">
        <v>256</v>
      </c>
      <c r="F115" s="14" t="s">
        <v>78</v>
      </c>
      <c r="G115" s="15"/>
      <c r="H115" s="15"/>
      <c r="I115" s="15"/>
      <c r="J115" s="29" t="s">
        <v>821</v>
      </c>
      <c r="K115" s="16">
        <v>1</v>
      </c>
      <c r="L115" s="29" t="s">
        <v>823</v>
      </c>
      <c r="M115" s="32" t="str">
        <f t="shared" si="21"/>
        <v>常规</v>
      </c>
      <c r="N115" s="18"/>
      <c r="O115" s="137" t="s">
        <v>2248</v>
      </c>
      <c r="P115" s="134" t="s">
        <v>2238</v>
      </c>
      <c r="Q115" s="141"/>
      <c r="R115" s="15"/>
      <c r="S115" s="15"/>
      <c r="T115" s="15"/>
      <c r="U115" s="32" t="str">
        <f t="shared" si="22"/>
        <v>个</v>
      </c>
      <c r="V115" s="14"/>
      <c r="W115" s="35"/>
      <c r="X115" s="32">
        <f t="shared" si="23"/>
        <v>1</v>
      </c>
      <c r="Y115" s="32" t="str">
        <f t="shared" si="24"/>
        <v>个</v>
      </c>
      <c r="Z115" s="14"/>
      <c r="AA115" s="15"/>
      <c r="AB115" s="35"/>
    </row>
    <row r="116" spans="1:28" s="45" customFormat="1" ht="19.899999999999999" customHeight="1" x14ac:dyDescent="0.3">
      <c r="A116" s="34">
        <v>113</v>
      </c>
      <c r="B116" s="12" t="s">
        <v>609</v>
      </c>
      <c r="C116" s="29" t="s">
        <v>0</v>
      </c>
      <c r="D116" s="32" t="str">
        <f t="shared" si="20"/>
        <v>专用物耗</v>
      </c>
      <c r="E116" s="18" t="s">
        <v>256</v>
      </c>
      <c r="F116" s="24" t="s">
        <v>14</v>
      </c>
      <c r="G116" s="15"/>
      <c r="H116" s="15"/>
      <c r="I116" s="15"/>
      <c r="J116" s="29" t="s">
        <v>821</v>
      </c>
      <c r="K116" s="16">
        <v>19</v>
      </c>
      <c r="L116" s="36" t="s">
        <v>823</v>
      </c>
      <c r="M116" s="32" t="str">
        <f t="shared" si="21"/>
        <v>常规</v>
      </c>
      <c r="N116" s="18"/>
      <c r="O116" s="135" t="s">
        <v>2258</v>
      </c>
      <c r="P116" s="134" t="s">
        <v>2238</v>
      </c>
      <c r="Q116" s="141"/>
      <c r="R116" s="15"/>
      <c r="S116" s="15" t="s">
        <v>1080</v>
      </c>
      <c r="T116" s="15">
        <v>1</v>
      </c>
      <c r="U116" s="32" t="str">
        <f t="shared" si="22"/>
        <v>个</v>
      </c>
      <c r="V116" s="14" t="s">
        <v>600</v>
      </c>
      <c r="W116" s="35"/>
      <c r="X116" s="32">
        <f t="shared" si="23"/>
        <v>18</v>
      </c>
      <c r="Y116" s="32" t="str">
        <f t="shared" si="24"/>
        <v>个</v>
      </c>
      <c r="Z116" s="14" t="s">
        <v>600</v>
      </c>
      <c r="AA116" s="15"/>
      <c r="AB116" s="35"/>
    </row>
    <row r="117" spans="1:28" s="45" customFormat="1" ht="19.899999999999999" customHeight="1" x14ac:dyDescent="0.3">
      <c r="A117" s="34">
        <v>114</v>
      </c>
      <c r="B117" s="12" t="s">
        <v>609</v>
      </c>
      <c r="C117" s="29" t="s">
        <v>0</v>
      </c>
      <c r="D117" s="32" t="str">
        <f t="shared" si="20"/>
        <v>专用物耗</v>
      </c>
      <c r="E117" s="18" t="s">
        <v>256</v>
      </c>
      <c r="F117" s="24" t="s">
        <v>15</v>
      </c>
      <c r="G117" s="15"/>
      <c r="H117" s="15"/>
      <c r="I117" s="15"/>
      <c r="J117" s="29" t="s">
        <v>821</v>
      </c>
      <c r="K117" s="16">
        <v>19</v>
      </c>
      <c r="L117" s="36" t="s">
        <v>823</v>
      </c>
      <c r="M117" s="32" t="str">
        <f t="shared" si="21"/>
        <v>常规</v>
      </c>
      <c r="N117" s="18"/>
      <c r="O117" s="135" t="s">
        <v>2258</v>
      </c>
      <c r="P117" s="134" t="s">
        <v>2238</v>
      </c>
      <c r="Q117" s="141"/>
      <c r="R117" s="15"/>
      <c r="S117" s="15" t="s">
        <v>1081</v>
      </c>
      <c r="T117" s="15">
        <v>1</v>
      </c>
      <c r="U117" s="32" t="str">
        <f t="shared" si="22"/>
        <v>个</v>
      </c>
      <c r="V117" s="14" t="s">
        <v>600</v>
      </c>
      <c r="W117" s="35"/>
      <c r="X117" s="32">
        <f t="shared" si="23"/>
        <v>18</v>
      </c>
      <c r="Y117" s="32" t="str">
        <f t="shared" si="24"/>
        <v>个</v>
      </c>
      <c r="Z117" s="14" t="s">
        <v>600</v>
      </c>
      <c r="AA117" s="15"/>
      <c r="AB117" s="35"/>
    </row>
    <row r="118" spans="1:28" s="45" customFormat="1" ht="19.899999999999999" customHeight="1" x14ac:dyDescent="0.3">
      <c r="A118" s="34">
        <v>115</v>
      </c>
      <c r="B118" s="12" t="s">
        <v>609</v>
      </c>
      <c r="C118" s="29" t="s">
        <v>0</v>
      </c>
      <c r="D118" s="32" t="str">
        <f t="shared" si="20"/>
        <v>专用物耗</v>
      </c>
      <c r="E118" s="14" t="s">
        <v>256</v>
      </c>
      <c r="F118" s="14" t="s">
        <v>94</v>
      </c>
      <c r="G118" s="15"/>
      <c r="H118" s="15"/>
      <c r="I118" s="15"/>
      <c r="J118" s="29" t="s">
        <v>821</v>
      </c>
      <c r="K118" s="16">
        <v>16</v>
      </c>
      <c r="L118" s="29" t="s">
        <v>831</v>
      </c>
      <c r="M118" s="32" t="str">
        <f t="shared" si="21"/>
        <v>常规</v>
      </c>
      <c r="N118" s="18"/>
      <c r="O118" s="135" t="s">
        <v>2258</v>
      </c>
      <c r="P118" s="134" t="s">
        <v>2238</v>
      </c>
      <c r="Q118" s="141"/>
      <c r="R118" s="15"/>
      <c r="S118" s="15"/>
      <c r="T118" s="15"/>
      <c r="U118" s="32" t="str">
        <f t="shared" si="22"/>
        <v>根</v>
      </c>
      <c r="V118" s="14" t="s">
        <v>600</v>
      </c>
      <c r="W118" s="35"/>
      <c r="X118" s="32">
        <f t="shared" si="23"/>
        <v>16</v>
      </c>
      <c r="Y118" s="32" t="str">
        <f t="shared" si="24"/>
        <v>根</v>
      </c>
      <c r="Z118" s="14" t="s">
        <v>600</v>
      </c>
      <c r="AA118" s="15"/>
      <c r="AB118" s="35"/>
    </row>
    <row r="119" spans="1:28" s="45" customFormat="1" ht="19.899999999999999" customHeight="1" x14ac:dyDescent="0.3">
      <c r="A119" s="34">
        <v>116</v>
      </c>
      <c r="B119" s="12" t="s">
        <v>609</v>
      </c>
      <c r="C119" s="29" t="s">
        <v>0</v>
      </c>
      <c r="D119" s="32" t="str">
        <f t="shared" si="20"/>
        <v>专用物耗</v>
      </c>
      <c r="E119" s="18" t="s">
        <v>256</v>
      </c>
      <c r="F119" s="24" t="s">
        <v>16</v>
      </c>
      <c r="G119" s="15"/>
      <c r="H119" s="15"/>
      <c r="I119" s="15"/>
      <c r="J119" s="29" t="s">
        <v>821</v>
      </c>
      <c r="K119" s="16">
        <v>18</v>
      </c>
      <c r="L119" s="36" t="s">
        <v>823</v>
      </c>
      <c r="M119" s="32" t="str">
        <f t="shared" si="21"/>
        <v>常规</v>
      </c>
      <c r="N119" s="18"/>
      <c r="O119" s="135" t="s">
        <v>2258</v>
      </c>
      <c r="P119" s="134" t="s">
        <v>2238</v>
      </c>
      <c r="Q119" s="141"/>
      <c r="R119" s="15"/>
      <c r="S119" s="15" t="s">
        <v>1023</v>
      </c>
      <c r="T119" s="15">
        <v>1</v>
      </c>
      <c r="U119" s="32" t="str">
        <f t="shared" si="22"/>
        <v>个</v>
      </c>
      <c r="V119" s="14" t="s">
        <v>600</v>
      </c>
      <c r="W119" s="35"/>
      <c r="X119" s="32">
        <f t="shared" si="23"/>
        <v>17</v>
      </c>
      <c r="Y119" s="32" t="str">
        <f t="shared" si="24"/>
        <v>个</v>
      </c>
      <c r="Z119" s="14" t="s">
        <v>600</v>
      </c>
      <c r="AA119" s="15"/>
      <c r="AB119" s="35"/>
    </row>
    <row r="120" spans="1:28" s="45" customFormat="1" ht="19.899999999999999" customHeight="1" x14ac:dyDescent="0.3">
      <c r="A120" s="34">
        <v>117</v>
      </c>
      <c r="B120" s="12" t="s">
        <v>609</v>
      </c>
      <c r="C120" s="29" t="s">
        <v>0</v>
      </c>
      <c r="D120" s="32" t="str">
        <f t="shared" si="20"/>
        <v>专用物耗</v>
      </c>
      <c r="E120" s="14" t="s">
        <v>256</v>
      </c>
      <c r="F120" s="14" t="s">
        <v>8</v>
      </c>
      <c r="G120" s="15"/>
      <c r="H120" s="15"/>
      <c r="I120" s="15"/>
      <c r="J120" s="29" t="s">
        <v>821</v>
      </c>
      <c r="K120" s="16">
        <v>19</v>
      </c>
      <c r="L120" s="29" t="s">
        <v>831</v>
      </c>
      <c r="M120" s="32" t="str">
        <f t="shared" si="21"/>
        <v>常规</v>
      </c>
      <c r="N120" s="18"/>
      <c r="O120" s="135" t="s">
        <v>2258</v>
      </c>
      <c r="P120" s="134" t="s">
        <v>2238</v>
      </c>
      <c r="Q120" s="141"/>
      <c r="R120" s="15"/>
      <c r="S120" s="15" t="s">
        <v>1654</v>
      </c>
      <c r="T120" s="15">
        <v>3</v>
      </c>
      <c r="U120" s="32" t="str">
        <f t="shared" si="22"/>
        <v>根</v>
      </c>
      <c r="V120" s="14" t="s">
        <v>600</v>
      </c>
      <c r="W120" s="35"/>
      <c r="X120" s="32">
        <f t="shared" si="23"/>
        <v>16</v>
      </c>
      <c r="Y120" s="32" t="str">
        <f t="shared" si="24"/>
        <v>根</v>
      </c>
      <c r="Z120" s="14" t="s">
        <v>600</v>
      </c>
      <c r="AA120" s="15"/>
      <c r="AB120" s="35"/>
    </row>
    <row r="121" spans="1:28" s="45" customFormat="1" ht="19.899999999999999" customHeight="1" x14ac:dyDescent="0.3">
      <c r="A121" s="34">
        <v>118</v>
      </c>
      <c r="B121" s="12" t="s">
        <v>614</v>
      </c>
      <c r="C121" s="29" t="s">
        <v>0</v>
      </c>
      <c r="D121" s="32" t="str">
        <f t="shared" si="20"/>
        <v>专用物耗</v>
      </c>
      <c r="E121" s="18" t="s">
        <v>256</v>
      </c>
      <c r="F121" s="16" t="s">
        <v>27</v>
      </c>
      <c r="G121" s="15"/>
      <c r="H121" s="15"/>
      <c r="I121" s="15"/>
      <c r="J121" s="29" t="s">
        <v>821</v>
      </c>
      <c r="K121" s="16">
        <v>9</v>
      </c>
      <c r="L121" s="36" t="s">
        <v>823</v>
      </c>
      <c r="M121" s="32" t="str">
        <f t="shared" si="21"/>
        <v>常规</v>
      </c>
      <c r="N121" s="25"/>
      <c r="O121" s="135" t="s">
        <v>2258</v>
      </c>
      <c r="P121" s="134" t="s">
        <v>2238</v>
      </c>
      <c r="Q121" s="141"/>
      <c r="R121" s="15"/>
      <c r="S121" s="15"/>
      <c r="T121" s="15"/>
      <c r="U121" s="32" t="str">
        <f t="shared" si="22"/>
        <v>个</v>
      </c>
      <c r="V121" s="14" t="s">
        <v>1653</v>
      </c>
      <c r="W121" s="35"/>
      <c r="X121" s="32">
        <f t="shared" si="23"/>
        <v>9</v>
      </c>
      <c r="Y121" s="32" t="str">
        <f t="shared" si="24"/>
        <v>个</v>
      </c>
      <c r="Z121" s="14" t="s">
        <v>1653</v>
      </c>
      <c r="AA121" s="15"/>
      <c r="AB121" s="35"/>
    </row>
    <row r="122" spans="1:28" s="45" customFormat="1" ht="19.899999999999999" customHeight="1" x14ac:dyDescent="0.3">
      <c r="A122" s="34">
        <v>119</v>
      </c>
      <c r="B122" s="12" t="s">
        <v>616</v>
      </c>
      <c r="C122" s="29" t="s">
        <v>0</v>
      </c>
      <c r="D122" s="32" t="str">
        <f t="shared" si="20"/>
        <v>专用物耗</v>
      </c>
      <c r="E122" s="14" t="s">
        <v>256</v>
      </c>
      <c r="F122" s="14" t="s">
        <v>494</v>
      </c>
      <c r="G122" s="15"/>
      <c r="H122" s="15"/>
      <c r="I122" s="15"/>
      <c r="J122" s="29" t="s">
        <v>821</v>
      </c>
      <c r="K122" s="16">
        <v>9</v>
      </c>
      <c r="L122" s="29" t="s">
        <v>823</v>
      </c>
      <c r="M122" s="32" t="str">
        <f t="shared" si="21"/>
        <v>常规</v>
      </c>
      <c r="N122" s="25" t="s">
        <v>617</v>
      </c>
      <c r="O122" s="135" t="s">
        <v>2257</v>
      </c>
      <c r="P122" s="134" t="s">
        <v>2239</v>
      </c>
      <c r="Q122" s="141"/>
      <c r="R122" s="15"/>
      <c r="S122" s="15"/>
      <c r="T122" s="15"/>
      <c r="U122" s="32" t="str">
        <f t="shared" si="22"/>
        <v>个</v>
      </c>
      <c r="V122" s="14" t="s">
        <v>615</v>
      </c>
      <c r="W122" s="35"/>
      <c r="X122" s="32">
        <f t="shared" si="23"/>
        <v>9</v>
      </c>
      <c r="Y122" s="32" t="str">
        <f t="shared" si="24"/>
        <v>个</v>
      </c>
      <c r="Z122" s="14" t="s">
        <v>615</v>
      </c>
      <c r="AA122" s="15"/>
      <c r="AB122" s="35"/>
    </row>
    <row r="123" spans="1:28" s="45" customFormat="1" ht="19.899999999999999" customHeight="1" x14ac:dyDescent="0.3">
      <c r="A123" s="34">
        <v>120</v>
      </c>
      <c r="B123" s="12" t="s">
        <v>618</v>
      </c>
      <c r="C123" s="29" t="s">
        <v>0</v>
      </c>
      <c r="D123" s="32" t="str">
        <f t="shared" si="20"/>
        <v>专用物耗</v>
      </c>
      <c r="E123" s="14" t="s">
        <v>256</v>
      </c>
      <c r="F123" s="14" t="s">
        <v>619</v>
      </c>
      <c r="G123" s="15"/>
      <c r="H123" s="15"/>
      <c r="I123" s="15"/>
      <c r="J123" s="29" t="s">
        <v>821</v>
      </c>
      <c r="K123" s="16">
        <v>1</v>
      </c>
      <c r="L123" s="29" t="s">
        <v>823</v>
      </c>
      <c r="M123" s="32" t="str">
        <f t="shared" si="21"/>
        <v>常规</v>
      </c>
      <c r="N123" s="25"/>
      <c r="O123" s="135" t="s">
        <v>2257</v>
      </c>
      <c r="P123" s="134" t="s">
        <v>2239</v>
      </c>
      <c r="Q123" s="141"/>
      <c r="R123" s="15"/>
      <c r="S123" s="15"/>
      <c r="T123" s="15"/>
      <c r="U123" s="32" t="str">
        <f t="shared" si="22"/>
        <v>个</v>
      </c>
      <c r="V123" s="14" t="s">
        <v>615</v>
      </c>
      <c r="W123" s="35"/>
      <c r="X123" s="32">
        <f t="shared" si="23"/>
        <v>1</v>
      </c>
      <c r="Y123" s="32" t="str">
        <f t="shared" si="24"/>
        <v>个</v>
      </c>
      <c r="Z123" s="14" t="s">
        <v>615</v>
      </c>
      <c r="AA123" s="15"/>
      <c r="AB123" s="35"/>
    </row>
    <row r="124" spans="1:28" s="45" customFormat="1" ht="19.899999999999999" customHeight="1" x14ac:dyDescent="0.3">
      <c r="A124" s="34">
        <v>121</v>
      </c>
      <c r="B124" s="12" t="s">
        <v>620</v>
      </c>
      <c r="C124" s="29" t="s">
        <v>0</v>
      </c>
      <c r="D124" s="32" t="str">
        <f t="shared" si="20"/>
        <v>专用物耗</v>
      </c>
      <c r="E124" s="14" t="s">
        <v>256</v>
      </c>
      <c r="F124" s="14" t="s">
        <v>95</v>
      </c>
      <c r="G124" s="15"/>
      <c r="H124" s="15"/>
      <c r="I124" s="15"/>
      <c r="J124" s="29" t="s">
        <v>821</v>
      </c>
      <c r="K124" s="16">
        <v>2</v>
      </c>
      <c r="L124" s="29" t="s">
        <v>823</v>
      </c>
      <c r="M124" s="32" t="str">
        <f t="shared" si="21"/>
        <v>常规</v>
      </c>
      <c r="N124" s="25" t="s">
        <v>621</v>
      </c>
      <c r="O124" s="135" t="s">
        <v>2257</v>
      </c>
      <c r="P124" s="134" t="s">
        <v>2239</v>
      </c>
      <c r="Q124" s="141"/>
      <c r="R124" s="15"/>
      <c r="S124" s="15"/>
      <c r="T124" s="15"/>
      <c r="U124" s="32" t="str">
        <f t="shared" si="22"/>
        <v>个</v>
      </c>
      <c r="V124" s="14" t="s">
        <v>615</v>
      </c>
      <c r="W124" s="35"/>
      <c r="X124" s="32">
        <f t="shared" si="23"/>
        <v>2</v>
      </c>
      <c r="Y124" s="32" t="str">
        <f t="shared" si="24"/>
        <v>个</v>
      </c>
      <c r="Z124" s="14" t="s">
        <v>615</v>
      </c>
      <c r="AA124" s="15"/>
      <c r="AB124" s="35"/>
    </row>
    <row r="125" spans="1:28" s="45" customFormat="1" ht="19.899999999999999" customHeight="1" x14ac:dyDescent="0.3">
      <c r="A125" s="34">
        <v>122</v>
      </c>
      <c r="B125" s="12" t="s">
        <v>622</v>
      </c>
      <c r="C125" s="29" t="s">
        <v>0</v>
      </c>
      <c r="D125" s="32" t="str">
        <f t="shared" si="20"/>
        <v>专用物耗</v>
      </c>
      <c r="E125" s="12" t="s">
        <v>283</v>
      </c>
      <c r="F125" s="12" t="s">
        <v>623</v>
      </c>
      <c r="G125" s="15"/>
      <c r="H125" s="15"/>
      <c r="I125" s="15"/>
      <c r="J125" s="29" t="s">
        <v>821</v>
      </c>
      <c r="K125" s="16">
        <v>10</v>
      </c>
      <c r="L125" s="29" t="s">
        <v>823</v>
      </c>
      <c r="M125" s="32" t="str">
        <f t="shared" si="21"/>
        <v>常规</v>
      </c>
      <c r="N125" s="25" t="s">
        <v>624</v>
      </c>
      <c r="O125" s="135" t="s">
        <v>2257</v>
      </c>
      <c r="P125" s="134" t="s">
        <v>2239</v>
      </c>
      <c r="Q125" s="141"/>
      <c r="R125" s="15"/>
      <c r="S125" s="15"/>
      <c r="T125" s="15"/>
      <c r="U125" s="32" t="str">
        <f t="shared" si="22"/>
        <v>个</v>
      </c>
      <c r="V125" s="14" t="s">
        <v>615</v>
      </c>
      <c r="W125" s="35"/>
      <c r="X125" s="32">
        <f t="shared" si="23"/>
        <v>10</v>
      </c>
      <c r="Y125" s="32" t="str">
        <f t="shared" si="24"/>
        <v>个</v>
      </c>
      <c r="Z125" s="14" t="s">
        <v>615</v>
      </c>
      <c r="AA125" s="15"/>
      <c r="AB125" s="35"/>
    </row>
    <row r="126" spans="1:28" s="45" customFormat="1" ht="19.899999999999999" customHeight="1" x14ac:dyDescent="0.3">
      <c r="A126" s="34">
        <v>123</v>
      </c>
      <c r="B126" s="12" t="s">
        <v>625</v>
      </c>
      <c r="C126" s="29" t="s">
        <v>0</v>
      </c>
      <c r="D126" s="32" t="str">
        <f t="shared" si="20"/>
        <v>专用物耗</v>
      </c>
      <c r="E126" s="14" t="s">
        <v>256</v>
      </c>
      <c r="F126" s="14" t="s">
        <v>96</v>
      </c>
      <c r="G126" s="15"/>
      <c r="H126" s="15"/>
      <c r="I126" s="15"/>
      <c r="J126" s="29" t="s">
        <v>821</v>
      </c>
      <c r="K126" s="16">
        <v>21</v>
      </c>
      <c r="L126" s="29" t="s">
        <v>823</v>
      </c>
      <c r="M126" s="32" t="str">
        <f t="shared" si="21"/>
        <v>常规</v>
      </c>
      <c r="N126" s="25" t="s">
        <v>97</v>
      </c>
      <c r="O126" s="135" t="s">
        <v>2257</v>
      </c>
      <c r="P126" s="134" t="s">
        <v>2239</v>
      </c>
      <c r="Q126" s="141"/>
      <c r="R126" s="15"/>
      <c r="S126" s="15"/>
      <c r="T126" s="15"/>
      <c r="U126" s="32" t="str">
        <f t="shared" si="22"/>
        <v>个</v>
      </c>
      <c r="V126" s="14" t="s">
        <v>615</v>
      </c>
      <c r="W126" s="35"/>
      <c r="X126" s="32">
        <f t="shared" si="23"/>
        <v>21</v>
      </c>
      <c r="Y126" s="32" t="str">
        <f t="shared" si="24"/>
        <v>个</v>
      </c>
      <c r="Z126" s="14" t="s">
        <v>615</v>
      </c>
      <c r="AA126" s="15"/>
      <c r="AB126" s="35"/>
    </row>
    <row r="127" spans="1:28" s="173" customFormat="1" ht="19.899999999999999" customHeight="1" x14ac:dyDescent="0.3">
      <c r="A127" s="163">
        <v>124</v>
      </c>
      <c r="B127" s="164" t="s">
        <v>626</v>
      </c>
      <c r="C127" s="165" t="s">
        <v>0</v>
      </c>
      <c r="D127" s="166" t="str">
        <f t="shared" si="20"/>
        <v>专用物耗</v>
      </c>
      <c r="E127" s="168"/>
      <c r="F127" s="168" t="s">
        <v>18</v>
      </c>
      <c r="G127" s="167"/>
      <c r="H127" s="167"/>
      <c r="I127" s="167"/>
      <c r="J127" s="165" t="s">
        <v>821</v>
      </c>
      <c r="K127" s="164">
        <v>6</v>
      </c>
      <c r="L127" s="189" t="s">
        <v>823</v>
      </c>
      <c r="M127" s="166" t="str">
        <f t="shared" si="21"/>
        <v>常规</v>
      </c>
      <c r="N127" s="181"/>
      <c r="O127" s="180" t="s">
        <v>2257</v>
      </c>
      <c r="P127" s="170" t="s">
        <v>2238</v>
      </c>
      <c r="Q127" s="171"/>
      <c r="R127" s="167"/>
      <c r="S127" s="167" t="s">
        <v>1017</v>
      </c>
      <c r="T127" s="167">
        <v>6</v>
      </c>
      <c r="U127" s="166" t="str">
        <f t="shared" si="22"/>
        <v>个</v>
      </c>
      <c r="V127" s="168" t="s">
        <v>1653</v>
      </c>
      <c r="W127" s="172"/>
      <c r="X127" s="166" t="str">
        <f t="shared" si="23"/>
        <v/>
      </c>
      <c r="Y127" s="166" t="str">
        <f t="shared" si="24"/>
        <v>个</v>
      </c>
      <c r="Z127" s="168" t="s">
        <v>1653</v>
      </c>
      <c r="AA127" s="167"/>
      <c r="AB127" s="172"/>
    </row>
    <row r="128" spans="1:28" s="45" customFormat="1" ht="19.899999999999999" customHeight="1" x14ac:dyDescent="0.3">
      <c r="A128" s="34">
        <v>125</v>
      </c>
      <c r="B128" s="12" t="s">
        <v>627</v>
      </c>
      <c r="C128" s="29" t="s">
        <v>0</v>
      </c>
      <c r="D128" s="32" t="str">
        <f t="shared" ref="D128:D191" si="25">IF(C128="J1","常规化学品",IF(C128="J2","危险化学品",IF(C128="J3","标准物质",IF(C128="J4","玻璃仪器",IF(C128="J5","实验气体",IF(C128="J6","专用物耗",IF(C128="J7","备品配件",IF(C128="J8","专用工具",IF(C128="Z1","劳保物资",IF(C128="Z2","办公耗材",IF(C128="Z3","食品饮料",IF(C128="Z4","特殊物耗",IF(C128="Z5","通用物耗",IF(C128="Z6","通用工具",""))))))))))))))</f>
        <v>专用物耗</v>
      </c>
      <c r="E128" s="14" t="s">
        <v>256</v>
      </c>
      <c r="F128" s="12" t="s">
        <v>19</v>
      </c>
      <c r="G128" s="15"/>
      <c r="H128" s="15"/>
      <c r="I128" s="15"/>
      <c r="J128" s="29" t="s">
        <v>821</v>
      </c>
      <c r="K128" s="16">
        <v>4</v>
      </c>
      <c r="L128" s="29" t="s">
        <v>823</v>
      </c>
      <c r="M128" s="32" t="str">
        <f t="shared" ref="M128:M191" si="26">IF(D128="危险化学品","五双",IF(D128="标准物资","严控",IF(D128&lt;&gt;"","常规","")))</f>
        <v>常规</v>
      </c>
      <c r="N128" s="25"/>
      <c r="O128" s="135" t="s">
        <v>2257</v>
      </c>
      <c r="P128" s="134" t="s">
        <v>2238</v>
      </c>
      <c r="Q128" s="141"/>
      <c r="R128" s="15"/>
      <c r="S128" s="15"/>
      <c r="T128" s="15"/>
      <c r="U128" s="32" t="str">
        <f t="shared" ref="U128:U191" si="27">IF(L128="","",L128)</f>
        <v>个</v>
      </c>
      <c r="V128" s="14" t="s">
        <v>1653</v>
      </c>
      <c r="W128" s="35"/>
      <c r="X128" s="32">
        <f t="shared" ref="X128:X191" si="28">IF((K128-T128)&lt;=0,"",K128-T128)</f>
        <v>4</v>
      </c>
      <c r="Y128" s="32" t="str">
        <f t="shared" ref="Y128:Y191" si="29">IF(L128="","",L128)</f>
        <v>个</v>
      </c>
      <c r="Z128" s="14" t="s">
        <v>1653</v>
      </c>
      <c r="AA128" s="15"/>
      <c r="AB128" s="35"/>
    </row>
    <row r="129" spans="1:28" s="45" customFormat="1" ht="19.899999999999999" customHeight="1" x14ac:dyDescent="0.3">
      <c r="A129" s="34">
        <v>126</v>
      </c>
      <c r="B129" s="12" t="s">
        <v>627</v>
      </c>
      <c r="C129" s="29" t="s">
        <v>0</v>
      </c>
      <c r="D129" s="32" t="str">
        <f t="shared" si="25"/>
        <v>专用物耗</v>
      </c>
      <c r="E129" s="14" t="s">
        <v>256</v>
      </c>
      <c r="F129" s="12" t="s">
        <v>98</v>
      </c>
      <c r="G129" s="15"/>
      <c r="H129" s="15"/>
      <c r="I129" s="15"/>
      <c r="J129" s="29" t="s">
        <v>821</v>
      </c>
      <c r="K129" s="16">
        <v>2</v>
      </c>
      <c r="L129" s="29" t="s">
        <v>823</v>
      </c>
      <c r="M129" s="32" t="str">
        <f t="shared" si="26"/>
        <v>常规</v>
      </c>
      <c r="N129" s="25"/>
      <c r="O129" s="135" t="s">
        <v>2257</v>
      </c>
      <c r="P129" s="134" t="s">
        <v>2238</v>
      </c>
      <c r="Q129" s="141"/>
      <c r="R129" s="15"/>
      <c r="S129" s="15"/>
      <c r="T129" s="15"/>
      <c r="U129" s="32" t="str">
        <f t="shared" si="27"/>
        <v>个</v>
      </c>
      <c r="V129" s="14" t="s">
        <v>1653</v>
      </c>
      <c r="W129" s="35"/>
      <c r="X129" s="32">
        <f t="shared" si="28"/>
        <v>2</v>
      </c>
      <c r="Y129" s="32" t="str">
        <f t="shared" si="29"/>
        <v>个</v>
      </c>
      <c r="Z129" s="14" t="s">
        <v>1653</v>
      </c>
      <c r="AA129" s="15"/>
      <c r="AB129" s="35"/>
    </row>
    <row r="130" spans="1:28" s="45" customFormat="1" ht="19.899999999999999" customHeight="1" x14ac:dyDescent="0.3">
      <c r="A130" s="34">
        <v>127</v>
      </c>
      <c r="B130" s="12" t="s">
        <v>627</v>
      </c>
      <c r="C130" s="29" t="s">
        <v>0</v>
      </c>
      <c r="D130" s="32" t="str">
        <f t="shared" si="25"/>
        <v>专用物耗</v>
      </c>
      <c r="E130" s="14" t="s">
        <v>256</v>
      </c>
      <c r="F130" s="12" t="s">
        <v>20</v>
      </c>
      <c r="G130" s="15"/>
      <c r="H130" s="15"/>
      <c r="I130" s="15"/>
      <c r="J130" s="29" t="s">
        <v>821</v>
      </c>
      <c r="K130" s="16">
        <v>6</v>
      </c>
      <c r="L130" s="29" t="s">
        <v>823</v>
      </c>
      <c r="M130" s="32" t="str">
        <f t="shared" si="26"/>
        <v>常规</v>
      </c>
      <c r="N130" s="25"/>
      <c r="O130" s="135" t="s">
        <v>2257</v>
      </c>
      <c r="P130" s="134" t="s">
        <v>2238</v>
      </c>
      <c r="Q130" s="141"/>
      <c r="R130" s="15"/>
      <c r="S130" s="15"/>
      <c r="T130" s="15"/>
      <c r="U130" s="32" t="str">
        <f t="shared" si="27"/>
        <v>个</v>
      </c>
      <c r="V130" s="14" t="s">
        <v>1653</v>
      </c>
      <c r="W130" s="35"/>
      <c r="X130" s="32">
        <f t="shared" si="28"/>
        <v>6</v>
      </c>
      <c r="Y130" s="32" t="str">
        <f t="shared" si="29"/>
        <v>个</v>
      </c>
      <c r="Z130" s="14" t="s">
        <v>1653</v>
      </c>
      <c r="AA130" s="15"/>
      <c r="AB130" s="35"/>
    </row>
    <row r="131" spans="1:28" s="45" customFormat="1" ht="19.899999999999999" customHeight="1" x14ac:dyDescent="0.3">
      <c r="A131" s="34">
        <v>128</v>
      </c>
      <c r="B131" s="20" t="s">
        <v>628</v>
      </c>
      <c r="C131" s="29" t="s">
        <v>0</v>
      </c>
      <c r="D131" s="32" t="str">
        <f t="shared" si="25"/>
        <v>专用物耗</v>
      </c>
      <c r="E131" s="16"/>
      <c r="F131" s="23"/>
      <c r="G131" s="15"/>
      <c r="H131" s="15"/>
      <c r="I131" s="15"/>
      <c r="J131" s="29" t="s">
        <v>821</v>
      </c>
      <c r="K131" s="26">
        <v>8</v>
      </c>
      <c r="L131" s="29" t="s">
        <v>834</v>
      </c>
      <c r="M131" s="32" t="str">
        <f t="shared" si="26"/>
        <v>常规</v>
      </c>
      <c r="N131" s="40"/>
      <c r="O131" s="135" t="s">
        <v>2257</v>
      </c>
      <c r="P131" s="134" t="s">
        <v>2238</v>
      </c>
      <c r="Q131" s="137"/>
      <c r="R131" s="15"/>
      <c r="S131" s="15" t="s">
        <v>2067</v>
      </c>
      <c r="T131" s="15">
        <v>2</v>
      </c>
      <c r="U131" s="32" t="str">
        <f t="shared" si="27"/>
        <v>副</v>
      </c>
      <c r="V131" s="15" t="s">
        <v>629</v>
      </c>
      <c r="W131" s="35"/>
      <c r="X131" s="32">
        <f t="shared" si="28"/>
        <v>6</v>
      </c>
      <c r="Y131" s="32" t="str">
        <f t="shared" si="29"/>
        <v>副</v>
      </c>
      <c r="Z131" s="15" t="s">
        <v>629</v>
      </c>
      <c r="AA131" s="15"/>
      <c r="AB131" s="35"/>
    </row>
    <row r="132" spans="1:28" s="173" customFormat="1" ht="19.899999999999999" customHeight="1" x14ac:dyDescent="0.3">
      <c r="A132" s="163">
        <v>129</v>
      </c>
      <c r="B132" s="164" t="s">
        <v>630</v>
      </c>
      <c r="C132" s="165" t="s">
        <v>0</v>
      </c>
      <c r="D132" s="166" t="str">
        <f t="shared" si="25"/>
        <v>专用物耗</v>
      </c>
      <c r="E132" s="164"/>
      <c r="F132" s="164"/>
      <c r="G132" s="167"/>
      <c r="H132" s="167"/>
      <c r="I132" s="167"/>
      <c r="J132" s="165" t="s">
        <v>821</v>
      </c>
      <c r="K132" s="188">
        <v>6</v>
      </c>
      <c r="L132" s="189" t="s">
        <v>823</v>
      </c>
      <c r="M132" s="166" t="str">
        <f t="shared" si="26"/>
        <v>常规</v>
      </c>
      <c r="N132" s="242" t="s">
        <v>631</v>
      </c>
      <c r="O132" s="180" t="s">
        <v>2257</v>
      </c>
      <c r="P132" s="170" t="s">
        <v>2238</v>
      </c>
      <c r="Q132" s="169"/>
      <c r="R132" s="167"/>
      <c r="S132" s="167" t="s">
        <v>1652</v>
      </c>
      <c r="T132" s="167">
        <v>6</v>
      </c>
      <c r="U132" s="166" t="str">
        <f t="shared" si="27"/>
        <v>个</v>
      </c>
      <c r="V132" s="167" t="s">
        <v>629</v>
      </c>
      <c r="W132" s="172"/>
      <c r="X132" s="166" t="str">
        <f t="shared" si="28"/>
        <v/>
      </c>
      <c r="Y132" s="166" t="str">
        <f t="shared" si="29"/>
        <v>个</v>
      </c>
      <c r="Z132" s="167" t="s">
        <v>629</v>
      </c>
      <c r="AA132" s="167"/>
      <c r="AB132" s="172"/>
    </row>
    <row r="133" spans="1:28" s="45" customFormat="1" ht="19.899999999999999" customHeight="1" x14ac:dyDescent="0.3">
      <c r="A133" s="34">
        <v>130</v>
      </c>
      <c r="B133" s="20" t="s">
        <v>632</v>
      </c>
      <c r="C133" s="29" t="s">
        <v>0</v>
      </c>
      <c r="D133" s="32" t="str">
        <f t="shared" si="25"/>
        <v>专用物耗</v>
      </c>
      <c r="E133" s="16"/>
      <c r="F133" s="23" t="s">
        <v>633</v>
      </c>
      <c r="G133" s="15"/>
      <c r="H133" s="15"/>
      <c r="I133" s="15"/>
      <c r="J133" s="29" t="s">
        <v>821</v>
      </c>
      <c r="K133" s="18">
        <v>37</v>
      </c>
      <c r="L133" s="29" t="s">
        <v>823</v>
      </c>
      <c r="M133" s="32" t="str">
        <f t="shared" si="26"/>
        <v>常规</v>
      </c>
      <c r="N133" s="40"/>
      <c r="O133" s="135" t="s">
        <v>2257</v>
      </c>
      <c r="P133" s="134" t="s">
        <v>2238</v>
      </c>
      <c r="Q133" s="137"/>
      <c r="R133" s="15"/>
      <c r="S133" s="15"/>
      <c r="T133" s="15"/>
      <c r="U133" s="32" t="str">
        <f t="shared" si="27"/>
        <v>个</v>
      </c>
      <c r="V133" s="15" t="s">
        <v>629</v>
      </c>
      <c r="W133" s="35"/>
      <c r="X133" s="32">
        <f t="shared" si="28"/>
        <v>37</v>
      </c>
      <c r="Y133" s="32" t="str">
        <f t="shared" si="29"/>
        <v>个</v>
      </c>
      <c r="Z133" s="15" t="s">
        <v>629</v>
      </c>
      <c r="AA133" s="15"/>
      <c r="AB133" s="35"/>
    </row>
    <row r="134" spans="1:28" s="45" customFormat="1" ht="19.899999999999999" customHeight="1" x14ac:dyDescent="0.3">
      <c r="A134" s="34">
        <v>131</v>
      </c>
      <c r="B134" s="20" t="s">
        <v>634</v>
      </c>
      <c r="C134" s="29" t="s">
        <v>0</v>
      </c>
      <c r="D134" s="32" t="str">
        <f t="shared" si="25"/>
        <v>专用物耗</v>
      </c>
      <c r="E134" s="16"/>
      <c r="F134" s="23" t="s">
        <v>260</v>
      </c>
      <c r="G134" s="93" t="s">
        <v>3090</v>
      </c>
      <c r="H134" s="15"/>
      <c r="I134" s="15"/>
      <c r="J134" s="29" t="s">
        <v>821</v>
      </c>
      <c r="K134" s="18">
        <v>1</v>
      </c>
      <c r="L134" s="29" t="s">
        <v>823</v>
      </c>
      <c r="M134" s="32" t="str">
        <f t="shared" si="26"/>
        <v>常规</v>
      </c>
      <c r="N134" s="40"/>
      <c r="O134" s="135" t="s">
        <v>2257</v>
      </c>
      <c r="P134" s="134" t="s">
        <v>2238</v>
      </c>
      <c r="Q134" s="137"/>
      <c r="R134" s="15"/>
      <c r="S134" s="15"/>
      <c r="T134" s="15"/>
      <c r="U134" s="32" t="str">
        <f t="shared" si="27"/>
        <v>个</v>
      </c>
      <c r="V134" s="15" t="s">
        <v>629</v>
      </c>
      <c r="W134" s="35"/>
      <c r="X134" s="32">
        <f t="shared" si="28"/>
        <v>1</v>
      </c>
      <c r="Y134" s="32" t="str">
        <f t="shared" si="29"/>
        <v>个</v>
      </c>
      <c r="Z134" s="15" t="s">
        <v>629</v>
      </c>
      <c r="AA134" s="15"/>
      <c r="AB134" s="35"/>
    </row>
    <row r="135" spans="1:28" s="173" customFormat="1" ht="19.899999999999999" customHeight="1" x14ac:dyDescent="0.3">
      <c r="A135" s="163">
        <v>132</v>
      </c>
      <c r="B135" s="164" t="s">
        <v>635</v>
      </c>
      <c r="C135" s="165" t="s">
        <v>0</v>
      </c>
      <c r="D135" s="166" t="str">
        <f t="shared" si="25"/>
        <v>专用物耗</v>
      </c>
      <c r="E135" s="164"/>
      <c r="F135" s="241" t="s">
        <v>636</v>
      </c>
      <c r="G135" s="167"/>
      <c r="H135" s="167"/>
      <c r="I135" s="167"/>
      <c r="J135" s="165" t="s">
        <v>821</v>
      </c>
      <c r="K135" s="167">
        <v>1</v>
      </c>
      <c r="L135" s="165" t="s">
        <v>825</v>
      </c>
      <c r="M135" s="166" t="str">
        <f t="shared" si="26"/>
        <v>常规</v>
      </c>
      <c r="N135" s="242"/>
      <c r="O135" s="180" t="s">
        <v>2257</v>
      </c>
      <c r="P135" s="170" t="s">
        <v>2239</v>
      </c>
      <c r="Q135" s="169"/>
      <c r="R135" s="167"/>
      <c r="S135" s="167" t="s">
        <v>2052</v>
      </c>
      <c r="T135" s="167">
        <v>1</v>
      </c>
      <c r="U135" s="166" t="str">
        <f t="shared" si="27"/>
        <v>袋</v>
      </c>
      <c r="V135" s="167" t="s">
        <v>1651</v>
      </c>
      <c r="W135" s="172"/>
      <c r="X135" s="166" t="str">
        <f t="shared" si="28"/>
        <v/>
      </c>
      <c r="Y135" s="166" t="str">
        <f t="shared" si="29"/>
        <v>袋</v>
      </c>
      <c r="Z135" s="167" t="s">
        <v>1651</v>
      </c>
      <c r="AA135" s="167"/>
      <c r="AB135" s="172"/>
    </row>
    <row r="136" spans="1:28" s="45" customFormat="1" ht="19.899999999999999" customHeight="1" x14ac:dyDescent="0.3">
      <c r="A136" s="34">
        <v>133</v>
      </c>
      <c r="B136" s="20" t="s">
        <v>637</v>
      </c>
      <c r="C136" s="29" t="s">
        <v>0</v>
      </c>
      <c r="D136" s="32" t="str">
        <f t="shared" si="25"/>
        <v>专用物耗</v>
      </c>
      <c r="E136" s="16"/>
      <c r="F136" s="23" t="s">
        <v>638</v>
      </c>
      <c r="G136" s="15"/>
      <c r="H136" s="15"/>
      <c r="I136" s="15"/>
      <c r="J136" s="29" t="s">
        <v>821</v>
      </c>
      <c r="K136" s="18">
        <v>13</v>
      </c>
      <c r="L136" s="29" t="s">
        <v>826</v>
      </c>
      <c r="M136" s="32" t="str">
        <f t="shared" si="26"/>
        <v>常规</v>
      </c>
      <c r="N136" s="40"/>
      <c r="O136" s="135" t="s">
        <v>2257</v>
      </c>
      <c r="P136" s="134" t="s">
        <v>2238</v>
      </c>
      <c r="Q136" s="137"/>
      <c r="R136" s="15"/>
      <c r="S136" s="15" t="s">
        <v>2226</v>
      </c>
      <c r="T136" s="15">
        <v>6</v>
      </c>
      <c r="U136" s="32" t="str">
        <f t="shared" si="27"/>
        <v>盒</v>
      </c>
      <c r="V136" s="15" t="s">
        <v>629</v>
      </c>
      <c r="W136" s="35"/>
      <c r="X136" s="32">
        <f t="shared" si="28"/>
        <v>7</v>
      </c>
      <c r="Y136" s="32" t="str">
        <f t="shared" si="29"/>
        <v>盒</v>
      </c>
      <c r="Z136" s="15" t="s">
        <v>629</v>
      </c>
      <c r="AA136" s="15"/>
      <c r="AB136" s="35"/>
    </row>
    <row r="137" spans="1:28" s="45" customFormat="1" ht="19.899999999999999" customHeight="1" x14ac:dyDescent="0.3">
      <c r="A137" s="34">
        <v>134</v>
      </c>
      <c r="B137" s="20" t="s">
        <v>639</v>
      </c>
      <c r="C137" s="29" t="s">
        <v>0</v>
      </c>
      <c r="D137" s="32" t="str">
        <f t="shared" si="25"/>
        <v>专用物耗</v>
      </c>
      <c r="E137" s="16"/>
      <c r="F137" s="23" t="s">
        <v>260</v>
      </c>
      <c r="G137" s="93" t="s">
        <v>2940</v>
      </c>
      <c r="H137" s="15"/>
      <c r="I137" s="15"/>
      <c r="J137" s="29" t="s">
        <v>821</v>
      </c>
      <c r="K137" s="26">
        <v>1</v>
      </c>
      <c r="L137" s="29" t="s">
        <v>823</v>
      </c>
      <c r="M137" s="32" t="str">
        <f t="shared" si="26"/>
        <v>常规</v>
      </c>
      <c r="N137" s="40"/>
      <c r="O137" s="135" t="s">
        <v>2257</v>
      </c>
      <c r="P137" s="134" t="s">
        <v>2238</v>
      </c>
      <c r="Q137" s="137"/>
      <c r="R137" s="15"/>
      <c r="S137" s="15"/>
      <c r="T137" s="15"/>
      <c r="U137" s="32" t="str">
        <f t="shared" si="27"/>
        <v>个</v>
      </c>
      <c r="V137" s="15" t="s">
        <v>629</v>
      </c>
      <c r="W137" s="35"/>
      <c r="X137" s="32">
        <f t="shared" si="28"/>
        <v>1</v>
      </c>
      <c r="Y137" s="32" t="str">
        <f t="shared" si="29"/>
        <v>个</v>
      </c>
      <c r="Z137" s="15" t="s">
        <v>629</v>
      </c>
      <c r="AA137" s="15"/>
      <c r="AB137" s="35"/>
    </row>
    <row r="138" spans="1:28" s="45" customFormat="1" ht="19.899999999999999" customHeight="1" x14ac:dyDescent="0.3">
      <c r="A138" s="34">
        <v>135</v>
      </c>
      <c r="B138" s="324" t="s">
        <v>3088</v>
      </c>
      <c r="C138" s="29" t="s">
        <v>0</v>
      </c>
      <c r="D138" s="32" t="str">
        <f t="shared" si="25"/>
        <v>专用物耗</v>
      </c>
      <c r="E138" s="16"/>
      <c r="F138" s="23" t="s">
        <v>260</v>
      </c>
      <c r="G138" s="93" t="s">
        <v>3091</v>
      </c>
      <c r="H138" s="15"/>
      <c r="I138" s="15"/>
      <c r="J138" s="29" t="s">
        <v>821</v>
      </c>
      <c r="K138" s="26">
        <v>1</v>
      </c>
      <c r="L138" s="29" t="s">
        <v>823</v>
      </c>
      <c r="M138" s="32" t="str">
        <f t="shared" si="26"/>
        <v>常规</v>
      </c>
      <c r="N138" s="40"/>
      <c r="O138" s="135" t="s">
        <v>2257</v>
      </c>
      <c r="P138" s="134" t="s">
        <v>2238</v>
      </c>
      <c r="Q138" s="137"/>
      <c r="R138" s="15"/>
      <c r="S138" s="15"/>
      <c r="T138" s="15"/>
      <c r="U138" s="32" t="str">
        <f t="shared" si="27"/>
        <v>个</v>
      </c>
      <c r="V138" s="15" t="s">
        <v>629</v>
      </c>
      <c r="W138" s="35"/>
      <c r="X138" s="32">
        <f t="shared" si="28"/>
        <v>1</v>
      </c>
      <c r="Y138" s="32" t="str">
        <f t="shared" si="29"/>
        <v>个</v>
      </c>
      <c r="Z138" s="15" t="s">
        <v>629</v>
      </c>
      <c r="AA138" s="15"/>
      <c r="AB138" s="35"/>
    </row>
    <row r="139" spans="1:28" s="45" customFormat="1" ht="19.899999999999999" customHeight="1" x14ac:dyDescent="0.3">
      <c r="A139" s="34">
        <v>136</v>
      </c>
      <c r="B139" s="20" t="s">
        <v>640</v>
      </c>
      <c r="C139" s="29" t="s">
        <v>0</v>
      </c>
      <c r="D139" s="32" t="str">
        <f t="shared" si="25"/>
        <v>专用物耗</v>
      </c>
      <c r="E139" s="16"/>
      <c r="F139" s="23"/>
      <c r="G139" s="15"/>
      <c r="H139" s="15"/>
      <c r="I139" s="15"/>
      <c r="J139" s="29" t="s">
        <v>821</v>
      </c>
      <c r="K139" s="41">
        <v>1</v>
      </c>
      <c r="L139" s="29" t="s">
        <v>836</v>
      </c>
      <c r="M139" s="32" t="str">
        <f t="shared" si="26"/>
        <v>常规</v>
      </c>
      <c r="N139" s="18"/>
      <c r="O139" s="137" t="s">
        <v>2248</v>
      </c>
      <c r="P139" s="134" t="s">
        <v>2238</v>
      </c>
      <c r="Q139" s="137"/>
      <c r="R139" s="15"/>
      <c r="S139" s="15"/>
      <c r="T139" s="15"/>
      <c r="U139" s="32" t="str">
        <f t="shared" si="27"/>
        <v>把</v>
      </c>
      <c r="V139" s="15"/>
      <c r="W139" s="35"/>
      <c r="X139" s="32">
        <f t="shared" si="28"/>
        <v>1</v>
      </c>
      <c r="Y139" s="32" t="str">
        <f t="shared" si="29"/>
        <v>把</v>
      </c>
      <c r="Z139" s="15"/>
      <c r="AA139" s="15"/>
      <c r="AB139" s="35"/>
    </row>
    <row r="140" spans="1:28" s="45" customFormat="1" ht="19.899999999999999" customHeight="1" x14ac:dyDescent="0.3">
      <c r="A140" s="34">
        <v>137</v>
      </c>
      <c r="B140" s="12" t="s">
        <v>641</v>
      </c>
      <c r="C140" s="29" t="s">
        <v>0</v>
      </c>
      <c r="D140" s="32" t="str">
        <f t="shared" si="25"/>
        <v>专用物耗</v>
      </c>
      <c r="E140" s="12"/>
      <c r="F140" s="15" t="s">
        <v>642</v>
      </c>
      <c r="G140" s="15"/>
      <c r="H140" s="15"/>
      <c r="I140" s="15"/>
      <c r="J140" s="29" t="s">
        <v>821</v>
      </c>
      <c r="K140" s="14">
        <v>1</v>
      </c>
      <c r="L140" s="29" t="s">
        <v>822</v>
      </c>
      <c r="M140" s="32" t="str">
        <f t="shared" si="26"/>
        <v>常规</v>
      </c>
      <c r="N140" s="12"/>
      <c r="O140" s="135" t="s">
        <v>2246</v>
      </c>
      <c r="P140" s="134" t="s">
        <v>2238</v>
      </c>
      <c r="Q140" s="137"/>
      <c r="R140" s="15"/>
      <c r="S140" s="12" t="s">
        <v>2420</v>
      </c>
      <c r="T140" s="15">
        <v>1</v>
      </c>
      <c r="U140" s="32" t="str">
        <f t="shared" si="27"/>
        <v>只</v>
      </c>
      <c r="V140" s="15" t="s">
        <v>629</v>
      </c>
      <c r="W140" s="35"/>
      <c r="X140" s="32" t="str">
        <f t="shared" si="28"/>
        <v/>
      </c>
      <c r="Y140" s="32" t="str">
        <f t="shared" si="29"/>
        <v>只</v>
      </c>
      <c r="Z140" s="15"/>
      <c r="AA140" s="15"/>
      <c r="AB140" s="35"/>
    </row>
    <row r="141" spans="1:28" s="45" customFormat="1" ht="19.899999999999999" customHeight="1" x14ac:dyDescent="0.3">
      <c r="A141" s="34">
        <v>138</v>
      </c>
      <c r="B141" s="12" t="s">
        <v>643</v>
      </c>
      <c r="C141" s="29" t="s">
        <v>0</v>
      </c>
      <c r="D141" s="32" t="str">
        <f t="shared" si="25"/>
        <v>专用物耗</v>
      </c>
      <c r="E141" s="16"/>
      <c r="F141" s="14" t="s">
        <v>99</v>
      </c>
      <c r="G141" s="15"/>
      <c r="H141" s="15"/>
      <c r="I141" s="15"/>
      <c r="J141" s="29" t="s">
        <v>821</v>
      </c>
      <c r="K141" s="18">
        <v>1</v>
      </c>
      <c r="L141" s="29" t="s">
        <v>837</v>
      </c>
      <c r="M141" s="32" t="str">
        <f t="shared" si="26"/>
        <v>常规</v>
      </c>
      <c r="N141" s="18"/>
      <c r="O141" s="135" t="s">
        <v>2257</v>
      </c>
      <c r="P141" s="134" t="s">
        <v>2238</v>
      </c>
      <c r="Q141" s="137"/>
      <c r="R141" s="15"/>
      <c r="S141" s="15"/>
      <c r="T141" s="15"/>
      <c r="U141" s="32" t="str">
        <f t="shared" si="27"/>
        <v>2对/盒</v>
      </c>
      <c r="V141" s="15" t="s">
        <v>629</v>
      </c>
      <c r="W141" s="35"/>
      <c r="X141" s="32">
        <f t="shared" si="28"/>
        <v>1</v>
      </c>
      <c r="Y141" s="32" t="str">
        <f t="shared" si="29"/>
        <v>2对/盒</v>
      </c>
      <c r="Z141" s="15" t="s">
        <v>629</v>
      </c>
      <c r="AA141" s="15"/>
      <c r="AB141" s="35"/>
    </row>
    <row r="142" spans="1:28" s="45" customFormat="1" ht="19.899999999999999" customHeight="1" x14ac:dyDescent="0.3">
      <c r="A142" s="34">
        <v>139</v>
      </c>
      <c r="B142" s="12" t="s">
        <v>644</v>
      </c>
      <c r="C142" s="29" t="s">
        <v>0</v>
      </c>
      <c r="D142" s="32" t="str">
        <f t="shared" si="25"/>
        <v>专用物耗</v>
      </c>
      <c r="E142" s="16"/>
      <c r="F142" s="14" t="s">
        <v>100</v>
      </c>
      <c r="G142" s="15"/>
      <c r="H142" s="15"/>
      <c r="I142" s="15"/>
      <c r="J142" s="29" t="s">
        <v>821</v>
      </c>
      <c r="K142" s="18">
        <v>1</v>
      </c>
      <c r="L142" s="29" t="s">
        <v>838</v>
      </c>
      <c r="M142" s="32" t="str">
        <f t="shared" si="26"/>
        <v>常规</v>
      </c>
      <c r="N142" s="18"/>
      <c r="O142" s="135" t="s">
        <v>2257</v>
      </c>
      <c r="P142" s="134" t="s">
        <v>2238</v>
      </c>
      <c r="Q142" s="137"/>
      <c r="R142" s="15"/>
      <c r="S142" s="15"/>
      <c r="T142" s="15"/>
      <c r="U142" s="32" t="str">
        <f t="shared" si="27"/>
        <v>4片/包</v>
      </c>
      <c r="V142" s="15" t="s">
        <v>629</v>
      </c>
      <c r="W142" s="35"/>
      <c r="X142" s="32">
        <f t="shared" si="28"/>
        <v>1</v>
      </c>
      <c r="Y142" s="32" t="str">
        <f t="shared" si="29"/>
        <v>4片/包</v>
      </c>
      <c r="Z142" s="15" t="s">
        <v>629</v>
      </c>
      <c r="AA142" s="15"/>
      <c r="AB142" s="35"/>
    </row>
    <row r="143" spans="1:28" s="45" customFormat="1" ht="19.899999999999999" customHeight="1" x14ac:dyDescent="0.3">
      <c r="A143" s="34">
        <v>140</v>
      </c>
      <c r="B143" s="12" t="s">
        <v>645</v>
      </c>
      <c r="C143" s="29" t="s">
        <v>0</v>
      </c>
      <c r="D143" s="32" t="str">
        <f t="shared" si="25"/>
        <v>专用物耗</v>
      </c>
      <c r="E143" s="16"/>
      <c r="F143" s="14" t="s">
        <v>101</v>
      </c>
      <c r="G143" s="15"/>
      <c r="H143" s="15"/>
      <c r="I143" s="15"/>
      <c r="J143" s="29" t="s">
        <v>821</v>
      </c>
      <c r="K143" s="18">
        <v>3</v>
      </c>
      <c r="L143" s="29" t="s">
        <v>830</v>
      </c>
      <c r="M143" s="32" t="str">
        <f t="shared" si="26"/>
        <v>常规</v>
      </c>
      <c r="N143" s="18"/>
      <c r="O143" s="135" t="s">
        <v>2257</v>
      </c>
      <c r="P143" s="134" t="s">
        <v>2239</v>
      </c>
      <c r="Q143" s="137"/>
      <c r="R143" s="15"/>
      <c r="S143" s="15" t="s">
        <v>964</v>
      </c>
      <c r="T143" s="15">
        <v>1</v>
      </c>
      <c r="U143" s="32" t="str">
        <f t="shared" si="27"/>
        <v>卷</v>
      </c>
      <c r="V143" s="15" t="s">
        <v>1651</v>
      </c>
      <c r="W143" s="35"/>
      <c r="X143" s="32">
        <f t="shared" si="28"/>
        <v>2</v>
      </c>
      <c r="Y143" s="32" t="str">
        <f t="shared" si="29"/>
        <v>卷</v>
      </c>
      <c r="Z143" s="15" t="s">
        <v>1651</v>
      </c>
      <c r="AA143" s="15"/>
      <c r="AB143" s="35"/>
    </row>
    <row r="144" spans="1:28" s="45" customFormat="1" ht="19.899999999999999" customHeight="1" x14ac:dyDescent="0.3">
      <c r="A144" s="34">
        <v>141</v>
      </c>
      <c r="B144" s="16" t="s">
        <v>646</v>
      </c>
      <c r="C144" s="29" t="s">
        <v>0</v>
      </c>
      <c r="D144" s="32" t="str">
        <f t="shared" si="25"/>
        <v>专用物耗</v>
      </c>
      <c r="E144" s="16" t="s">
        <v>647</v>
      </c>
      <c r="F144" s="16" t="s">
        <v>102</v>
      </c>
      <c r="G144" s="15"/>
      <c r="H144" s="15"/>
      <c r="I144" s="15"/>
      <c r="J144" s="29" t="s">
        <v>821</v>
      </c>
      <c r="K144" s="18">
        <v>94</v>
      </c>
      <c r="L144" s="37" t="s">
        <v>823</v>
      </c>
      <c r="M144" s="32" t="str">
        <f t="shared" si="26"/>
        <v>常规</v>
      </c>
      <c r="N144" s="18"/>
      <c r="O144" s="135" t="s">
        <v>2257</v>
      </c>
      <c r="P144" s="134" t="s">
        <v>2239</v>
      </c>
      <c r="Q144" s="141"/>
      <c r="R144" s="15"/>
      <c r="S144" s="15"/>
      <c r="T144" s="15"/>
      <c r="U144" s="32" t="str">
        <f t="shared" si="27"/>
        <v>个</v>
      </c>
      <c r="V144" s="14" t="s">
        <v>648</v>
      </c>
      <c r="W144" s="35"/>
      <c r="X144" s="32">
        <f t="shared" si="28"/>
        <v>94</v>
      </c>
      <c r="Y144" s="32" t="str">
        <f t="shared" si="29"/>
        <v>个</v>
      </c>
      <c r="Z144" s="14" t="s">
        <v>648</v>
      </c>
      <c r="AA144" s="15"/>
      <c r="AB144" s="35"/>
    </row>
    <row r="145" spans="1:28" s="45" customFormat="1" ht="19.899999999999999" customHeight="1" x14ac:dyDescent="0.3">
      <c r="A145" s="34">
        <v>142</v>
      </c>
      <c r="B145" s="20" t="s">
        <v>646</v>
      </c>
      <c r="C145" s="29" t="s">
        <v>0</v>
      </c>
      <c r="D145" s="32" t="str">
        <f t="shared" si="25"/>
        <v>专用物耗</v>
      </c>
      <c r="E145" s="16"/>
      <c r="F145" s="23" t="s">
        <v>103</v>
      </c>
      <c r="G145" s="15"/>
      <c r="H145" s="15"/>
      <c r="I145" s="15"/>
      <c r="J145" s="29" t="s">
        <v>821</v>
      </c>
      <c r="K145" s="43">
        <v>100</v>
      </c>
      <c r="L145" s="29" t="s">
        <v>823</v>
      </c>
      <c r="M145" s="32" t="str">
        <f t="shared" si="26"/>
        <v>常规</v>
      </c>
      <c r="N145" s="18" t="s">
        <v>649</v>
      </c>
      <c r="O145" s="135" t="s">
        <v>2257</v>
      </c>
      <c r="P145" s="134" t="s">
        <v>2239</v>
      </c>
      <c r="Q145" s="141"/>
      <c r="R145" s="15"/>
      <c r="S145" s="15" t="s">
        <v>2030</v>
      </c>
      <c r="T145" s="15">
        <v>24</v>
      </c>
      <c r="U145" s="32" t="str">
        <f t="shared" si="27"/>
        <v>个</v>
      </c>
      <c r="V145" s="14" t="s">
        <v>648</v>
      </c>
      <c r="W145" s="35"/>
      <c r="X145" s="32">
        <f t="shared" si="28"/>
        <v>76</v>
      </c>
      <c r="Y145" s="32" t="str">
        <f t="shared" si="29"/>
        <v>个</v>
      </c>
      <c r="Z145" s="14" t="s">
        <v>648</v>
      </c>
      <c r="AA145" s="15"/>
      <c r="AB145" s="35"/>
    </row>
    <row r="146" spans="1:28" s="173" customFormat="1" ht="19.899999999999999" customHeight="1" x14ac:dyDescent="0.3">
      <c r="A146" s="163">
        <v>143</v>
      </c>
      <c r="B146" s="181" t="s">
        <v>650</v>
      </c>
      <c r="C146" s="165" t="s">
        <v>0</v>
      </c>
      <c r="D146" s="166" t="str">
        <f t="shared" si="25"/>
        <v>专用物耗</v>
      </c>
      <c r="E146" s="164"/>
      <c r="F146" s="241" t="s">
        <v>651</v>
      </c>
      <c r="G146" s="167"/>
      <c r="H146" s="167"/>
      <c r="I146" s="167"/>
      <c r="J146" s="165" t="s">
        <v>821</v>
      </c>
      <c r="K146" s="168">
        <v>1</v>
      </c>
      <c r="L146" s="165" t="s">
        <v>839</v>
      </c>
      <c r="M146" s="166" t="str">
        <f t="shared" si="26"/>
        <v>常规</v>
      </c>
      <c r="N146" s="242"/>
      <c r="O146" s="180" t="s">
        <v>2257</v>
      </c>
      <c r="P146" s="170" t="s">
        <v>2239</v>
      </c>
      <c r="Q146" s="171"/>
      <c r="R146" s="167"/>
      <c r="S146" s="167" t="s">
        <v>933</v>
      </c>
      <c r="T146" s="167">
        <v>1</v>
      </c>
      <c r="U146" s="166" t="str">
        <f t="shared" si="27"/>
        <v xml:space="preserve">个 </v>
      </c>
      <c r="V146" s="168" t="s">
        <v>648</v>
      </c>
      <c r="W146" s="172"/>
      <c r="X146" s="166" t="str">
        <f t="shared" si="28"/>
        <v/>
      </c>
      <c r="Y146" s="166" t="str">
        <f t="shared" si="29"/>
        <v xml:space="preserve">个 </v>
      </c>
      <c r="Z146" s="168" t="s">
        <v>648</v>
      </c>
      <c r="AA146" s="167"/>
      <c r="AB146" s="172"/>
    </row>
    <row r="147" spans="1:28" s="45" customFormat="1" ht="19.899999999999999" customHeight="1" x14ac:dyDescent="0.3">
      <c r="A147" s="34">
        <v>144</v>
      </c>
      <c r="B147" s="20" t="s">
        <v>652</v>
      </c>
      <c r="C147" s="29" t="s">
        <v>0</v>
      </c>
      <c r="D147" s="32" t="str">
        <f t="shared" si="25"/>
        <v>专用物耗</v>
      </c>
      <c r="E147" s="309" t="s">
        <v>3092</v>
      </c>
      <c r="F147" s="23" t="s">
        <v>653</v>
      </c>
      <c r="G147" s="15"/>
      <c r="H147" s="15"/>
      <c r="I147" s="15"/>
      <c r="J147" s="29" t="s">
        <v>821</v>
      </c>
      <c r="K147" s="43">
        <v>2</v>
      </c>
      <c r="L147" s="29" t="s">
        <v>825</v>
      </c>
      <c r="M147" s="32" t="str">
        <f t="shared" si="26"/>
        <v>常规</v>
      </c>
      <c r="N147" s="18" t="s">
        <v>654</v>
      </c>
      <c r="O147" s="135" t="s">
        <v>2257</v>
      </c>
      <c r="P147" s="134" t="s">
        <v>2239</v>
      </c>
      <c r="Q147" s="141"/>
      <c r="R147" s="15"/>
      <c r="S147" s="15" t="s">
        <v>2051</v>
      </c>
      <c r="T147" s="15">
        <v>1</v>
      </c>
      <c r="U147" s="32" t="str">
        <f t="shared" si="27"/>
        <v>袋</v>
      </c>
      <c r="V147" s="14" t="s">
        <v>648</v>
      </c>
      <c r="W147" s="35"/>
      <c r="X147" s="32">
        <f t="shared" si="28"/>
        <v>1</v>
      </c>
      <c r="Y147" s="32" t="str">
        <f t="shared" si="29"/>
        <v>袋</v>
      </c>
      <c r="Z147" s="14" t="s">
        <v>648</v>
      </c>
      <c r="AA147" s="15"/>
      <c r="AB147" s="35"/>
    </row>
    <row r="148" spans="1:28" s="45" customFormat="1" ht="19.899999999999999" customHeight="1" x14ac:dyDescent="0.3">
      <c r="A148" s="34">
        <v>145</v>
      </c>
      <c r="B148" s="20" t="s">
        <v>655</v>
      </c>
      <c r="C148" s="29" t="s">
        <v>0</v>
      </c>
      <c r="D148" s="32" t="str">
        <f t="shared" si="25"/>
        <v>专用物耗</v>
      </c>
      <c r="E148" s="16"/>
      <c r="F148" s="23" t="s">
        <v>656</v>
      </c>
      <c r="G148" s="15"/>
      <c r="H148" s="15"/>
      <c r="I148" s="15"/>
      <c r="J148" s="29" t="s">
        <v>821</v>
      </c>
      <c r="K148" s="43">
        <v>8</v>
      </c>
      <c r="L148" s="29" t="s">
        <v>828</v>
      </c>
      <c r="M148" s="32" t="str">
        <f t="shared" si="26"/>
        <v>常规</v>
      </c>
      <c r="N148" s="18"/>
      <c r="O148" s="135" t="s">
        <v>2257</v>
      </c>
      <c r="P148" s="134" t="s">
        <v>2239</v>
      </c>
      <c r="Q148" s="141"/>
      <c r="R148" s="15"/>
      <c r="S148" s="15"/>
      <c r="T148" s="15"/>
      <c r="U148" s="32" t="str">
        <f t="shared" si="27"/>
        <v>包</v>
      </c>
      <c r="V148" s="14" t="s">
        <v>648</v>
      </c>
      <c r="W148" s="35"/>
      <c r="X148" s="32">
        <f t="shared" si="28"/>
        <v>8</v>
      </c>
      <c r="Y148" s="32" t="str">
        <f t="shared" si="29"/>
        <v>包</v>
      </c>
      <c r="Z148" s="14" t="s">
        <v>648</v>
      </c>
      <c r="AA148" s="15"/>
      <c r="AB148" s="35"/>
    </row>
    <row r="149" spans="1:28" s="45" customFormat="1" ht="19.899999999999999" customHeight="1" x14ac:dyDescent="0.3">
      <c r="A149" s="34">
        <v>146</v>
      </c>
      <c r="B149" s="12" t="s">
        <v>657</v>
      </c>
      <c r="C149" s="29" t="s">
        <v>0</v>
      </c>
      <c r="D149" s="32" t="str">
        <f t="shared" si="25"/>
        <v>专用物耗</v>
      </c>
      <c r="E149" s="16"/>
      <c r="F149" s="14" t="s">
        <v>658</v>
      </c>
      <c r="G149" s="15"/>
      <c r="H149" s="15"/>
      <c r="I149" s="15"/>
      <c r="J149" s="29" t="s">
        <v>821</v>
      </c>
      <c r="K149" s="18">
        <v>1</v>
      </c>
      <c r="L149" s="29" t="s">
        <v>830</v>
      </c>
      <c r="M149" s="32" t="str">
        <f t="shared" si="26"/>
        <v>常规</v>
      </c>
      <c r="N149" s="18"/>
      <c r="O149" s="135" t="s">
        <v>2257</v>
      </c>
      <c r="P149" s="134" t="s">
        <v>2239</v>
      </c>
      <c r="Q149" s="141"/>
      <c r="R149" s="15"/>
      <c r="S149" s="15"/>
      <c r="T149" s="15"/>
      <c r="U149" s="32" t="str">
        <f t="shared" si="27"/>
        <v>卷</v>
      </c>
      <c r="V149" s="14" t="s">
        <v>648</v>
      </c>
      <c r="W149" s="35"/>
      <c r="X149" s="32">
        <f t="shared" si="28"/>
        <v>1</v>
      </c>
      <c r="Y149" s="32" t="str">
        <f t="shared" si="29"/>
        <v>卷</v>
      </c>
      <c r="Z149" s="14" t="s">
        <v>648</v>
      </c>
      <c r="AA149" s="15"/>
      <c r="AB149" s="35"/>
    </row>
    <row r="150" spans="1:28" s="45" customFormat="1" ht="19.899999999999999" customHeight="1" x14ac:dyDescent="0.3">
      <c r="A150" s="34">
        <v>147</v>
      </c>
      <c r="B150" s="12" t="s">
        <v>659</v>
      </c>
      <c r="C150" s="29" t="s">
        <v>0</v>
      </c>
      <c r="D150" s="32" t="str">
        <f t="shared" si="25"/>
        <v>专用物耗</v>
      </c>
      <c r="E150" s="16"/>
      <c r="F150" s="14"/>
      <c r="G150" s="15"/>
      <c r="H150" s="15"/>
      <c r="I150" s="15"/>
      <c r="J150" s="29" t="s">
        <v>821</v>
      </c>
      <c r="K150" s="18">
        <v>5</v>
      </c>
      <c r="L150" s="29" t="s">
        <v>823</v>
      </c>
      <c r="M150" s="32" t="str">
        <f t="shared" si="26"/>
        <v>常规</v>
      </c>
      <c r="N150" s="18" t="s">
        <v>660</v>
      </c>
      <c r="O150" s="141" t="s">
        <v>2258</v>
      </c>
      <c r="P150" s="134" t="s">
        <v>2238</v>
      </c>
      <c r="Q150" s="141"/>
      <c r="R150" s="15"/>
      <c r="S150" s="15"/>
      <c r="T150" s="15"/>
      <c r="U150" s="32" t="str">
        <f t="shared" si="27"/>
        <v>个</v>
      </c>
      <c r="V150" s="14" t="s">
        <v>1649</v>
      </c>
      <c r="W150" s="35"/>
      <c r="X150" s="32">
        <f t="shared" si="28"/>
        <v>5</v>
      </c>
      <c r="Y150" s="32" t="str">
        <f t="shared" si="29"/>
        <v>个</v>
      </c>
      <c r="Z150" s="14" t="s">
        <v>1649</v>
      </c>
      <c r="AA150" s="15"/>
      <c r="AB150" s="35"/>
    </row>
    <row r="151" spans="1:28" s="45" customFormat="1" ht="19.899999999999999" customHeight="1" x14ac:dyDescent="0.3">
      <c r="A151" s="34">
        <v>148</v>
      </c>
      <c r="B151" s="12" t="s">
        <v>661</v>
      </c>
      <c r="C151" s="29" t="s">
        <v>0</v>
      </c>
      <c r="D151" s="32" t="str">
        <f t="shared" si="25"/>
        <v>专用物耗</v>
      </c>
      <c r="E151" s="18" t="s">
        <v>256</v>
      </c>
      <c r="F151" s="18" t="s">
        <v>27</v>
      </c>
      <c r="G151" s="15"/>
      <c r="H151" s="15"/>
      <c r="I151" s="15"/>
      <c r="J151" s="29" t="s">
        <v>821</v>
      </c>
      <c r="K151" s="16">
        <v>6</v>
      </c>
      <c r="L151" s="36" t="s">
        <v>832</v>
      </c>
      <c r="M151" s="32" t="str">
        <f t="shared" si="26"/>
        <v>常规</v>
      </c>
      <c r="N151" s="25"/>
      <c r="O151" s="141" t="s">
        <v>2258</v>
      </c>
      <c r="P151" s="134" t="s">
        <v>2236</v>
      </c>
      <c r="Q151" s="141"/>
      <c r="R151" s="15"/>
      <c r="S151" s="15"/>
      <c r="T151" s="15"/>
      <c r="U151" s="32" t="str">
        <f t="shared" si="27"/>
        <v>瓶</v>
      </c>
      <c r="V151" s="14"/>
      <c r="W151" s="35"/>
      <c r="X151" s="32">
        <f t="shared" si="28"/>
        <v>6</v>
      </c>
      <c r="Y151" s="32" t="str">
        <f t="shared" si="29"/>
        <v>瓶</v>
      </c>
      <c r="Z151" s="14"/>
      <c r="AA151" s="15"/>
      <c r="AB151" s="35"/>
    </row>
    <row r="152" spans="1:28" s="45" customFormat="1" ht="19.899999999999999" customHeight="1" x14ac:dyDescent="0.3">
      <c r="A152" s="34">
        <v>149</v>
      </c>
      <c r="B152" s="12" t="s">
        <v>662</v>
      </c>
      <c r="C152" s="29" t="s">
        <v>0</v>
      </c>
      <c r="D152" s="32" t="str">
        <f t="shared" si="25"/>
        <v>专用物耗</v>
      </c>
      <c r="E152" s="14"/>
      <c r="F152" s="14" t="s">
        <v>20</v>
      </c>
      <c r="G152" s="15"/>
      <c r="H152" s="15"/>
      <c r="I152" s="15"/>
      <c r="J152" s="29" t="s">
        <v>821</v>
      </c>
      <c r="K152" s="16">
        <v>20</v>
      </c>
      <c r="L152" s="29" t="s">
        <v>823</v>
      </c>
      <c r="M152" s="32" t="str">
        <f t="shared" si="26"/>
        <v>常规</v>
      </c>
      <c r="N152" s="18"/>
      <c r="O152" s="141" t="s">
        <v>2258</v>
      </c>
      <c r="P152" s="134" t="s">
        <v>2236</v>
      </c>
      <c r="Q152" s="141"/>
      <c r="R152" s="15"/>
      <c r="S152" s="15" t="s">
        <v>2480</v>
      </c>
      <c r="T152" s="15">
        <v>2</v>
      </c>
      <c r="U152" s="32" t="str">
        <f t="shared" si="27"/>
        <v>个</v>
      </c>
      <c r="V152" s="14"/>
      <c r="W152" s="35"/>
      <c r="X152" s="32">
        <f t="shared" si="28"/>
        <v>18</v>
      </c>
      <c r="Y152" s="32" t="str">
        <f t="shared" si="29"/>
        <v>个</v>
      </c>
      <c r="Z152" s="14"/>
      <c r="AA152" s="15"/>
      <c r="AB152" s="35"/>
    </row>
    <row r="153" spans="1:28" s="45" customFormat="1" ht="19.899999999999999" customHeight="1" x14ac:dyDescent="0.3">
      <c r="A153" s="34">
        <v>150</v>
      </c>
      <c r="B153" s="12" t="s">
        <v>663</v>
      </c>
      <c r="C153" s="29" t="s">
        <v>0</v>
      </c>
      <c r="D153" s="32" t="str">
        <f t="shared" si="25"/>
        <v>专用物耗</v>
      </c>
      <c r="E153" s="14"/>
      <c r="F153" s="14" t="s">
        <v>19</v>
      </c>
      <c r="G153" s="15"/>
      <c r="H153" s="15"/>
      <c r="I153" s="15"/>
      <c r="J153" s="29" t="s">
        <v>821</v>
      </c>
      <c r="K153" s="18">
        <v>23</v>
      </c>
      <c r="L153" s="29" t="s">
        <v>823</v>
      </c>
      <c r="M153" s="32" t="str">
        <f t="shared" si="26"/>
        <v>常规</v>
      </c>
      <c r="N153" s="18" t="s">
        <v>664</v>
      </c>
      <c r="O153" s="141" t="s">
        <v>2258</v>
      </c>
      <c r="P153" s="134" t="s">
        <v>2236</v>
      </c>
      <c r="Q153" s="141"/>
      <c r="R153" s="15"/>
      <c r="S153" s="15"/>
      <c r="T153" s="15"/>
      <c r="U153" s="32" t="str">
        <f t="shared" si="27"/>
        <v>个</v>
      </c>
      <c r="V153" s="14"/>
      <c r="W153" s="35"/>
      <c r="X153" s="32">
        <f t="shared" si="28"/>
        <v>23</v>
      </c>
      <c r="Y153" s="32" t="str">
        <f t="shared" si="29"/>
        <v>个</v>
      </c>
      <c r="Z153" s="14"/>
      <c r="AA153" s="15"/>
      <c r="AB153" s="35"/>
    </row>
    <row r="154" spans="1:28" s="45" customFormat="1" ht="19.899999999999999" customHeight="1" x14ac:dyDescent="0.3">
      <c r="A154" s="34">
        <v>151</v>
      </c>
      <c r="B154" s="12" t="s">
        <v>665</v>
      </c>
      <c r="C154" s="29" t="s">
        <v>0</v>
      </c>
      <c r="D154" s="32" t="str">
        <f t="shared" si="25"/>
        <v>专用物耗</v>
      </c>
      <c r="E154" s="18" t="s">
        <v>256</v>
      </c>
      <c r="F154" s="16" t="s">
        <v>27</v>
      </c>
      <c r="G154" s="15"/>
      <c r="H154" s="15"/>
      <c r="I154" s="15"/>
      <c r="J154" s="29" t="s">
        <v>821</v>
      </c>
      <c r="K154" s="16">
        <v>9</v>
      </c>
      <c r="L154" s="36" t="s">
        <v>823</v>
      </c>
      <c r="M154" s="32" t="str">
        <f t="shared" si="26"/>
        <v>常规</v>
      </c>
      <c r="N154" s="25"/>
      <c r="O154" s="141" t="s">
        <v>2258</v>
      </c>
      <c r="P154" s="134" t="s">
        <v>2236</v>
      </c>
      <c r="Q154" s="141"/>
      <c r="R154" s="15"/>
      <c r="S154" s="15"/>
      <c r="T154" s="15"/>
      <c r="U154" s="32" t="str">
        <f t="shared" si="27"/>
        <v>个</v>
      </c>
      <c r="V154" s="14"/>
      <c r="W154" s="35"/>
      <c r="X154" s="32">
        <f t="shared" si="28"/>
        <v>9</v>
      </c>
      <c r="Y154" s="32" t="str">
        <f t="shared" si="29"/>
        <v>个</v>
      </c>
      <c r="Z154" s="14"/>
      <c r="AA154" s="15"/>
      <c r="AB154" s="35"/>
    </row>
    <row r="155" spans="1:28" s="45" customFormat="1" ht="19.899999999999999" customHeight="1" x14ac:dyDescent="0.3">
      <c r="A155" s="34">
        <v>152</v>
      </c>
      <c r="B155" s="12" t="s">
        <v>584</v>
      </c>
      <c r="C155" s="29" t="s">
        <v>0</v>
      </c>
      <c r="D155" s="32" t="str">
        <f t="shared" si="25"/>
        <v>专用物耗</v>
      </c>
      <c r="E155" s="14"/>
      <c r="F155" s="14" t="s">
        <v>20</v>
      </c>
      <c r="G155" s="15"/>
      <c r="H155" s="15"/>
      <c r="I155" s="15"/>
      <c r="J155" s="29" t="s">
        <v>821</v>
      </c>
      <c r="K155" s="18">
        <v>1</v>
      </c>
      <c r="L155" s="29" t="s">
        <v>823</v>
      </c>
      <c r="M155" s="32" t="str">
        <f t="shared" si="26"/>
        <v>常规</v>
      </c>
      <c r="N155" s="18"/>
      <c r="O155" s="141" t="s">
        <v>2258</v>
      </c>
      <c r="P155" s="134" t="s">
        <v>2236</v>
      </c>
      <c r="Q155" s="141"/>
      <c r="R155" s="15"/>
      <c r="S155" s="15"/>
      <c r="T155" s="15"/>
      <c r="U155" s="32" t="str">
        <f t="shared" si="27"/>
        <v>个</v>
      </c>
      <c r="V155" s="14"/>
      <c r="W155" s="35"/>
      <c r="X155" s="32">
        <f t="shared" si="28"/>
        <v>1</v>
      </c>
      <c r="Y155" s="32" t="str">
        <f t="shared" si="29"/>
        <v>个</v>
      </c>
      <c r="Z155" s="14"/>
      <c r="AA155" s="15"/>
      <c r="AB155" s="35"/>
    </row>
    <row r="156" spans="1:28" s="45" customFormat="1" ht="19.899999999999999" customHeight="1" x14ac:dyDescent="0.3">
      <c r="A156" s="34">
        <v>153</v>
      </c>
      <c r="B156" s="12" t="s">
        <v>666</v>
      </c>
      <c r="C156" s="29" t="s">
        <v>0</v>
      </c>
      <c r="D156" s="32" t="str">
        <f t="shared" si="25"/>
        <v>专用物耗</v>
      </c>
      <c r="E156" s="14" t="s">
        <v>256</v>
      </c>
      <c r="F156" s="12" t="s">
        <v>10</v>
      </c>
      <c r="G156" s="15"/>
      <c r="H156" s="15"/>
      <c r="I156" s="15"/>
      <c r="J156" s="29" t="s">
        <v>821</v>
      </c>
      <c r="K156" s="16">
        <v>2</v>
      </c>
      <c r="L156" s="29" t="s">
        <v>823</v>
      </c>
      <c r="M156" s="32" t="str">
        <f t="shared" si="26"/>
        <v>常规</v>
      </c>
      <c r="N156" s="25"/>
      <c r="O156" s="141" t="s">
        <v>2258</v>
      </c>
      <c r="P156" s="134" t="s">
        <v>2236</v>
      </c>
      <c r="Q156" s="141"/>
      <c r="R156" s="15"/>
      <c r="S156" s="15"/>
      <c r="T156" s="15"/>
      <c r="U156" s="32" t="str">
        <f t="shared" si="27"/>
        <v>个</v>
      </c>
      <c r="V156" s="14"/>
      <c r="W156" s="35"/>
      <c r="X156" s="32">
        <f t="shared" si="28"/>
        <v>2</v>
      </c>
      <c r="Y156" s="32" t="str">
        <f t="shared" si="29"/>
        <v>个</v>
      </c>
      <c r="Z156" s="14"/>
      <c r="AA156" s="15"/>
      <c r="AB156" s="35"/>
    </row>
    <row r="157" spans="1:28" s="45" customFormat="1" ht="19.899999999999999" customHeight="1" x14ac:dyDescent="0.3">
      <c r="A157" s="34">
        <v>154</v>
      </c>
      <c r="B157" s="12" t="s">
        <v>667</v>
      </c>
      <c r="C157" s="29" t="s">
        <v>0</v>
      </c>
      <c r="D157" s="32" t="str">
        <f t="shared" si="25"/>
        <v>专用物耗</v>
      </c>
      <c r="E157" s="14"/>
      <c r="F157" s="14" t="s">
        <v>104</v>
      </c>
      <c r="G157" s="15"/>
      <c r="H157" s="15"/>
      <c r="I157" s="15"/>
      <c r="J157" s="29" t="s">
        <v>821</v>
      </c>
      <c r="K157" s="18">
        <v>34</v>
      </c>
      <c r="L157" s="29" t="s">
        <v>823</v>
      </c>
      <c r="M157" s="32" t="str">
        <f t="shared" si="26"/>
        <v>常规</v>
      </c>
      <c r="N157" s="18"/>
      <c r="O157" s="141" t="s">
        <v>2258</v>
      </c>
      <c r="P157" s="134" t="s">
        <v>2236</v>
      </c>
      <c r="Q157" s="141"/>
      <c r="R157" s="15"/>
      <c r="S157" s="15"/>
      <c r="T157" s="15"/>
      <c r="U157" s="32" t="str">
        <f t="shared" si="27"/>
        <v>个</v>
      </c>
      <c r="V157" s="14"/>
      <c r="W157" s="35"/>
      <c r="X157" s="32">
        <f t="shared" si="28"/>
        <v>34</v>
      </c>
      <c r="Y157" s="32" t="str">
        <f t="shared" si="29"/>
        <v>个</v>
      </c>
      <c r="Z157" s="14"/>
      <c r="AA157" s="15"/>
      <c r="AB157" s="35"/>
    </row>
    <row r="158" spans="1:28" s="45" customFormat="1" ht="19.899999999999999" customHeight="1" x14ac:dyDescent="0.3">
      <c r="A158" s="34">
        <v>155</v>
      </c>
      <c r="B158" s="12" t="s">
        <v>668</v>
      </c>
      <c r="C158" s="29" t="s">
        <v>0</v>
      </c>
      <c r="D158" s="32" t="str">
        <f t="shared" si="25"/>
        <v>专用物耗</v>
      </c>
      <c r="E158" s="14" t="s">
        <v>256</v>
      </c>
      <c r="F158" s="14" t="s">
        <v>1262</v>
      </c>
      <c r="G158" s="15"/>
      <c r="H158" s="15"/>
      <c r="I158" s="15"/>
      <c r="J158" s="29" t="s">
        <v>821</v>
      </c>
      <c r="K158" s="16">
        <v>12</v>
      </c>
      <c r="L158" s="37" t="s">
        <v>823</v>
      </c>
      <c r="M158" s="32" t="str">
        <f t="shared" si="26"/>
        <v>常规</v>
      </c>
      <c r="N158" s="25" t="s">
        <v>670</v>
      </c>
      <c r="O158" s="141" t="s">
        <v>2258</v>
      </c>
      <c r="P158" s="134" t="s">
        <v>2238</v>
      </c>
      <c r="Q158" s="141"/>
      <c r="R158" s="15"/>
      <c r="S158" s="15" t="s">
        <v>1263</v>
      </c>
      <c r="T158" s="15">
        <v>3</v>
      </c>
      <c r="U158" s="32" t="str">
        <f t="shared" si="27"/>
        <v>个</v>
      </c>
      <c r="V158" s="14" t="s">
        <v>669</v>
      </c>
      <c r="W158" s="35"/>
      <c r="X158" s="32">
        <f t="shared" si="28"/>
        <v>9</v>
      </c>
      <c r="Y158" s="32" t="str">
        <f t="shared" si="29"/>
        <v>个</v>
      </c>
      <c r="Z158" s="14" t="s">
        <v>669</v>
      </c>
      <c r="AA158" s="15"/>
      <c r="AB158" s="35"/>
    </row>
    <row r="159" spans="1:28" s="45" customFormat="1" ht="19.899999999999999" customHeight="1" x14ac:dyDescent="0.3">
      <c r="A159" s="34">
        <v>156</v>
      </c>
      <c r="B159" s="12" t="s">
        <v>671</v>
      </c>
      <c r="C159" s="29" t="s">
        <v>0</v>
      </c>
      <c r="D159" s="32" t="str">
        <f t="shared" si="25"/>
        <v>专用物耗</v>
      </c>
      <c r="E159" s="14"/>
      <c r="F159" s="14"/>
      <c r="G159" s="15"/>
      <c r="H159" s="15"/>
      <c r="I159" s="15"/>
      <c r="J159" s="29" t="s">
        <v>821</v>
      </c>
      <c r="K159" s="16">
        <v>9</v>
      </c>
      <c r="L159" s="29" t="s">
        <v>823</v>
      </c>
      <c r="M159" s="32" t="str">
        <f t="shared" si="26"/>
        <v>常规</v>
      </c>
      <c r="N159" s="25"/>
      <c r="O159" s="141" t="s">
        <v>2258</v>
      </c>
      <c r="P159" s="134" t="s">
        <v>2238</v>
      </c>
      <c r="Q159" s="141"/>
      <c r="R159" s="15"/>
      <c r="S159" s="15" t="s">
        <v>2171</v>
      </c>
      <c r="T159" s="15">
        <v>2</v>
      </c>
      <c r="U159" s="32" t="str">
        <f t="shared" si="27"/>
        <v>个</v>
      </c>
      <c r="V159" s="14" t="s">
        <v>669</v>
      </c>
      <c r="W159" s="35"/>
      <c r="X159" s="32">
        <f t="shared" si="28"/>
        <v>7</v>
      </c>
      <c r="Y159" s="32" t="str">
        <f t="shared" si="29"/>
        <v>个</v>
      </c>
      <c r="Z159" s="14" t="s">
        <v>669</v>
      </c>
      <c r="AA159" s="15"/>
      <c r="AB159" s="35"/>
    </row>
    <row r="160" spans="1:28" s="45" customFormat="1" ht="19.899999999999999" customHeight="1" x14ac:dyDescent="0.3">
      <c r="A160" s="34">
        <v>157</v>
      </c>
      <c r="B160" s="12" t="s">
        <v>672</v>
      </c>
      <c r="C160" s="29" t="s">
        <v>0</v>
      </c>
      <c r="D160" s="32" t="str">
        <f t="shared" si="25"/>
        <v>专用物耗</v>
      </c>
      <c r="E160" s="14"/>
      <c r="F160" s="14" t="s">
        <v>105</v>
      </c>
      <c r="G160" s="15"/>
      <c r="H160" s="15"/>
      <c r="I160" s="15"/>
      <c r="J160" s="29" t="s">
        <v>821</v>
      </c>
      <c r="K160" s="18">
        <v>4</v>
      </c>
      <c r="L160" s="29" t="s">
        <v>823</v>
      </c>
      <c r="M160" s="32" t="str">
        <f t="shared" si="26"/>
        <v>常规</v>
      </c>
      <c r="N160" s="18"/>
      <c r="O160" s="141" t="s">
        <v>2258</v>
      </c>
      <c r="P160" s="134" t="s">
        <v>2238</v>
      </c>
      <c r="Q160" s="141"/>
      <c r="R160" s="15"/>
      <c r="S160" s="15"/>
      <c r="T160" s="15"/>
      <c r="U160" s="32" t="str">
        <f t="shared" si="27"/>
        <v>个</v>
      </c>
      <c r="V160" s="14" t="s">
        <v>669</v>
      </c>
      <c r="W160" s="35"/>
      <c r="X160" s="32">
        <f t="shared" si="28"/>
        <v>4</v>
      </c>
      <c r="Y160" s="32" t="str">
        <f t="shared" si="29"/>
        <v>个</v>
      </c>
      <c r="Z160" s="14" t="s">
        <v>669</v>
      </c>
      <c r="AA160" s="15"/>
      <c r="AB160" s="35"/>
    </row>
    <row r="161" spans="1:28" s="45" customFormat="1" ht="19.899999999999999" customHeight="1" x14ac:dyDescent="0.3">
      <c r="A161" s="34">
        <v>158</v>
      </c>
      <c r="B161" s="20" t="s">
        <v>673</v>
      </c>
      <c r="C161" s="29" t="s">
        <v>0</v>
      </c>
      <c r="D161" s="32" t="str">
        <f t="shared" si="25"/>
        <v>专用物耗</v>
      </c>
      <c r="E161" s="16"/>
      <c r="F161" s="23" t="s">
        <v>674</v>
      </c>
      <c r="G161" s="15"/>
      <c r="H161" s="15"/>
      <c r="I161" s="15"/>
      <c r="J161" s="29" t="s">
        <v>821</v>
      </c>
      <c r="K161" s="18">
        <v>1</v>
      </c>
      <c r="L161" s="29" t="s">
        <v>831</v>
      </c>
      <c r="M161" s="32" t="str">
        <f t="shared" si="26"/>
        <v>常规</v>
      </c>
      <c r="N161" s="18"/>
      <c r="O161" s="135" t="s">
        <v>2248</v>
      </c>
      <c r="P161" s="134" t="s">
        <v>2238</v>
      </c>
      <c r="Q161" s="141"/>
      <c r="R161" s="15"/>
      <c r="S161" s="15"/>
      <c r="T161" s="15"/>
      <c r="U161" s="32" t="str">
        <f t="shared" si="27"/>
        <v>根</v>
      </c>
      <c r="V161" s="14"/>
      <c r="W161" s="35"/>
      <c r="X161" s="32">
        <f t="shared" si="28"/>
        <v>1</v>
      </c>
      <c r="Y161" s="32" t="str">
        <f t="shared" si="29"/>
        <v>根</v>
      </c>
      <c r="Z161" s="14"/>
      <c r="AA161" s="15"/>
      <c r="AB161" s="35"/>
    </row>
    <row r="162" spans="1:28" s="45" customFormat="1" ht="19.899999999999999" customHeight="1" x14ac:dyDescent="0.3">
      <c r="A162" s="34">
        <v>159</v>
      </c>
      <c r="B162" s="12" t="s">
        <v>2521</v>
      </c>
      <c r="C162" s="29" t="s">
        <v>0</v>
      </c>
      <c r="D162" s="32" t="str">
        <f t="shared" si="25"/>
        <v>专用物耗</v>
      </c>
      <c r="E162" s="16"/>
      <c r="F162" s="14"/>
      <c r="G162" s="15"/>
      <c r="H162" s="15"/>
      <c r="I162" s="15"/>
      <c r="J162" s="29" t="s">
        <v>821</v>
      </c>
      <c r="K162" s="26">
        <v>10</v>
      </c>
      <c r="L162" s="29" t="s">
        <v>823</v>
      </c>
      <c r="M162" s="32" t="str">
        <f t="shared" si="26"/>
        <v>常规</v>
      </c>
      <c r="N162" s="18"/>
      <c r="O162" s="135" t="s">
        <v>2258</v>
      </c>
      <c r="P162" s="134" t="s">
        <v>2238</v>
      </c>
      <c r="Q162" s="141"/>
      <c r="R162" s="15"/>
      <c r="S162" s="15" t="s">
        <v>253</v>
      </c>
      <c r="T162" s="15">
        <v>3</v>
      </c>
      <c r="U162" s="32" t="str">
        <f t="shared" si="27"/>
        <v>个</v>
      </c>
      <c r="V162" s="14" t="s">
        <v>669</v>
      </c>
      <c r="W162" s="35"/>
      <c r="X162" s="32">
        <f t="shared" si="28"/>
        <v>7</v>
      </c>
      <c r="Y162" s="32" t="str">
        <f t="shared" si="29"/>
        <v>个</v>
      </c>
      <c r="Z162" s="14" t="s">
        <v>669</v>
      </c>
      <c r="AA162" s="15"/>
      <c r="AB162" s="35"/>
    </row>
    <row r="163" spans="1:28" s="45" customFormat="1" ht="19.899999999999999" customHeight="1" x14ac:dyDescent="0.3">
      <c r="A163" s="34">
        <v>160</v>
      </c>
      <c r="B163" s="12" t="s">
        <v>675</v>
      </c>
      <c r="C163" s="29" t="s">
        <v>0</v>
      </c>
      <c r="D163" s="32" t="str">
        <f t="shared" si="25"/>
        <v>专用物耗</v>
      </c>
      <c r="E163" s="16"/>
      <c r="F163" s="14" t="s">
        <v>106</v>
      </c>
      <c r="G163" s="15"/>
      <c r="H163" s="15"/>
      <c r="I163" s="15"/>
      <c r="J163" s="29" t="s">
        <v>821</v>
      </c>
      <c r="K163" s="18">
        <v>20</v>
      </c>
      <c r="L163" s="29" t="s">
        <v>823</v>
      </c>
      <c r="M163" s="32" t="str">
        <f t="shared" si="26"/>
        <v>常规</v>
      </c>
      <c r="N163" s="18"/>
      <c r="O163" s="135" t="s">
        <v>2259</v>
      </c>
      <c r="P163" s="134" t="s">
        <v>2238</v>
      </c>
      <c r="Q163" s="141"/>
      <c r="R163" s="15"/>
      <c r="S163" s="15"/>
      <c r="T163" s="15"/>
      <c r="U163" s="32" t="str">
        <f t="shared" si="27"/>
        <v>个</v>
      </c>
      <c r="V163" s="14"/>
      <c r="W163" s="35"/>
      <c r="X163" s="32">
        <f t="shared" si="28"/>
        <v>20</v>
      </c>
      <c r="Y163" s="32" t="str">
        <f t="shared" si="29"/>
        <v>个</v>
      </c>
      <c r="Z163" s="14"/>
      <c r="AA163" s="15"/>
      <c r="AB163" s="35"/>
    </row>
    <row r="164" spans="1:28" s="45" customFormat="1" ht="19.899999999999999" customHeight="1" x14ac:dyDescent="0.3">
      <c r="A164" s="34">
        <v>161</v>
      </c>
      <c r="B164" s="12" t="s">
        <v>676</v>
      </c>
      <c r="C164" s="29" t="s">
        <v>0</v>
      </c>
      <c r="D164" s="32" t="str">
        <f t="shared" si="25"/>
        <v>专用物耗</v>
      </c>
      <c r="E164" s="16"/>
      <c r="F164" s="14"/>
      <c r="G164" s="15"/>
      <c r="H164" s="15"/>
      <c r="I164" s="15"/>
      <c r="J164" s="29" t="s">
        <v>821</v>
      </c>
      <c r="K164" s="18">
        <v>52</v>
      </c>
      <c r="L164" s="29" t="s">
        <v>823</v>
      </c>
      <c r="M164" s="32" t="str">
        <f t="shared" si="26"/>
        <v>常规</v>
      </c>
      <c r="N164" s="18"/>
      <c r="O164" s="135" t="s">
        <v>2259</v>
      </c>
      <c r="P164" s="134" t="s">
        <v>2238</v>
      </c>
      <c r="Q164" s="141"/>
      <c r="R164" s="15"/>
      <c r="S164" s="15"/>
      <c r="T164" s="15"/>
      <c r="U164" s="32" t="str">
        <f t="shared" si="27"/>
        <v>个</v>
      </c>
      <c r="V164" s="14"/>
      <c r="W164" s="35"/>
      <c r="X164" s="32">
        <f t="shared" si="28"/>
        <v>52</v>
      </c>
      <c r="Y164" s="32" t="str">
        <f t="shared" si="29"/>
        <v>个</v>
      </c>
      <c r="Z164" s="14"/>
      <c r="AA164" s="15"/>
      <c r="AB164" s="35"/>
    </row>
    <row r="165" spans="1:28" s="173" customFormat="1" ht="19.899999999999999" customHeight="1" x14ac:dyDescent="0.3">
      <c r="A165" s="163">
        <v>162</v>
      </c>
      <c r="B165" s="164" t="s">
        <v>677</v>
      </c>
      <c r="C165" s="165" t="s">
        <v>0</v>
      </c>
      <c r="D165" s="166" t="str">
        <f t="shared" si="25"/>
        <v>专用物耗</v>
      </c>
      <c r="E165" s="164"/>
      <c r="F165" s="168" t="s">
        <v>107</v>
      </c>
      <c r="G165" s="167"/>
      <c r="H165" s="167"/>
      <c r="I165" s="167"/>
      <c r="J165" s="165" t="s">
        <v>821</v>
      </c>
      <c r="K165" s="168">
        <v>1</v>
      </c>
      <c r="L165" s="165" t="s">
        <v>823</v>
      </c>
      <c r="M165" s="166" t="str">
        <f t="shared" si="26"/>
        <v>常规</v>
      </c>
      <c r="N165" s="168"/>
      <c r="O165" s="180" t="s">
        <v>2248</v>
      </c>
      <c r="P165" s="170" t="s">
        <v>2238</v>
      </c>
      <c r="Q165" s="171"/>
      <c r="R165" s="167"/>
      <c r="S165" s="167" t="s">
        <v>2055</v>
      </c>
      <c r="T165" s="167">
        <v>1</v>
      </c>
      <c r="U165" s="166" t="str">
        <f t="shared" si="27"/>
        <v>个</v>
      </c>
      <c r="V165" s="168"/>
      <c r="W165" s="172"/>
      <c r="X165" s="166" t="str">
        <f t="shared" si="28"/>
        <v/>
      </c>
      <c r="Y165" s="166" t="str">
        <f t="shared" si="29"/>
        <v>个</v>
      </c>
      <c r="Z165" s="168"/>
      <c r="AA165" s="167"/>
      <c r="AB165" s="172"/>
    </row>
    <row r="166" spans="1:28" s="45" customFormat="1" ht="19.899999999999999" customHeight="1" x14ac:dyDescent="0.3">
      <c r="A166" s="34">
        <v>163</v>
      </c>
      <c r="B166" s="12" t="s">
        <v>678</v>
      </c>
      <c r="C166" s="29" t="s">
        <v>0</v>
      </c>
      <c r="D166" s="32" t="str">
        <f t="shared" si="25"/>
        <v>专用物耗</v>
      </c>
      <c r="E166" s="16"/>
      <c r="F166" s="18" t="s">
        <v>679</v>
      </c>
      <c r="G166" s="15"/>
      <c r="H166" s="15"/>
      <c r="I166" s="15"/>
      <c r="J166" s="29" t="s">
        <v>821</v>
      </c>
      <c r="K166" s="26">
        <v>8</v>
      </c>
      <c r="L166" s="36" t="s">
        <v>827</v>
      </c>
      <c r="M166" s="32" t="str">
        <f t="shared" si="26"/>
        <v>常规</v>
      </c>
      <c r="N166" s="16"/>
      <c r="O166" s="135" t="s">
        <v>2248</v>
      </c>
      <c r="P166" s="134" t="s">
        <v>2238</v>
      </c>
      <c r="Q166" s="141"/>
      <c r="R166" s="15"/>
      <c r="S166" s="15"/>
      <c r="T166" s="15"/>
      <c r="U166" s="32" t="str">
        <f t="shared" si="27"/>
        <v>套</v>
      </c>
      <c r="V166" s="14"/>
      <c r="W166" s="35"/>
      <c r="X166" s="32">
        <f t="shared" si="28"/>
        <v>8</v>
      </c>
      <c r="Y166" s="32" t="str">
        <f t="shared" si="29"/>
        <v>套</v>
      </c>
      <c r="Z166" s="14"/>
      <c r="AA166" s="15"/>
      <c r="AB166" s="35"/>
    </row>
    <row r="167" spans="1:28" s="45" customFormat="1" ht="19.899999999999999" customHeight="1" x14ac:dyDescent="0.3">
      <c r="A167" s="34">
        <v>164</v>
      </c>
      <c r="B167" s="12" t="s">
        <v>680</v>
      </c>
      <c r="C167" s="29" t="s">
        <v>0</v>
      </c>
      <c r="D167" s="32" t="str">
        <f t="shared" si="25"/>
        <v>专用物耗</v>
      </c>
      <c r="E167" s="16"/>
      <c r="F167" s="16"/>
      <c r="G167" s="15"/>
      <c r="H167" s="15"/>
      <c r="I167" s="15"/>
      <c r="J167" s="29" t="s">
        <v>821</v>
      </c>
      <c r="K167" s="26">
        <v>10</v>
      </c>
      <c r="L167" s="29" t="s">
        <v>831</v>
      </c>
      <c r="M167" s="32" t="str">
        <f t="shared" si="26"/>
        <v>常规</v>
      </c>
      <c r="N167" s="16"/>
      <c r="O167" s="135" t="s">
        <v>2258</v>
      </c>
      <c r="P167" s="134" t="s">
        <v>2238</v>
      </c>
      <c r="Q167" s="141"/>
      <c r="R167" s="15"/>
      <c r="S167" s="15"/>
      <c r="T167" s="15"/>
      <c r="U167" s="32" t="str">
        <f t="shared" si="27"/>
        <v>根</v>
      </c>
      <c r="V167" s="14" t="s">
        <v>669</v>
      </c>
      <c r="W167" s="35"/>
      <c r="X167" s="32">
        <f t="shared" si="28"/>
        <v>10</v>
      </c>
      <c r="Y167" s="32" t="str">
        <f t="shared" si="29"/>
        <v>根</v>
      </c>
      <c r="Z167" s="14" t="s">
        <v>669</v>
      </c>
      <c r="AA167" s="15"/>
      <c r="AB167" s="35"/>
    </row>
    <row r="168" spans="1:28" s="45" customFormat="1" ht="19.899999999999999" customHeight="1" x14ac:dyDescent="0.3">
      <c r="A168" s="34">
        <v>165</v>
      </c>
      <c r="B168" s="12" t="s">
        <v>681</v>
      </c>
      <c r="C168" s="29" t="s">
        <v>0</v>
      </c>
      <c r="D168" s="32" t="str">
        <f t="shared" si="25"/>
        <v>专用物耗</v>
      </c>
      <c r="E168" s="16"/>
      <c r="F168" s="14" t="s">
        <v>682</v>
      </c>
      <c r="G168" s="15"/>
      <c r="H168" s="15"/>
      <c r="I168" s="15"/>
      <c r="J168" s="29" t="s">
        <v>821</v>
      </c>
      <c r="K168" s="26">
        <v>2</v>
      </c>
      <c r="L168" s="29" t="s">
        <v>823</v>
      </c>
      <c r="M168" s="32" t="str">
        <f t="shared" si="26"/>
        <v>常规</v>
      </c>
      <c r="N168" s="18"/>
      <c r="O168" s="135" t="s">
        <v>2259</v>
      </c>
      <c r="P168" s="134" t="s">
        <v>2238</v>
      </c>
      <c r="Q168" s="141"/>
      <c r="R168" s="15"/>
      <c r="S168" s="15"/>
      <c r="T168" s="15"/>
      <c r="U168" s="32" t="str">
        <f t="shared" si="27"/>
        <v>个</v>
      </c>
      <c r="V168" s="14"/>
      <c r="W168" s="35"/>
      <c r="X168" s="32">
        <f t="shared" si="28"/>
        <v>2</v>
      </c>
      <c r="Y168" s="32" t="str">
        <f t="shared" si="29"/>
        <v>个</v>
      </c>
      <c r="Z168" s="14"/>
      <c r="AA168" s="15"/>
      <c r="AB168" s="35"/>
    </row>
    <row r="169" spans="1:28" s="173" customFormat="1" ht="19.899999999999999" customHeight="1" x14ac:dyDescent="0.3">
      <c r="A169" s="163">
        <v>166</v>
      </c>
      <c r="B169" s="164" t="s">
        <v>683</v>
      </c>
      <c r="C169" s="165" t="s">
        <v>0</v>
      </c>
      <c r="D169" s="166" t="str">
        <f t="shared" si="25"/>
        <v>专用物耗</v>
      </c>
      <c r="E169" s="164"/>
      <c r="F169" s="168" t="s">
        <v>684</v>
      </c>
      <c r="G169" s="167"/>
      <c r="H169" s="167"/>
      <c r="I169" s="167"/>
      <c r="J169" s="165" t="s">
        <v>821</v>
      </c>
      <c r="K169" s="168">
        <v>1</v>
      </c>
      <c r="L169" s="165" t="s">
        <v>823</v>
      </c>
      <c r="M169" s="166" t="str">
        <f t="shared" si="26"/>
        <v>常规</v>
      </c>
      <c r="N169" s="168"/>
      <c r="O169" s="180" t="s">
        <v>2258</v>
      </c>
      <c r="P169" s="170" t="s">
        <v>2237</v>
      </c>
      <c r="Q169" s="171"/>
      <c r="R169" s="167"/>
      <c r="S169" s="167" t="s">
        <v>977</v>
      </c>
      <c r="T169" s="167">
        <v>1</v>
      </c>
      <c r="U169" s="166" t="str">
        <f t="shared" si="27"/>
        <v>个</v>
      </c>
      <c r="V169" s="168" t="s">
        <v>669</v>
      </c>
      <c r="W169" s="172"/>
      <c r="X169" s="166" t="str">
        <f t="shared" si="28"/>
        <v/>
      </c>
      <c r="Y169" s="166" t="str">
        <f t="shared" si="29"/>
        <v>个</v>
      </c>
      <c r="Z169" s="168" t="s">
        <v>669</v>
      </c>
      <c r="AA169" s="167"/>
      <c r="AB169" s="172"/>
    </row>
    <row r="170" spans="1:28" s="173" customFormat="1" ht="19.899999999999999" customHeight="1" x14ac:dyDescent="0.3">
      <c r="A170" s="163">
        <v>167</v>
      </c>
      <c r="B170" s="164" t="s">
        <v>685</v>
      </c>
      <c r="C170" s="165" t="s">
        <v>0</v>
      </c>
      <c r="D170" s="166" t="str">
        <f t="shared" si="25"/>
        <v>专用物耗</v>
      </c>
      <c r="E170" s="168" t="s">
        <v>256</v>
      </c>
      <c r="F170" s="164">
        <v>2</v>
      </c>
      <c r="G170" s="167"/>
      <c r="H170" s="167"/>
      <c r="I170" s="167"/>
      <c r="J170" s="165" t="s">
        <v>821</v>
      </c>
      <c r="K170" s="168">
        <v>7</v>
      </c>
      <c r="L170" s="165" t="s">
        <v>824</v>
      </c>
      <c r="M170" s="166" t="str">
        <f t="shared" si="26"/>
        <v>常规</v>
      </c>
      <c r="N170" s="168"/>
      <c r="O170" s="180" t="s">
        <v>2258</v>
      </c>
      <c r="P170" s="170" t="s">
        <v>2237</v>
      </c>
      <c r="Q170" s="171"/>
      <c r="R170" s="167"/>
      <c r="S170" s="167" t="s">
        <v>1647</v>
      </c>
      <c r="T170" s="167">
        <v>7</v>
      </c>
      <c r="U170" s="166" t="str">
        <f t="shared" si="27"/>
        <v>支</v>
      </c>
      <c r="V170" s="168" t="s">
        <v>686</v>
      </c>
      <c r="W170" s="172"/>
      <c r="X170" s="166" t="str">
        <f t="shared" si="28"/>
        <v/>
      </c>
      <c r="Y170" s="166" t="str">
        <f t="shared" si="29"/>
        <v>支</v>
      </c>
      <c r="Z170" s="168"/>
      <c r="AA170" s="167"/>
      <c r="AB170" s="172"/>
    </row>
    <row r="171" spans="1:28" s="173" customFormat="1" ht="19.899999999999999" customHeight="1" x14ac:dyDescent="0.3">
      <c r="A171" s="163">
        <v>168</v>
      </c>
      <c r="B171" s="164" t="s">
        <v>685</v>
      </c>
      <c r="C171" s="165" t="s">
        <v>0</v>
      </c>
      <c r="D171" s="166" t="str">
        <f t="shared" si="25"/>
        <v>专用物耗</v>
      </c>
      <c r="E171" s="168" t="s">
        <v>256</v>
      </c>
      <c r="F171" s="164">
        <v>4</v>
      </c>
      <c r="G171" s="167"/>
      <c r="H171" s="167"/>
      <c r="I171" s="167"/>
      <c r="J171" s="165" t="s">
        <v>821</v>
      </c>
      <c r="K171" s="168">
        <v>1</v>
      </c>
      <c r="L171" s="165" t="s">
        <v>824</v>
      </c>
      <c r="M171" s="166" t="str">
        <f t="shared" si="26"/>
        <v>常规</v>
      </c>
      <c r="N171" s="168"/>
      <c r="O171" s="180" t="s">
        <v>2258</v>
      </c>
      <c r="P171" s="170" t="s">
        <v>2237</v>
      </c>
      <c r="Q171" s="171"/>
      <c r="R171" s="167"/>
      <c r="S171" s="167" t="s">
        <v>1648</v>
      </c>
      <c r="T171" s="167">
        <v>1</v>
      </c>
      <c r="U171" s="166" t="str">
        <f t="shared" si="27"/>
        <v>支</v>
      </c>
      <c r="V171" s="168" t="s">
        <v>686</v>
      </c>
      <c r="W171" s="172"/>
      <c r="X171" s="166" t="str">
        <f t="shared" si="28"/>
        <v/>
      </c>
      <c r="Y171" s="166" t="str">
        <f t="shared" si="29"/>
        <v>支</v>
      </c>
      <c r="Z171" s="168"/>
      <c r="AA171" s="167"/>
      <c r="AB171" s="172"/>
    </row>
    <row r="172" spans="1:28" s="45" customFormat="1" ht="19.899999999999999" customHeight="1" x14ac:dyDescent="0.3">
      <c r="A172" s="34">
        <v>169</v>
      </c>
      <c r="B172" s="89" t="s">
        <v>3093</v>
      </c>
      <c r="C172" s="29" t="s">
        <v>0</v>
      </c>
      <c r="D172" s="32" t="str">
        <f t="shared" si="25"/>
        <v>专用物耗</v>
      </c>
      <c r="E172" s="14" t="s">
        <v>256</v>
      </c>
      <c r="F172" s="14" t="s">
        <v>25</v>
      </c>
      <c r="G172" s="15"/>
      <c r="H172" s="15"/>
      <c r="I172" s="15"/>
      <c r="J172" s="29" t="s">
        <v>821</v>
      </c>
      <c r="K172" s="18">
        <v>86</v>
      </c>
      <c r="L172" s="29" t="s">
        <v>824</v>
      </c>
      <c r="M172" s="32" t="str">
        <f t="shared" si="26"/>
        <v>常规</v>
      </c>
      <c r="N172" s="18" t="s">
        <v>687</v>
      </c>
      <c r="O172" s="135" t="s">
        <v>2258</v>
      </c>
      <c r="P172" s="134" t="s">
        <v>2237</v>
      </c>
      <c r="Q172" s="141"/>
      <c r="R172" s="15"/>
      <c r="S172" s="15" t="s">
        <v>1264</v>
      </c>
      <c r="T172" s="15">
        <v>39</v>
      </c>
      <c r="U172" s="32" t="str">
        <f t="shared" si="27"/>
        <v>支</v>
      </c>
      <c r="V172" s="14" t="s">
        <v>686</v>
      </c>
      <c r="W172" s="35"/>
      <c r="X172" s="32">
        <f t="shared" si="28"/>
        <v>47</v>
      </c>
      <c r="Y172" s="32" t="str">
        <f t="shared" si="29"/>
        <v>支</v>
      </c>
      <c r="Z172" s="14"/>
      <c r="AA172" s="15"/>
      <c r="AB172" s="35"/>
    </row>
    <row r="173" spans="1:28" s="45" customFormat="1" ht="19.899999999999999" customHeight="1" x14ac:dyDescent="0.3">
      <c r="A173" s="34">
        <v>170</v>
      </c>
      <c r="B173" s="12" t="s">
        <v>685</v>
      </c>
      <c r="C173" s="29" t="s">
        <v>0</v>
      </c>
      <c r="D173" s="32" t="str">
        <f t="shared" si="25"/>
        <v>专用物耗</v>
      </c>
      <c r="E173" s="14" t="s">
        <v>256</v>
      </c>
      <c r="F173" s="14" t="s">
        <v>18</v>
      </c>
      <c r="G173" s="15"/>
      <c r="H173" s="15"/>
      <c r="I173" s="15"/>
      <c r="J173" s="29" t="s">
        <v>821</v>
      </c>
      <c r="K173" s="14">
        <v>55</v>
      </c>
      <c r="L173" s="29" t="s">
        <v>824</v>
      </c>
      <c r="M173" s="32" t="str">
        <f t="shared" si="26"/>
        <v>常规</v>
      </c>
      <c r="N173" s="14"/>
      <c r="O173" s="135" t="s">
        <v>2258</v>
      </c>
      <c r="P173" s="134" t="s">
        <v>2237</v>
      </c>
      <c r="Q173" s="141"/>
      <c r="R173" s="15"/>
      <c r="S173" s="15" t="s">
        <v>1265</v>
      </c>
      <c r="T173" s="15">
        <v>36</v>
      </c>
      <c r="U173" s="32" t="str">
        <f t="shared" si="27"/>
        <v>支</v>
      </c>
      <c r="V173" s="14" t="s">
        <v>686</v>
      </c>
      <c r="W173" s="35"/>
      <c r="X173" s="32">
        <f t="shared" si="28"/>
        <v>19</v>
      </c>
      <c r="Y173" s="32" t="str">
        <f t="shared" si="29"/>
        <v>支</v>
      </c>
      <c r="Z173" s="14"/>
      <c r="AA173" s="15"/>
      <c r="AB173" s="35"/>
    </row>
    <row r="174" spans="1:28" s="45" customFormat="1" ht="19.899999999999999" customHeight="1" x14ac:dyDescent="0.3">
      <c r="A174" s="34">
        <v>171</v>
      </c>
      <c r="B174" s="12" t="s">
        <v>685</v>
      </c>
      <c r="C174" s="29" t="s">
        <v>0</v>
      </c>
      <c r="D174" s="32" t="str">
        <f t="shared" ref="D174" si="30">IF(C174="J1","常规化学品",IF(C174="J2","危险化学品",IF(C174="J3","标准物质",IF(C174="J4","玻璃仪器",IF(C174="J5","实验气体",IF(C174="J6","专用物耗",IF(C174="J7","备品配件",IF(C174="J8","专用工具",IF(C174="Z1","劳保物资",IF(C174="Z2","办公耗材",IF(C174="Z3","食品饮料",IF(C174="Z4","特殊物耗",IF(C174="Z5","通用物耗",IF(C174="Z6","通用工具",""))))))))))))))</f>
        <v>专用物耗</v>
      </c>
      <c r="E174" s="14" t="s">
        <v>256</v>
      </c>
      <c r="F174" s="14" t="s">
        <v>18</v>
      </c>
      <c r="G174" s="15"/>
      <c r="H174" s="15"/>
      <c r="I174" s="15" t="s">
        <v>2203</v>
      </c>
      <c r="J174" s="29" t="s">
        <v>821</v>
      </c>
      <c r="K174" s="14">
        <v>1</v>
      </c>
      <c r="L174" s="29" t="s">
        <v>824</v>
      </c>
      <c r="M174" s="32" t="str">
        <f t="shared" ref="M174" si="31">IF(D174="危险化学品","五双",IF(D174="标准物资","严控",IF(D174&lt;&gt;"","常规","")))</f>
        <v>常规</v>
      </c>
      <c r="N174" s="14"/>
      <c r="O174" s="135" t="s">
        <v>2258</v>
      </c>
      <c r="P174" s="134" t="s">
        <v>2237</v>
      </c>
      <c r="Q174" s="141"/>
      <c r="R174" s="15"/>
      <c r="S174" s="15"/>
      <c r="T174" s="15"/>
      <c r="U174" s="32" t="str">
        <f t="shared" ref="U174" si="32">IF(L174="","",L174)</f>
        <v>支</v>
      </c>
      <c r="V174" s="14" t="s">
        <v>686</v>
      </c>
      <c r="W174" s="35"/>
      <c r="X174" s="32">
        <f t="shared" ref="X174" si="33">IF((K174-T174)&lt;=0,"",K174-T174)</f>
        <v>1</v>
      </c>
      <c r="Y174" s="32" t="str">
        <f t="shared" ref="Y174" si="34">IF(L174="","",L174)</f>
        <v>支</v>
      </c>
      <c r="Z174" s="14"/>
      <c r="AA174" s="15"/>
      <c r="AB174" s="35"/>
    </row>
    <row r="175" spans="1:28" s="45" customFormat="1" ht="19.899999999999999" customHeight="1" x14ac:dyDescent="0.3">
      <c r="A175" s="34">
        <v>172</v>
      </c>
      <c r="B175" s="12" t="s">
        <v>688</v>
      </c>
      <c r="C175" s="29" t="s">
        <v>0</v>
      </c>
      <c r="D175" s="32" t="str">
        <f t="shared" si="25"/>
        <v>专用物耗</v>
      </c>
      <c r="E175" s="14" t="s">
        <v>256</v>
      </c>
      <c r="F175" s="18" t="s">
        <v>16</v>
      </c>
      <c r="G175" s="15"/>
      <c r="H175" s="15"/>
      <c r="I175" s="15"/>
      <c r="J175" s="29" t="s">
        <v>821</v>
      </c>
      <c r="K175" s="18">
        <v>171</v>
      </c>
      <c r="L175" s="36" t="s">
        <v>823</v>
      </c>
      <c r="M175" s="32" t="str">
        <f t="shared" si="26"/>
        <v>常规</v>
      </c>
      <c r="N175" s="18"/>
      <c r="O175" s="135" t="s">
        <v>2258</v>
      </c>
      <c r="P175" s="134" t="s">
        <v>2237</v>
      </c>
      <c r="Q175" s="141"/>
      <c r="R175" s="15"/>
      <c r="S175" s="15"/>
      <c r="T175" s="15"/>
      <c r="U175" s="32" t="str">
        <f t="shared" si="27"/>
        <v>个</v>
      </c>
      <c r="V175" s="14" t="s">
        <v>686</v>
      </c>
      <c r="W175" s="35"/>
      <c r="X175" s="32">
        <f t="shared" si="28"/>
        <v>171</v>
      </c>
      <c r="Y175" s="32" t="str">
        <f t="shared" si="29"/>
        <v>个</v>
      </c>
      <c r="Z175" s="14"/>
      <c r="AA175" s="15"/>
      <c r="AB175" s="35"/>
    </row>
    <row r="176" spans="1:28" s="45" customFormat="1" ht="19.899999999999999" customHeight="1" x14ac:dyDescent="0.3">
      <c r="A176" s="34">
        <v>173</v>
      </c>
      <c r="B176" s="12" t="s">
        <v>685</v>
      </c>
      <c r="C176" s="29" t="s">
        <v>0</v>
      </c>
      <c r="D176" s="32" t="str">
        <f t="shared" si="25"/>
        <v>专用物耗</v>
      </c>
      <c r="E176" s="14"/>
      <c r="F176" s="18" t="s">
        <v>26</v>
      </c>
      <c r="G176" s="15"/>
      <c r="H176" s="15"/>
      <c r="I176" s="15"/>
      <c r="J176" s="29" t="s">
        <v>821</v>
      </c>
      <c r="K176" s="18">
        <v>200</v>
      </c>
      <c r="L176" s="29" t="s">
        <v>824</v>
      </c>
      <c r="M176" s="32" t="str">
        <f t="shared" si="26"/>
        <v>常规</v>
      </c>
      <c r="N176" s="44"/>
      <c r="O176" s="135" t="s">
        <v>2258</v>
      </c>
      <c r="P176" s="134" t="s">
        <v>2237</v>
      </c>
      <c r="Q176" s="141"/>
      <c r="R176" s="15"/>
      <c r="S176" s="15" t="s">
        <v>108</v>
      </c>
      <c r="T176" s="15">
        <v>14</v>
      </c>
      <c r="U176" s="32" t="str">
        <f t="shared" si="27"/>
        <v>支</v>
      </c>
      <c r="V176" s="14" t="s">
        <v>686</v>
      </c>
      <c r="W176" s="35"/>
      <c r="X176" s="32">
        <f t="shared" si="28"/>
        <v>186</v>
      </c>
      <c r="Y176" s="32" t="str">
        <f t="shared" si="29"/>
        <v>支</v>
      </c>
      <c r="Z176" s="14"/>
      <c r="AA176" s="15"/>
      <c r="AB176" s="35"/>
    </row>
    <row r="177" spans="1:28" s="45" customFormat="1" ht="19.899999999999999" customHeight="1" x14ac:dyDescent="0.3">
      <c r="A177" s="34">
        <v>174</v>
      </c>
      <c r="B177" s="20" t="s">
        <v>689</v>
      </c>
      <c r="C177" s="29" t="s">
        <v>0</v>
      </c>
      <c r="D177" s="32" t="str">
        <f t="shared" si="25"/>
        <v>专用物耗</v>
      </c>
      <c r="E177" s="16"/>
      <c r="F177" s="23" t="s">
        <v>260</v>
      </c>
      <c r="G177" s="15"/>
      <c r="H177" s="15"/>
      <c r="I177" s="15"/>
      <c r="J177" s="29" t="s">
        <v>821</v>
      </c>
      <c r="K177" s="18">
        <v>15</v>
      </c>
      <c r="L177" s="29" t="s">
        <v>823</v>
      </c>
      <c r="M177" s="32" t="str">
        <f t="shared" si="26"/>
        <v>常规</v>
      </c>
      <c r="N177" s="40"/>
      <c r="O177" s="135" t="s">
        <v>2258</v>
      </c>
      <c r="P177" s="134" t="s">
        <v>2239</v>
      </c>
      <c r="Q177" s="141"/>
      <c r="R177" s="15"/>
      <c r="S177" s="15"/>
      <c r="T177" s="15"/>
      <c r="U177" s="32" t="str">
        <f t="shared" si="27"/>
        <v>个</v>
      </c>
      <c r="V177" s="14" t="s">
        <v>690</v>
      </c>
      <c r="W177" s="35"/>
      <c r="X177" s="32">
        <f t="shared" si="28"/>
        <v>15</v>
      </c>
      <c r="Y177" s="32" t="str">
        <f t="shared" si="29"/>
        <v>个</v>
      </c>
      <c r="Z177" s="14" t="s">
        <v>690</v>
      </c>
      <c r="AA177" s="15"/>
      <c r="AB177" s="35"/>
    </row>
    <row r="178" spans="1:28" s="45" customFormat="1" ht="19.899999999999999" customHeight="1" x14ac:dyDescent="0.3">
      <c r="A178" s="34">
        <v>175</v>
      </c>
      <c r="B178" s="20" t="s">
        <v>691</v>
      </c>
      <c r="C178" s="29" t="s">
        <v>0</v>
      </c>
      <c r="D178" s="32" t="str">
        <f t="shared" si="25"/>
        <v>专用物耗</v>
      </c>
      <c r="E178" s="16"/>
      <c r="F178" s="23" t="s">
        <v>260</v>
      </c>
      <c r="G178" s="15"/>
      <c r="H178" s="15"/>
      <c r="I178" s="15"/>
      <c r="J178" s="29" t="s">
        <v>821</v>
      </c>
      <c r="K178" s="18">
        <v>20</v>
      </c>
      <c r="L178" s="29" t="s">
        <v>823</v>
      </c>
      <c r="M178" s="32" t="str">
        <f t="shared" si="26"/>
        <v>常规</v>
      </c>
      <c r="N178" s="40"/>
      <c r="O178" s="135" t="s">
        <v>2258</v>
      </c>
      <c r="P178" s="134" t="s">
        <v>2239</v>
      </c>
      <c r="Q178" s="141"/>
      <c r="R178" s="15"/>
      <c r="S178" s="15"/>
      <c r="T178" s="15"/>
      <c r="U178" s="32" t="str">
        <f t="shared" si="27"/>
        <v>个</v>
      </c>
      <c r="V178" s="14" t="s">
        <v>690</v>
      </c>
      <c r="W178" s="35"/>
      <c r="X178" s="32">
        <f t="shared" si="28"/>
        <v>20</v>
      </c>
      <c r="Y178" s="32" t="str">
        <f t="shared" si="29"/>
        <v>个</v>
      </c>
      <c r="Z178" s="14" t="s">
        <v>690</v>
      </c>
      <c r="AA178" s="15"/>
      <c r="AB178" s="35"/>
    </row>
    <row r="179" spans="1:28" s="45" customFormat="1" ht="19.899999999999999" customHeight="1" x14ac:dyDescent="0.3">
      <c r="A179" s="34">
        <v>176</v>
      </c>
      <c r="B179" s="12" t="s">
        <v>692</v>
      </c>
      <c r="C179" s="29" t="s">
        <v>0</v>
      </c>
      <c r="D179" s="32" t="str">
        <f t="shared" si="25"/>
        <v>专用物耗</v>
      </c>
      <c r="E179" s="16"/>
      <c r="F179" s="14"/>
      <c r="G179" s="15"/>
      <c r="H179" s="15"/>
      <c r="I179" s="15"/>
      <c r="J179" s="29" t="s">
        <v>821</v>
      </c>
      <c r="K179" s="18">
        <v>1</v>
      </c>
      <c r="L179" s="29" t="s">
        <v>840</v>
      </c>
      <c r="M179" s="32" t="str">
        <f t="shared" si="26"/>
        <v>常规</v>
      </c>
      <c r="N179" s="18"/>
      <c r="O179" s="135" t="s">
        <v>2258</v>
      </c>
      <c r="P179" s="134" t="s">
        <v>2238</v>
      </c>
      <c r="Q179" s="141"/>
      <c r="R179" s="15"/>
      <c r="S179" s="15"/>
      <c r="T179" s="15"/>
      <c r="U179" s="32" t="str">
        <f t="shared" si="27"/>
        <v>件</v>
      </c>
      <c r="V179" s="14" t="s">
        <v>693</v>
      </c>
      <c r="W179" s="35"/>
      <c r="X179" s="32">
        <f t="shared" si="28"/>
        <v>1</v>
      </c>
      <c r="Y179" s="32" t="str">
        <f t="shared" si="29"/>
        <v>件</v>
      </c>
      <c r="Z179" s="14" t="s">
        <v>693</v>
      </c>
      <c r="AA179" s="15"/>
      <c r="AB179" s="35"/>
    </row>
    <row r="180" spans="1:28" s="45" customFormat="1" ht="19.899999999999999" customHeight="1" x14ac:dyDescent="0.3">
      <c r="A180" s="34">
        <v>177</v>
      </c>
      <c r="B180" s="12" t="s">
        <v>694</v>
      </c>
      <c r="C180" s="29" t="s">
        <v>0</v>
      </c>
      <c r="D180" s="32" t="str">
        <f t="shared" si="25"/>
        <v>专用物耗</v>
      </c>
      <c r="E180" s="16"/>
      <c r="F180" s="14"/>
      <c r="G180" s="15"/>
      <c r="H180" s="15"/>
      <c r="I180" s="15"/>
      <c r="J180" s="29" t="s">
        <v>821</v>
      </c>
      <c r="K180" s="18">
        <v>2</v>
      </c>
      <c r="L180" s="29" t="s">
        <v>826</v>
      </c>
      <c r="M180" s="32" t="str">
        <f t="shared" si="26"/>
        <v>常规</v>
      </c>
      <c r="N180" s="18"/>
      <c r="O180" s="135" t="s">
        <v>2258</v>
      </c>
      <c r="P180" s="134" t="s">
        <v>2238</v>
      </c>
      <c r="Q180" s="141"/>
      <c r="R180" s="15"/>
      <c r="S180" s="15"/>
      <c r="T180" s="15"/>
      <c r="U180" s="32" t="str">
        <f t="shared" si="27"/>
        <v>盒</v>
      </c>
      <c r="V180" s="14" t="s">
        <v>693</v>
      </c>
      <c r="W180" s="35"/>
      <c r="X180" s="32">
        <f t="shared" si="28"/>
        <v>2</v>
      </c>
      <c r="Y180" s="32" t="str">
        <f t="shared" si="29"/>
        <v>盒</v>
      </c>
      <c r="Z180" s="14" t="s">
        <v>693</v>
      </c>
      <c r="AA180" s="15"/>
      <c r="AB180" s="35"/>
    </row>
    <row r="181" spans="1:28" s="45" customFormat="1" ht="19.899999999999999" customHeight="1" x14ac:dyDescent="0.3">
      <c r="A181" s="34">
        <v>178</v>
      </c>
      <c r="B181" s="12" t="s">
        <v>695</v>
      </c>
      <c r="C181" s="29" t="s">
        <v>0</v>
      </c>
      <c r="D181" s="32" t="str">
        <f t="shared" si="25"/>
        <v>专用物耗</v>
      </c>
      <c r="E181" s="16"/>
      <c r="F181" s="14"/>
      <c r="G181" s="15"/>
      <c r="H181" s="15"/>
      <c r="I181" s="15"/>
      <c r="J181" s="29" t="s">
        <v>821</v>
      </c>
      <c r="K181" s="18">
        <v>4</v>
      </c>
      <c r="L181" s="29" t="s">
        <v>822</v>
      </c>
      <c r="M181" s="32" t="str">
        <f t="shared" si="26"/>
        <v>常规</v>
      </c>
      <c r="N181" s="18"/>
      <c r="O181" s="135" t="s">
        <v>2258</v>
      </c>
      <c r="P181" s="134" t="s">
        <v>2238</v>
      </c>
      <c r="Q181" s="141"/>
      <c r="R181" s="15"/>
      <c r="S181" s="15"/>
      <c r="T181" s="15"/>
      <c r="U181" s="32" t="str">
        <f t="shared" si="27"/>
        <v>只</v>
      </c>
      <c r="V181" s="14" t="s">
        <v>693</v>
      </c>
      <c r="W181" s="35"/>
      <c r="X181" s="32">
        <f t="shared" si="28"/>
        <v>4</v>
      </c>
      <c r="Y181" s="32" t="str">
        <f t="shared" si="29"/>
        <v>只</v>
      </c>
      <c r="Z181" s="14" t="s">
        <v>693</v>
      </c>
      <c r="AA181" s="15"/>
      <c r="AB181" s="35"/>
    </row>
    <row r="182" spans="1:28" s="45" customFormat="1" ht="19.899999999999999" customHeight="1" x14ac:dyDescent="0.3">
      <c r="A182" s="34">
        <v>179</v>
      </c>
      <c r="B182" s="12" t="s">
        <v>696</v>
      </c>
      <c r="C182" s="29" t="s">
        <v>0</v>
      </c>
      <c r="D182" s="32" t="str">
        <f t="shared" si="25"/>
        <v>专用物耗</v>
      </c>
      <c r="E182" s="12" t="s">
        <v>283</v>
      </c>
      <c r="F182" s="12" t="s">
        <v>697</v>
      </c>
      <c r="G182" s="15"/>
      <c r="H182" s="15"/>
      <c r="I182" s="15"/>
      <c r="J182" s="29" t="s">
        <v>821</v>
      </c>
      <c r="K182" s="16">
        <v>10</v>
      </c>
      <c r="L182" s="29" t="s">
        <v>823</v>
      </c>
      <c r="M182" s="32" t="str">
        <f t="shared" si="26"/>
        <v>常规</v>
      </c>
      <c r="N182" s="25"/>
      <c r="O182" s="135" t="s">
        <v>2258</v>
      </c>
      <c r="P182" s="134" t="s">
        <v>2237</v>
      </c>
      <c r="Q182" s="141"/>
      <c r="R182" s="15"/>
      <c r="S182" s="15"/>
      <c r="T182" s="15"/>
      <c r="U182" s="32" t="str">
        <f t="shared" si="27"/>
        <v>个</v>
      </c>
      <c r="V182" s="14"/>
      <c r="W182" s="35"/>
      <c r="X182" s="32">
        <f t="shared" si="28"/>
        <v>10</v>
      </c>
      <c r="Y182" s="32" t="str">
        <f t="shared" si="29"/>
        <v>个</v>
      </c>
      <c r="Z182" s="14"/>
      <c r="AA182" s="15"/>
      <c r="AB182" s="35"/>
    </row>
    <row r="183" spans="1:28" s="45" customFormat="1" ht="19.899999999999999" customHeight="1" x14ac:dyDescent="0.3">
      <c r="A183" s="34">
        <v>180</v>
      </c>
      <c r="B183" s="12" t="s">
        <v>696</v>
      </c>
      <c r="C183" s="29" t="s">
        <v>0</v>
      </c>
      <c r="D183" s="32" t="str">
        <f t="shared" si="25"/>
        <v>专用物耗</v>
      </c>
      <c r="E183" s="12" t="s">
        <v>283</v>
      </c>
      <c r="F183" s="12" t="s">
        <v>698</v>
      </c>
      <c r="G183" s="15"/>
      <c r="H183" s="15"/>
      <c r="I183" s="15"/>
      <c r="J183" s="29" t="s">
        <v>821</v>
      </c>
      <c r="K183" s="16">
        <v>7</v>
      </c>
      <c r="L183" s="29" t="s">
        <v>823</v>
      </c>
      <c r="M183" s="32" t="str">
        <f t="shared" si="26"/>
        <v>常规</v>
      </c>
      <c r="N183" s="25"/>
      <c r="O183" s="135" t="s">
        <v>2258</v>
      </c>
      <c r="P183" s="134" t="s">
        <v>2237</v>
      </c>
      <c r="Q183" s="141"/>
      <c r="R183" s="15"/>
      <c r="S183" s="15"/>
      <c r="T183" s="15"/>
      <c r="U183" s="32" t="str">
        <f t="shared" si="27"/>
        <v>个</v>
      </c>
      <c r="V183" s="14"/>
      <c r="W183" s="35"/>
      <c r="X183" s="32">
        <f t="shared" si="28"/>
        <v>7</v>
      </c>
      <c r="Y183" s="32" t="str">
        <f t="shared" si="29"/>
        <v>个</v>
      </c>
      <c r="Z183" s="14"/>
      <c r="AA183" s="15"/>
      <c r="AB183" s="35"/>
    </row>
    <row r="184" spans="1:28" s="173" customFormat="1" ht="19.899999999999999" customHeight="1" x14ac:dyDescent="0.3">
      <c r="A184" s="163">
        <v>181</v>
      </c>
      <c r="B184" s="164" t="s">
        <v>2522</v>
      </c>
      <c r="C184" s="165" t="s">
        <v>0</v>
      </c>
      <c r="D184" s="166" t="str">
        <f t="shared" si="25"/>
        <v>专用物耗</v>
      </c>
      <c r="E184" s="168" t="s">
        <v>699</v>
      </c>
      <c r="F184" s="168" t="s">
        <v>109</v>
      </c>
      <c r="G184" s="167"/>
      <c r="H184" s="167"/>
      <c r="I184" s="167"/>
      <c r="J184" s="165" t="s">
        <v>821</v>
      </c>
      <c r="K184" s="164">
        <v>192</v>
      </c>
      <c r="L184" s="165" t="s">
        <v>823</v>
      </c>
      <c r="M184" s="166" t="str">
        <f t="shared" si="26"/>
        <v>常规</v>
      </c>
      <c r="N184" s="168"/>
      <c r="O184" s="180" t="s">
        <v>2258</v>
      </c>
      <c r="P184" s="170" t="s">
        <v>2237</v>
      </c>
      <c r="Q184" s="171"/>
      <c r="R184" s="167"/>
      <c r="S184" s="167" t="s">
        <v>982</v>
      </c>
      <c r="T184" s="167">
        <v>192</v>
      </c>
      <c r="U184" s="166" t="str">
        <f t="shared" si="27"/>
        <v>个</v>
      </c>
      <c r="V184" s="168"/>
      <c r="W184" s="172"/>
      <c r="X184" s="166" t="str">
        <f t="shared" si="28"/>
        <v/>
      </c>
      <c r="Y184" s="166" t="str">
        <f t="shared" si="29"/>
        <v>个</v>
      </c>
      <c r="Z184" s="168"/>
      <c r="AA184" s="167"/>
      <c r="AB184" s="172"/>
    </row>
    <row r="185" spans="1:28" s="45" customFormat="1" ht="19.899999999999999" customHeight="1" x14ac:dyDescent="0.3">
      <c r="A185" s="34">
        <v>182</v>
      </c>
      <c r="B185" s="12" t="s">
        <v>2523</v>
      </c>
      <c r="C185" s="29" t="s">
        <v>0</v>
      </c>
      <c r="D185" s="32" t="str">
        <f t="shared" si="25"/>
        <v>专用物耗</v>
      </c>
      <c r="E185" s="95" t="s">
        <v>3095</v>
      </c>
      <c r="F185" s="14" t="s">
        <v>14</v>
      </c>
      <c r="G185" s="15"/>
      <c r="H185" s="15"/>
      <c r="I185" s="15"/>
      <c r="J185" s="29" t="s">
        <v>821</v>
      </c>
      <c r="K185" s="16">
        <v>179</v>
      </c>
      <c r="L185" s="29" t="s">
        <v>824</v>
      </c>
      <c r="M185" s="32" t="str">
        <f t="shared" si="26"/>
        <v>常规</v>
      </c>
      <c r="N185" s="18"/>
      <c r="O185" s="135" t="s">
        <v>2258</v>
      </c>
      <c r="P185" s="134" t="s">
        <v>2237</v>
      </c>
      <c r="Q185" s="141"/>
      <c r="R185" s="15"/>
      <c r="S185" s="15" t="s">
        <v>1078</v>
      </c>
      <c r="T185" s="15">
        <v>5</v>
      </c>
      <c r="U185" s="32" t="str">
        <f t="shared" si="27"/>
        <v>支</v>
      </c>
      <c r="V185" s="14"/>
      <c r="W185" s="35"/>
      <c r="X185" s="32">
        <f t="shared" si="28"/>
        <v>174</v>
      </c>
      <c r="Y185" s="32" t="str">
        <f t="shared" si="29"/>
        <v>支</v>
      </c>
      <c r="Z185" s="14"/>
      <c r="AA185" s="15"/>
      <c r="AB185" s="35"/>
    </row>
    <row r="186" spans="1:28" s="45" customFormat="1" ht="19.899999999999999" customHeight="1" x14ac:dyDescent="0.3">
      <c r="A186" s="34">
        <v>183</v>
      </c>
      <c r="B186" s="12" t="s">
        <v>2524</v>
      </c>
      <c r="C186" s="29" t="s">
        <v>0</v>
      </c>
      <c r="D186" s="32" t="str">
        <f t="shared" si="25"/>
        <v>专用物耗</v>
      </c>
      <c r="E186" s="14" t="s">
        <v>281</v>
      </c>
      <c r="F186" s="14" t="s">
        <v>110</v>
      </c>
      <c r="G186" s="15"/>
      <c r="H186" s="15"/>
      <c r="I186" s="15"/>
      <c r="J186" s="29" t="s">
        <v>821</v>
      </c>
      <c r="K186" s="16">
        <v>100</v>
      </c>
      <c r="L186" s="29" t="s">
        <v>823</v>
      </c>
      <c r="M186" s="32" t="str">
        <f t="shared" si="26"/>
        <v>常规</v>
      </c>
      <c r="N186" s="18"/>
      <c r="O186" s="135" t="s">
        <v>2258</v>
      </c>
      <c r="P186" s="134" t="s">
        <v>2237</v>
      </c>
      <c r="Q186" s="141"/>
      <c r="R186" s="15"/>
      <c r="S186" s="15"/>
      <c r="T186" s="15"/>
      <c r="U186" s="32" t="str">
        <f t="shared" si="27"/>
        <v>个</v>
      </c>
      <c r="V186" s="14"/>
      <c r="W186" s="35"/>
      <c r="X186" s="32">
        <f t="shared" si="28"/>
        <v>100</v>
      </c>
      <c r="Y186" s="32" t="str">
        <f t="shared" si="29"/>
        <v>个</v>
      </c>
      <c r="Z186" s="14"/>
      <c r="AA186" s="15"/>
      <c r="AB186" s="35"/>
    </row>
    <row r="187" spans="1:28" s="45" customFormat="1" ht="19.899999999999999" customHeight="1" x14ac:dyDescent="0.3">
      <c r="A187" s="34">
        <v>184</v>
      </c>
      <c r="B187" s="12" t="s">
        <v>2523</v>
      </c>
      <c r="C187" s="29" t="s">
        <v>0</v>
      </c>
      <c r="D187" s="32" t="str">
        <f t="shared" si="25"/>
        <v>专用物耗</v>
      </c>
      <c r="E187" s="95" t="s">
        <v>3094</v>
      </c>
      <c r="F187" s="14" t="s">
        <v>16</v>
      </c>
      <c r="G187" s="15"/>
      <c r="H187" s="15"/>
      <c r="I187" s="15"/>
      <c r="J187" s="29" t="s">
        <v>821</v>
      </c>
      <c r="K187" s="16">
        <v>139</v>
      </c>
      <c r="L187" s="29" t="s">
        <v>824</v>
      </c>
      <c r="M187" s="32" t="str">
        <f t="shared" si="26"/>
        <v>常规</v>
      </c>
      <c r="N187" s="18"/>
      <c r="O187" s="135" t="s">
        <v>2258</v>
      </c>
      <c r="P187" s="134" t="s">
        <v>2237</v>
      </c>
      <c r="Q187" s="141"/>
      <c r="R187" s="15"/>
      <c r="S187" s="15" t="s">
        <v>1266</v>
      </c>
      <c r="T187" s="15">
        <v>17</v>
      </c>
      <c r="U187" s="32" t="str">
        <f t="shared" si="27"/>
        <v>支</v>
      </c>
      <c r="V187" s="14"/>
      <c r="W187" s="35"/>
      <c r="X187" s="32">
        <f t="shared" si="28"/>
        <v>122</v>
      </c>
      <c r="Y187" s="32" t="str">
        <f t="shared" si="29"/>
        <v>支</v>
      </c>
      <c r="Z187" s="14"/>
      <c r="AA187" s="15"/>
      <c r="AB187" s="35"/>
    </row>
    <row r="188" spans="1:28" s="45" customFormat="1" ht="19.899999999999999" customHeight="1" x14ac:dyDescent="0.3">
      <c r="A188" s="34">
        <v>185</v>
      </c>
      <c r="B188" s="12" t="s">
        <v>700</v>
      </c>
      <c r="C188" s="29" t="s">
        <v>0</v>
      </c>
      <c r="D188" s="32" t="str">
        <f t="shared" si="25"/>
        <v>专用物耗</v>
      </c>
      <c r="E188" s="14" t="s">
        <v>256</v>
      </c>
      <c r="F188" s="14" t="s">
        <v>701</v>
      </c>
      <c r="G188" s="15"/>
      <c r="H188" s="15"/>
      <c r="I188" s="15"/>
      <c r="J188" s="29" t="s">
        <v>821</v>
      </c>
      <c r="K188" s="16">
        <v>1</v>
      </c>
      <c r="L188" s="29" t="s">
        <v>823</v>
      </c>
      <c r="M188" s="32" t="str">
        <f t="shared" si="26"/>
        <v>常规</v>
      </c>
      <c r="N188" s="18"/>
      <c r="O188" s="135" t="s">
        <v>2260</v>
      </c>
      <c r="P188" s="141" t="s">
        <v>702</v>
      </c>
      <c r="Q188" s="141"/>
      <c r="R188" s="15"/>
      <c r="S188" s="15"/>
      <c r="T188" s="15"/>
      <c r="U188" s="32" t="str">
        <f t="shared" si="27"/>
        <v>个</v>
      </c>
      <c r="V188" s="14"/>
      <c r="W188" s="35"/>
      <c r="X188" s="32">
        <f t="shared" si="28"/>
        <v>1</v>
      </c>
      <c r="Y188" s="32" t="str">
        <f t="shared" si="29"/>
        <v>个</v>
      </c>
      <c r="Z188" s="14"/>
      <c r="AA188" s="15"/>
      <c r="AB188" s="35"/>
    </row>
    <row r="189" spans="1:28" s="45" customFormat="1" ht="19.899999999999999" customHeight="1" x14ac:dyDescent="0.3">
      <c r="A189" s="34">
        <v>186</v>
      </c>
      <c r="B189" s="12" t="s">
        <v>2525</v>
      </c>
      <c r="C189" s="29" t="s">
        <v>0</v>
      </c>
      <c r="D189" s="32" t="str">
        <f t="shared" si="25"/>
        <v>专用物耗</v>
      </c>
      <c r="E189" s="14" t="s">
        <v>256</v>
      </c>
      <c r="F189" s="14" t="s">
        <v>703</v>
      </c>
      <c r="G189" s="15"/>
      <c r="H189" s="15"/>
      <c r="I189" s="15"/>
      <c r="J189" s="29" t="s">
        <v>821</v>
      </c>
      <c r="K189" s="16">
        <v>1</v>
      </c>
      <c r="L189" s="29" t="s">
        <v>823</v>
      </c>
      <c r="M189" s="32" t="str">
        <f t="shared" si="26"/>
        <v>常规</v>
      </c>
      <c r="N189" s="18"/>
      <c r="O189" s="135" t="s">
        <v>2260</v>
      </c>
      <c r="P189" s="141" t="s">
        <v>702</v>
      </c>
      <c r="Q189" s="141"/>
      <c r="R189" s="15"/>
      <c r="S189" s="15"/>
      <c r="T189" s="15"/>
      <c r="U189" s="32" t="str">
        <f t="shared" si="27"/>
        <v>个</v>
      </c>
      <c r="V189" s="14"/>
      <c r="W189" s="35"/>
      <c r="X189" s="32">
        <f t="shared" si="28"/>
        <v>1</v>
      </c>
      <c r="Y189" s="32" t="str">
        <f t="shared" si="29"/>
        <v>个</v>
      </c>
      <c r="Z189" s="14"/>
      <c r="AA189" s="15"/>
      <c r="AB189" s="35"/>
    </row>
    <row r="190" spans="1:28" s="173" customFormat="1" ht="19.899999999999999" customHeight="1" x14ac:dyDescent="0.3">
      <c r="A190" s="163">
        <v>187</v>
      </c>
      <c r="B190" s="164" t="s">
        <v>2526</v>
      </c>
      <c r="C190" s="165" t="s">
        <v>0</v>
      </c>
      <c r="D190" s="166" t="str">
        <f t="shared" si="25"/>
        <v>专用物耗</v>
      </c>
      <c r="E190" s="164"/>
      <c r="F190" s="168"/>
      <c r="G190" s="167"/>
      <c r="H190" s="167"/>
      <c r="I190" s="167"/>
      <c r="J190" s="165" t="s">
        <v>821</v>
      </c>
      <c r="K190" s="168">
        <v>7</v>
      </c>
      <c r="L190" s="165" t="s">
        <v>825</v>
      </c>
      <c r="M190" s="166" t="str">
        <f t="shared" si="26"/>
        <v>常规</v>
      </c>
      <c r="N190" s="168"/>
      <c r="O190" s="180" t="s">
        <v>2260</v>
      </c>
      <c r="P190" s="171" t="s">
        <v>702</v>
      </c>
      <c r="Q190" s="171"/>
      <c r="R190" s="167"/>
      <c r="S190" s="167" t="s">
        <v>2202</v>
      </c>
      <c r="T190" s="167">
        <v>7</v>
      </c>
      <c r="U190" s="166" t="str">
        <f t="shared" si="27"/>
        <v>袋</v>
      </c>
      <c r="V190" s="168"/>
      <c r="W190" s="172"/>
      <c r="X190" s="166" t="str">
        <f t="shared" si="28"/>
        <v/>
      </c>
      <c r="Y190" s="166" t="str">
        <f t="shared" si="29"/>
        <v>袋</v>
      </c>
      <c r="Z190" s="168" t="s">
        <v>2527</v>
      </c>
      <c r="AA190" s="167"/>
      <c r="AB190" s="172"/>
    </row>
    <row r="191" spans="1:28" s="173" customFormat="1" ht="19.899999999999999" customHeight="1" x14ac:dyDescent="0.3">
      <c r="A191" s="163">
        <v>188</v>
      </c>
      <c r="B191" s="181" t="s">
        <v>704</v>
      </c>
      <c r="C191" s="165" t="s">
        <v>0</v>
      </c>
      <c r="D191" s="166" t="str">
        <f t="shared" si="25"/>
        <v>专用物耗</v>
      </c>
      <c r="E191" s="164"/>
      <c r="F191" s="241" t="s">
        <v>111</v>
      </c>
      <c r="G191" s="167"/>
      <c r="H191" s="167"/>
      <c r="I191" s="167"/>
      <c r="J191" s="165" t="s">
        <v>821</v>
      </c>
      <c r="K191" s="168">
        <v>1</v>
      </c>
      <c r="L191" s="165" t="s">
        <v>823</v>
      </c>
      <c r="M191" s="166" t="str">
        <f t="shared" si="26"/>
        <v>常规</v>
      </c>
      <c r="N191" s="168"/>
      <c r="O191" s="180" t="s">
        <v>2260</v>
      </c>
      <c r="P191" s="171" t="s">
        <v>705</v>
      </c>
      <c r="Q191" s="171"/>
      <c r="R191" s="167"/>
      <c r="S191" s="167" t="s">
        <v>894</v>
      </c>
      <c r="T191" s="167">
        <v>1</v>
      </c>
      <c r="U191" s="166" t="str">
        <f t="shared" si="27"/>
        <v>个</v>
      </c>
      <c r="V191" s="168"/>
      <c r="W191" s="172"/>
      <c r="X191" s="166" t="str">
        <f t="shared" si="28"/>
        <v/>
      </c>
      <c r="Y191" s="166" t="str">
        <f t="shared" si="29"/>
        <v>个</v>
      </c>
      <c r="Z191" s="168"/>
      <c r="AA191" s="167"/>
      <c r="AB191" s="172"/>
    </row>
    <row r="192" spans="1:28" s="45" customFormat="1" ht="19.899999999999999" customHeight="1" x14ac:dyDescent="0.3">
      <c r="A192" s="34">
        <v>189</v>
      </c>
      <c r="B192" s="20" t="s">
        <v>706</v>
      </c>
      <c r="C192" s="29" t="s">
        <v>0</v>
      </c>
      <c r="D192" s="32" t="str">
        <f t="shared" ref="D192:D256" si="35">IF(C192="J1","常规化学品",IF(C192="J2","危险化学品",IF(C192="J3","标准物质",IF(C192="J4","玻璃仪器",IF(C192="J5","实验气体",IF(C192="J6","专用物耗",IF(C192="J7","备品配件",IF(C192="J8","专用工具",IF(C192="Z1","劳保物资",IF(C192="Z2","办公耗材",IF(C192="Z3","食品饮料",IF(C192="Z4","特殊物耗",IF(C192="Z5","通用物耗",IF(C192="Z6","通用工具",""))))))))))))))</f>
        <v>专用物耗</v>
      </c>
      <c r="E192" s="16"/>
      <c r="F192" s="22" t="s">
        <v>260</v>
      </c>
      <c r="G192" s="15"/>
      <c r="H192" s="15"/>
      <c r="I192" s="15"/>
      <c r="J192" s="29" t="s">
        <v>821</v>
      </c>
      <c r="K192" s="18">
        <v>1</v>
      </c>
      <c r="L192" s="36" t="s">
        <v>823</v>
      </c>
      <c r="M192" s="32" t="str">
        <f t="shared" ref="M192:M256" si="36">IF(D192="危险化学品","五双",IF(D192="标准物资","严控",IF(D192&lt;&gt;"","常规","")))</f>
        <v>常规</v>
      </c>
      <c r="N192" s="18"/>
      <c r="O192" s="135" t="s">
        <v>2260</v>
      </c>
      <c r="P192" s="143" t="s">
        <v>705</v>
      </c>
      <c r="Q192" s="141"/>
      <c r="R192" s="15"/>
      <c r="S192" s="15"/>
      <c r="T192" s="15"/>
      <c r="U192" s="32" t="str">
        <f t="shared" ref="U192:U256" si="37">IF(L192="","",L192)</f>
        <v>个</v>
      </c>
      <c r="V192" s="14"/>
      <c r="W192" s="35"/>
      <c r="X192" s="32">
        <f t="shared" ref="X192:X256" si="38">IF((K192-T192)&lt;=0,"",K192-T192)</f>
        <v>1</v>
      </c>
      <c r="Y192" s="32" t="str">
        <f t="shared" ref="Y192:Y256" si="39">IF(L192="","",L192)</f>
        <v>个</v>
      </c>
      <c r="Z192" s="14"/>
      <c r="AA192" s="15"/>
      <c r="AB192" s="35"/>
    </row>
    <row r="193" spans="1:28" s="173" customFormat="1" ht="19.899999999999999" customHeight="1" x14ac:dyDescent="0.3">
      <c r="A193" s="163">
        <v>190</v>
      </c>
      <c r="B193" s="164" t="s">
        <v>707</v>
      </c>
      <c r="C193" s="165" t="s">
        <v>0</v>
      </c>
      <c r="D193" s="166" t="str">
        <f t="shared" si="35"/>
        <v>专用物耗</v>
      </c>
      <c r="E193" s="164"/>
      <c r="F193" s="168" t="s">
        <v>112</v>
      </c>
      <c r="G193" s="167"/>
      <c r="H193" s="167"/>
      <c r="I193" s="167"/>
      <c r="J193" s="165" t="s">
        <v>821</v>
      </c>
      <c r="K193" s="168">
        <v>1</v>
      </c>
      <c r="L193" s="165" t="s">
        <v>1644</v>
      </c>
      <c r="M193" s="166" t="str">
        <f t="shared" si="36"/>
        <v>常规</v>
      </c>
      <c r="N193" s="168"/>
      <c r="O193" s="180" t="s">
        <v>2260</v>
      </c>
      <c r="P193" s="171" t="s">
        <v>705</v>
      </c>
      <c r="Q193" s="171"/>
      <c r="R193" s="167"/>
      <c r="S193" s="167" t="s">
        <v>2081</v>
      </c>
      <c r="T193" s="167">
        <v>1</v>
      </c>
      <c r="U193" s="166" t="str">
        <f t="shared" si="37"/>
        <v>桶</v>
      </c>
      <c r="V193" s="168"/>
      <c r="W193" s="172"/>
      <c r="X193" s="166" t="str">
        <f t="shared" si="38"/>
        <v/>
      </c>
      <c r="Y193" s="166" t="str">
        <f t="shared" si="39"/>
        <v>桶</v>
      </c>
      <c r="Z193" s="168"/>
      <c r="AA193" s="167"/>
      <c r="AB193" s="172"/>
    </row>
    <row r="194" spans="1:28" s="173" customFormat="1" ht="19.899999999999999" customHeight="1" x14ac:dyDescent="0.3">
      <c r="A194" s="163">
        <v>191</v>
      </c>
      <c r="B194" s="164" t="s">
        <v>708</v>
      </c>
      <c r="C194" s="165" t="s">
        <v>0</v>
      </c>
      <c r="D194" s="166" t="str">
        <f t="shared" si="35"/>
        <v>专用物耗</v>
      </c>
      <c r="E194" s="164"/>
      <c r="F194" s="168" t="s">
        <v>113</v>
      </c>
      <c r="G194" s="167"/>
      <c r="H194" s="167"/>
      <c r="I194" s="167"/>
      <c r="J194" s="165" t="s">
        <v>821</v>
      </c>
      <c r="K194" s="168">
        <v>12</v>
      </c>
      <c r="L194" s="165" t="s">
        <v>842</v>
      </c>
      <c r="M194" s="166" t="str">
        <f t="shared" si="36"/>
        <v>常规</v>
      </c>
      <c r="N194" s="168"/>
      <c r="O194" s="180" t="s">
        <v>2260</v>
      </c>
      <c r="P194" s="171" t="s">
        <v>705</v>
      </c>
      <c r="Q194" s="171"/>
      <c r="R194" s="167"/>
      <c r="S194" s="167" t="s">
        <v>943</v>
      </c>
      <c r="T194" s="167">
        <v>12</v>
      </c>
      <c r="U194" s="166" t="str">
        <f t="shared" si="37"/>
        <v>米</v>
      </c>
      <c r="V194" s="168"/>
      <c r="W194" s="172"/>
      <c r="X194" s="166" t="str">
        <f t="shared" si="38"/>
        <v/>
      </c>
      <c r="Y194" s="166" t="str">
        <f t="shared" si="39"/>
        <v>米</v>
      </c>
      <c r="Z194" s="168"/>
      <c r="AA194" s="167"/>
      <c r="AB194" s="172"/>
    </row>
    <row r="195" spans="1:28" s="45" customFormat="1" ht="19.899999999999999" customHeight="1" x14ac:dyDescent="0.3">
      <c r="A195" s="34">
        <v>192</v>
      </c>
      <c r="B195" s="12" t="s">
        <v>708</v>
      </c>
      <c r="C195" s="29" t="s">
        <v>0</v>
      </c>
      <c r="D195" s="32" t="str">
        <f t="shared" si="35"/>
        <v>专用物耗</v>
      </c>
      <c r="E195" s="16"/>
      <c r="F195" s="14" t="s">
        <v>114</v>
      </c>
      <c r="G195" s="15"/>
      <c r="H195" s="15"/>
      <c r="I195" s="15"/>
      <c r="J195" s="29" t="s">
        <v>821</v>
      </c>
      <c r="K195" s="26">
        <v>6.6</v>
      </c>
      <c r="L195" s="29" t="s">
        <v>842</v>
      </c>
      <c r="M195" s="32" t="str">
        <f t="shared" si="36"/>
        <v>常规</v>
      </c>
      <c r="N195" s="18"/>
      <c r="O195" s="135" t="s">
        <v>2261</v>
      </c>
      <c r="P195" s="134" t="s">
        <v>2239</v>
      </c>
      <c r="Q195" s="141"/>
      <c r="R195" s="15"/>
      <c r="S195" s="15" t="s">
        <v>1643</v>
      </c>
      <c r="T195" s="15">
        <v>3.6</v>
      </c>
      <c r="U195" s="32" t="str">
        <f t="shared" si="37"/>
        <v>米</v>
      </c>
      <c r="V195" s="14"/>
      <c r="W195" s="35"/>
      <c r="X195" s="32">
        <f t="shared" si="38"/>
        <v>2.9999999999999996</v>
      </c>
      <c r="Y195" s="32" t="str">
        <f t="shared" si="39"/>
        <v>米</v>
      </c>
      <c r="Z195" s="14"/>
      <c r="AA195" s="15"/>
      <c r="AB195" s="35"/>
    </row>
    <row r="196" spans="1:28" s="45" customFormat="1" ht="19.899999999999999" customHeight="1" x14ac:dyDescent="0.3">
      <c r="A196" s="34">
        <v>193</v>
      </c>
      <c r="B196" s="12" t="s">
        <v>715</v>
      </c>
      <c r="C196" s="29" t="s">
        <v>0</v>
      </c>
      <c r="D196" s="32" t="str">
        <f t="shared" si="35"/>
        <v>专用物耗</v>
      </c>
      <c r="E196" s="16"/>
      <c r="F196" s="15" t="s">
        <v>716</v>
      </c>
      <c r="G196" s="15"/>
      <c r="H196" s="15"/>
      <c r="I196" s="15" t="s">
        <v>1220</v>
      </c>
      <c r="J196" s="29" t="s">
        <v>821</v>
      </c>
      <c r="K196" s="26">
        <v>1</v>
      </c>
      <c r="L196" s="29" t="s">
        <v>822</v>
      </c>
      <c r="M196" s="32" t="str">
        <f t="shared" si="36"/>
        <v>常规</v>
      </c>
      <c r="N196" s="18"/>
      <c r="O196" s="137" t="s">
        <v>2245</v>
      </c>
      <c r="P196" s="134" t="s">
        <v>2236</v>
      </c>
      <c r="Q196" s="141"/>
      <c r="R196" s="15"/>
      <c r="S196" s="15"/>
      <c r="T196" s="15"/>
      <c r="U196" s="32" t="str">
        <f t="shared" si="37"/>
        <v>只</v>
      </c>
      <c r="V196" s="14"/>
      <c r="W196" s="35"/>
      <c r="X196" s="32">
        <f t="shared" si="38"/>
        <v>1</v>
      </c>
      <c r="Y196" s="32" t="str">
        <f t="shared" si="39"/>
        <v>只</v>
      </c>
      <c r="Z196" s="14"/>
      <c r="AA196" s="15"/>
      <c r="AB196" s="35"/>
    </row>
    <row r="197" spans="1:28" s="45" customFormat="1" ht="19.899999999999999" customHeight="1" x14ac:dyDescent="0.3">
      <c r="A197" s="34">
        <v>194</v>
      </c>
      <c r="B197" s="89" t="s">
        <v>3096</v>
      </c>
      <c r="C197" s="29" t="s">
        <v>0</v>
      </c>
      <c r="D197" s="32" t="str">
        <f t="shared" si="35"/>
        <v>专用物耗</v>
      </c>
      <c r="E197" s="309" t="s">
        <v>3097</v>
      </c>
      <c r="F197" s="15" t="s">
        <v>116</v>
      </c>
      <c r="G197" s="15"/>
      <c r="H197" s="15"/>
      <c r="I197" s="15" t="s">
        <v>117</v>
      </c>
      <c r="J197" s="29" t="s">
        <v>821</v>
      </c>
      <c r="K197" s="26">
        <v>10</v>
      </c>
      <c r="L197" s="29" t="s">
        <v>822</v>
      </c>
      <c r="M197" s="32" t="str">
        <f t="shared" si="36"/>
        <v>常规</v>
      </c>
      <c r="N197" s="18"/>
      <c r="O197" s="137" t="s">
        <v>2245</v>
      </c>
      <c r="P197" s="134" t="s">
        <v>2238</v>
      </c>
      <c r="Q197" s="141"/>
      <c r="R197" s="15"/>
      <c r="S197" s="14" t="s">
        <v>2960</v>
      </c>
      <c r="T197" s="15">
        <v>7</v>
      </c>
      <c r="U197" s="32" t="str">
        <f t="shared" si="37"/>
        <v>只</v>
      </c>
      <c r="V197" s="14"/>
      <c r="W197" s="35"/>
      <c r="X197" s="32">
        <f t="shared" si="38"/>
        <v>3</v>
      </c>
      <c r="Y197" s="32" t="str">
        <f t="shared" si="39"/>
        <v>只</v>
      </c>
      <c r="Z197" s="14"/>
      <c r="AA197" s="15"/>
      <c r="AB197" s="35"/>
    </row>
    <row r="198" spans="1:28" s="45" customFormat="1" ht="19.899999999999999" customHeight="1" x14ac:dyDescent="0.3">
      <c r="A198" s="34">
        <v>195</v>
      </c>
      <c r="B198" s="12" t="s">
        <v>717</v>
      </c>
      <c r="C198" s="29" t="s">
        <v>0</v>
      </c>
      <c r="D198" s="32" t="str">
        <f t="shared" si="35"/>
        <v>专用物耗</v>
      </c>
      <c r="E198" s="309" t="s">
        <v>3097</v>
      </c>
      <c r="F198" s="15" t="s">
        <v>70</v>
      </c>
      <c r="G198" s="15"/>
      <c r="H198" s="15"/>
      <c r="I198" s="15" t="s">
        <v>118</v>
      </c>
      <c r="J198" s="29" t="s">
        <v>821</v>
      </c>
      <c r="K198" s="26">
        <v>10</v>
      </c>
      <c r="L198" s="29" t="s">
        <v>822</v>
      </c>
      <c r="M198" s="32" t="str">
        <f t="shared" si="36"/>
        <v>常规</v>
      </c>
      <c r="N198" s="18"/>
      <c r="O198" s="137" t="s">
        <v>2245</v>
      </c>
      <c r="P198" s="134" t="s">
        <v>2238</v>
      </c>
      <c r="Q198" s="141"/>
      <c r="R198" s="15"/>
      <c r="S198" s="15" t="s">
        <v>1269</v>
      </c>
      <c r="T198" s="15">
        <v>9</v>
      </c>
      <c r="U198" s="32" t="str">
        <f t="shared" si="37"/>
        <v>只</v>
      </c>
      <c r="V198" s="14"/>
      <c r="W198" s="35"/>
      <c r="X198" s="32">
        <f t="shared" si="38"/>
        <v>1</v>
      </c>
      <c r="Y198" s="32" t="str">
        <f t="shared" si="39"/>
        <v>只</v>
      </c>
      <c r="Z198" s="14"/>
      <c r="AA198" s="15"/>
      <c r="AB198" s="35"/>
    </row>
    <row r="199" spans="1:28" s="45" customFormat="1" ht="19.899999999999999" customHeight="1" x14ac:dyDescent="0.3">
      <c r="A199" s="34">
        <v>196</v>
      </c>
      <c r="B199" s="12" t="s">
        <v>718</v>
      </c>
      <c r="C199" s="29" t="s">
        <v>0</v>
      </c>
      <c r="D199" s="32" t="str">
        <f t="shared" si="35"/>
        <v>专用物耗</v>
      </c>
      <c r="E199" s="309" t="s">
        <v>3097</v>
      </c>
      <c r="F199" s="15" t="s">
        <v>119</v>
      </c>
      <c r="G199" s="15"/>
      <c r="H199" s="15"/>
      <c r="I199" s="15" t="s">
        <v>120</v>
      </c>
      <c r="J199" s="29" t="s">
        <v>821</v>
      </c>
      <c r="K199" s="26">
        <v>10</v>
      </c>
      <c r="L199" s="29" t="s">
        <v>822</v>
      </c>
      <c r="M199" s="32" t="str">
        <f t="shared" si="36"/>
        <v>常规</v>
      </c>
      <c r="N199" s="18"/>
      <c r="O199" s="137" t="s">
        <v>2245</v>
      </c>
      <c r="P199" s="134" t="s">
        <v>2238</v>
      </c>
      <c r="Q199" s="141"/>
      <c r="R199" s="15"/>
      <c r="S199" s="15" t="s">
        <v>1270</v>
      </c>
      <c r="T199" s="15">
        <v>9</v>
      </c>
      <c r="U199" s="32" t="str">
        <f t="shared" si="37"/>
        <v>只</v>
      </c>
      <c r="V199" s="14"/>
      <c r="W199" s="35"/>
      <c r="X199" s="32">
        <f t="shared" si="38"/>
        <v>1</v>
      </c>
      <c r="Y199" s="32" t="str">
        <f t="shared" si="39"/>
        <v>只</v>
      </c>
      <c r="Z199" s="14"/>
      <c r="AA199" s="15"/>
      <c r="AB199" s="35"/>
    </row>
    <row r="200" spans="1:28" s="45" customFormat="1" ht="19.899999999999999" customHeight="1" x14ac:dyDescent="0.3">
      <c r="A200" s="34">
        <v>197</v>
      </c>
      <c r="B200" s="12" t="s">
        <v>719</v>
      </c>
      <c r="C200" s="29" t="s">
        <v>0</v>
      </c>
      <c r="D200" s="32" t="str">
        <f t="shared" si="35"/>
        <v>专用物耗</v>
      </c>
      <c r="E200" s="309" t="s">
        <v>3097</v>
      </c>
      <c r="F200" s="15" t="s">
        <v>121</v>
      </c>
      <c r="G200" s="15"/>
      <c r="H200" s="15"/>
      <c r="I200" s="15" t="s">
        <v>122</v>
      </c>
      <c r="J200" s="29" t="s">
        <v>821</v>
      </c>
      <c r="K200" s="26">
        <v>2</v>
      </c>
      <c r="L200" s="29" t="s">
        <v>822</v>
      </c>
      <c r="M200" s="32" t="str">
        <f t="shared" si="36"/>
        <v>常规</v>
      </c>
      <c r="N200" s="18"/>
      <c r="O200" s="137" t="s">
        <v>2245</v>
      </c>
      <c r="P200" s="134" t="s">
        <v>2238</v>
      </c>
      <c r="Q200" s="141"/>
      <c r="R200" s="15"/>
      <c r="S200" s="15"/>
      <c r="T200" s="15"/>
      <c r="U200" s="32" t="str">
        <f t="shared" si="37"/>
        <v>只</v>
      </c>
      <c r="V200" s="14"/>
      <c r="W200" s="35"/>
      <c r="X200" s="32">
        <f t="shared" si="38"/>
        <v>2</v>
      </c>
      <c r="Y200" s="32" t="str">
        <f t="shared" si="39"/>
        <v>只</v>
      </c>
      <c r="Z200" s="14"/>
      <c r="AA200" s="15"/>
      <c r="AB200" s="35"/>
    </row>
    <row r="201" spans="1:28" s="45" customFormat="1" ht="19.899999999999999" customHeight="1" x14ac:dyDescent="0.3">
      <c r="A201" s="34">
        <v>198</v>
      </c>
      <c r="B201" s="12" t="s">
        <v>2109</v>
      </c>
      <c r="C201" s="29" t="s">
        <v>0</v>
      </c>
      <c r="D201" s="32" t="str">
        <f t="shared" si="35"/>
        <v>专用物耗</v>
      </c>
      <c r="E201" s="309" t="s">
        <v>3097</v>
      </c>
      <c r="F201" s="15" t="s">
        <v>121</v>
      </c>
      <c r="G201" s="15"/>
      <c r="H201" s="15"/>
      <c r="I201" s="15" t="s">
        <v>123</v>
      </c>
      <c r="J201" s="29" t="s">
        <v>821</v>
      </c>
      <c r="K201" s="26">
        <v>2</v>
      </c>
      <c r="L201" s="29" t="s">
        <v>822</v>
      </c>
      <c r="M201" s="32" t="str">
        <f t="shared" si="36"/>
        <v>常规</v>
      </c>
      <c r="N201" s="18"/>
      <c r="O201" s="137" t="s">
        <v>2245</v>
      </c>
      <c r="P201" s="134" t="s">
        <v>2238</v>
      </c>
      <c r="Q201" s="141"/>
      <c r="R201" s="15"/>
      <c r="S201" s="15"/>
      <c r="T201" s="15"/>
      <c r="U201" s="32" t="str">
        <f t="shared" si="37"/>
        <v>只</v>
      </c>
      <c r="V201" s="14"/>
      <c r="W201" s="35"/>
      <c r="X201" s="32">
        <f t="shared" si="38"/>
        <v>2</v>
      </c>
      <c r="Y201" s="32" t="str">
        <f t="shared" si="39"/>
        <v>只</v>
      </c>
      <c r="Z201" s="14"/>
      <c r="AA201" s="15"/>
      <c r="AB201" s="35"/>
    </row>
    <row r="202" spans="1:28" s="45" customFormat="1" ht="19.899999999999999" customHeight="1" x14ac:dyDescent="0.3">
      <c r="A202" s="34">
        <v>199</v>
      </c>
      <c r="B202" s="12" t="s">
        <v>720</v>
      </c>
      <c r="C202" s="29" t="s">
        <v>0</v>
      </c>
      <c r="D202" s="32" t="str">
        <f t="shared" si="35"/>
        <v>专用物耗</v>
      </c>
      <c r="E202" s="309" t="s">
        <v>3097</v>
      </c>
      <c r="F202" s="15">
        <v>30444755</v>
      </c>
      <c r="G202" s="15"/>
      <c r="H202" s="15"/>
      <c r="I202" s="15" t="s">
        <v>124</v>
      </c>
      <c r="J202" s="29" t="s">
        <v>821</v>
      </c>
      <c r="K202" s="26">
        <v>2</v>
      </c>
      <c r="L202" s="29" t="s">
        <v>822</v>
      </c>
      <c r="M202" s="32" t="str">
        <f t="shared" si="36"/>
        <v>常规</v>
      </c>
      <c r="N202" s="18"/>
      <c r="O202" s="137" t="s">
        <v>2245</v>
      </c>
      <c r="P202" s="134" t="s">
        <v>2238</v>
      </c>
      <c r="Q202" s="141"/>
      <c r="R202" s="15"/>
      <c r="S202" s="15"/>
      <c r="T202" s="15"/>
      <c r="U202" s="32" t="str">
        <f t="shared" si="37"/>
        <v>只</v>
      </c>
      <c r="V202" s="14"/>
      <c r="W202" s="35"/>
      <c r="X202" s="32">
        <f t="shared" si="38"/>
        <v>2</v>
      </c>
      <c r="Y202" s="32" t="str">
        <f t="shared" si="39"/>
        <v>只</v>
      </c>
      <c r="Z202" s="14"/>
      <c r="AA202" s="15"/>
      <c r="AB202" s="35"/>
    </row>
    <row r="203" spans="1:28" s="173" customFormat="1" ht="19.899999999999999" customHeight="1" x14ac:dyDescent="0.3">
      <c r="A203" s="163">
        <v>200</v>
      </c>
      <c r="B203" s="164" t="s">
        <v>721</v>
      </c>
      <c r="C203" s="165" t="s">
        <v>0</v>
      </c>
      <c r="D203" s="166" t="str">
        <f t="shared" si="35"/>
        <v>专用物耗</v>
      </c>
      <c r="E203" s="164"/>
      <c r="F203" s="167" t="s">
        <v>125</v>
      </c>
      <c r="G203" s="167"/>
      <c r="H203" s="167"/>
      <c r="I203" s="167" t="s">
        <v>1221</v>
      </c>
      <c r="J203" s="165" t="s">
        <v>821</v>
      </c>
      <c r="K203" s="167">
        <v>1</v>
      </c>
      <c r="L203" s="165" t="s">
        <v>826</v>
      </c>
      <c r="M203" s="166" t="str">
        <f t="shared" si="36"/>
        <v>常规</v>
      </c>
      <c r="N203" s="168"/>
      <c r="O203" s="180" t="s">
        <v>2246</v>
      </c>
      <c r="P203" s="170" t="s">
        <v>2237</v>
      </c>
      <c r="Q203" s="171"/>
      <c r="R203" s="167"/>
      <c r="S203" s="167" t="s">
        <v>918</v>
      </c>
      <c r="T203" s="167">
        <v>1</v>
      </c>
      <c r="U203" s="166" t="str">
        <f t="shared" si="37"/>
        <v>盒</v>
      </c>
      <c r="V203" s="168" t="s">
        <v>713</v>
      </c>
      <c r="W203" s="172"/>
      <c r="X203" s="166" t="str">
        <f t="shared" si="38"/>
        <v/>
      </c>
      <c r="Y203" s="166" t="str">
        <f t="shared" si="39"/>
        <v>盒</v>
      </c>
      <c r="Z203" s="168"/>
      <c r="AA203" s="167"/>
      <c r="AB203" s="172"/>
    </row>
    <row r="204" spans="1:28" s="45" customFormat="1" ht="19.899999999999999" customHeight="1" x14ac:dyDescent="0.3">
      <c r="A204" s="34">
        <v>201</v>
      </c>
      <c r="B204" s="12" t="s">
        <v>722</v>
      </c>
      <c r="C204" s="29" t="s">
        <v>0</v>
      </c>
      <c r="D204" s="32" t="str">
        <f t="shared" si="35"/>
        <v>专用物耗</v>
      </c>
      <c r="E204" s="16"/>
      <c r="F204" s="12" t="s">
        <v>723</v>
      </c>
      <c r="G204" s="15"/>
      <c r="H204" s="15"/>
      <c r="I204" s="15" t="s">
        <v>126</v>
      </c>
      <c r="J204" s="29" t="s">
        <v>821</v>
      </c>
      <c r="K204" s="16">
        <v>2</v>
      </c>
      <c r="L204" s="29" t="s">
        <v>836</v>
      </c>
      <c r="M204" s="32" t="str">
        <f t="shared" si="36"/>
        <v>常规</v>
      </c>
      <c r="N204" s="18"/>
      <c r="O204" s="137" t="s">
        <v>2245</v>
      </c>
      <c r="P204" s="134" t="s">
        <v>2238</v>
      </c>
      <c r="Q204" s="141"/>
      <c r="R204" s="15"/>
      <c r="S204" s="15"/>
      <c r="T204" s="15"/>
      <c r="U204" s="32" t="str">
        <f t="shared" si="37"/>
        <v>把</v>
      </c>
      <c r="V204" s="14"/>
      <c r="W204" s="35"/>
      <c r="X204" s="32">
        <f t="shared" si="38"/>
        <v>2</v>
      </c>
      <c r="Y204" s="32" t="str">
        <f t="shared" si="39"/>
        <v>把</v>
      </c>
      <c r="Z204" s="14"/>
      <c r="AA204" s="15"/>
      <c r="AB204" s="35"/>
    </row>
    <row r="205" spans="1:28" s="45" customFormat="1" ht="19.899999999999999" customHeight="1" x14ac:dyDescent="0.3">
      <c r="A205" s="34">
        <v>202</v>
      </c>
      <c r="B205" s="12" t="s">
        <v>724</v>
      </c>
      <c r="C205" s="29" t="s">
        <v>0</v>
      </c>
      <c r="D205" s="32" t="str">
        <f t="shared" si="35"/>
        <v>专用物耗</v>
      </c>
      <c r="E205" s="16"/>
      <c r="F205" s="15" t="s">
        <v>725</v>
      </c>
      <c r="G205" s="15"/>
      <c r="H205" s="15"/>
      <c r="I205" s="15" t="s">
        <v>1222</v>
      </c>
      <c r="J205" s="29" t="s">
        <v>821</v>
      </c>
      <c r="K205" s="26">
        <v>1</v>
      </c>
      <c r="L205" s="29" t="s">
        <v>843</v>
      </c>
      <c r="M205" s="32" t="str">
        <f t="shared" si="36"/>
        <v>常规</v>
      </c>
      <c r="N205" s="18"/>
      <c r="O205" s="137" t="s">
        <v>2245</v>
      </c>
      <c r="P205" s="134" t="s">
        <v>2238</v>
      </c>
      <c r="Q205" s="141"/>
      <c r="R205" s="15"/>
      <c r="S205" s="15"/>
      <c r="T205" s="15"/>
      <c r="U205" s="32" t="str">
        <f t="shared" si="37"/>
        <v>块</v>
      </c>
      <c r="V205" s="14"/>
      <c r="W205" s="35"/>
      <c r="X205" s="32">
        <f t="shared" si="38"/>
        <v>1</v>
      </c>
      <c r="Y205" s="32" t="str">
        <f t="shared" si="39"/>
        <v>块</v>
      </c>
      <c r="Z205" s="14"/>
      <c r="AA205" s="15"/>
      <c r="AB205" s="35"/>
    </row>
    <row r="206" spans="1:28" s="173" customFormat="1" ht="19.899999999999999" customHeight="1" x14ac:dyDescent="0.3">
      <c r="A206" s="163">
        <v>203</v>
      </c>
      <c r="B206" s="164" t="s">
        <v>726</v>
      </c>
      <c r="C206" s="165" t="s">
        <v>0</v>
      </c>
      <c r="D206" s="166" t="str">
        <f t="shared" si="35"/>
        <v>专用物耗</v>
      </c>
      <c r="E206" s="164"/>
      <c r="F206" s="167"/>
      <c r="G206" s="167"/>
      <c r="H206" s="167"/>
      <c r="I206" s="167" t="s">
        <v>1223</v>
      </c>
      <c r="J206" s="165" t="s">
        <v>821</v>
      </c>
      <c r="K206" s="164">
        <v>1</v>
      </c>
      <c r="L206" s="165" t="s">
        <v>831</v>
      </c>
      <c r="M206" s="166" t="str">
        <f t="shared" si="36"/>
        <v>常规</v>
      </c>
      <c r="N206" s="168"/>
      <c r="O206" s="169" t="s">
        <v>2246</v>
      </c>
      <c r="P206" s="170" t="s">
        <v>2237</v>
      </c>
      <c r="Q206" s="171"/>
      <c r="R206" s="167"/>
      <c r="S206" s="167" t="s">
        <v>869</v>
      </c>
      <c r="T206" s="167">
        <v>1</v>
      </c>
      <c r="U206" s="166" t="str">
        <f t="shared" si="37"/>
        <v>根</v>
      </c>
      <c r="V206" s="168" t="s">
        <v>713</v>
      </c>
      <c r="W206" s="172"/>
      <c r="X206" s="166" t="str">
        <f t="shared" si="38"/>
        <v/>
      </c>
      <c r="Y206" s="166" t="str">
        <f t="shared" si="39"/>
        <v>根</v>
      </c>
      <c r="Z206" s="168"/>
      <c r="AA206" s="167"/>
      <c r="AB206" s="172"/>
    </row>
    <row r="207" spans="1:28" s="173" customFormat="1" ht="19.899999999999999" customHeight="1" x14ac:dyDescent="0.3">
      <c r="A207" s="163">
        <v>204</v>
      </c>
      <c r="B207" s="164" t="s">
        <v>727</v>
      </c>
      <c r="C207" s="165" t="s">
        <v>0</v>
      </c>
      <c r="D207" s="166" t="str">
        <f t="shared" si="35"/>
        <v>专用物耗</v>
      </c>
      <c r="E207" s="164"/>
      <c r="F207" s="167" t="s">
        <v>728</v>
      </c>
      <c r="G207" s="167"/>
      <c r="H207" s="167"/>
      <c r="I207" s="167" t="s">
        <v>1224</v>
      </c>
      <c r="J207" s="165" t="s">
        <v>821</v>
      </c>
      <c r="K207" s="167">
        <v>3</v>
      </c>
      <c r="L207" s="165" t="s">
        <v>828</v>
      </c>
      <c r="M207" s="166" t="str">
        <f t="shared" si="36"/>
        <v>常规</v>
      </c>
      <c r="N207" s="168"/>
      <c r="O207" s="169" t="s">
        <v>2245</v>
      </c>
      <c r="P207" s="170" t="s">
        <v>2236</v>
      </c>
      <c r="Q207" s="171"/>
      <c r="R207" s="167"/>
      <c r="S207" s="167" t="s">
        <v>2800</v>
      </c>
      <c r="T207" s="167">
        <v>3</v>
      </c>
      <c r="U207" s="166" t="str">
        <f t="shared" si="37"/>
        <v>包</v>
      </c>
      <c r="V207" s="168"/>
      <c r="W207" s="172"/>
      <c r="X207" s="166" t="str">
        <f t="shared" si="38"/>
        <v/>
      </c>
      <c r="Y207" s="166" t="str">
        <f t="shared" si="39"/>
        <v>包</v>
      </c>
      <c r="Z207" s="168"/>
      <c r="AA207" s="167"/>
      <c r="AB207" s="172"/>
    </row>
    <row r="208" spans="1:28" s="45" customFormat="1" ht="19.899999999999999" customHeight="1" x14ac:dyDescent="0.3">
      <c r="A208" s="34">
        <v>205</v>
      </c>
      <c r="B208" s="12" t="s">
        <v>729</v>
      </c>
      <c r="C208" s="29" t="s">
        <v>0</v>
      </c>
      <c r="D208" s="32" t="str">
        <f t="shared" si="35"/>
        <v>专用物耗</v>
      </c>
      <c r="E208" s="16"/>
      <c r="F208" s="15" t="s">
        <v>730</v>
      </c>
      <c r="G208" s="15"/>
      <c r="H208" s="15"/>
      <c r="I208" s="15" t="s">
        <v>1225</v>
      </c>
      <c r="J208" s="29" t="s">
        <v>821</v>
      </c>
      <c r="K208" s="26">
        <v>1</v>
      </c>
      <c r="L208" s="29" t="s">
        <v>826</v>
      </c>
      <c r="M208" s="32" t="str">
        <f t="shared" si="36"/>
        <v>常规</v>
      </c>
      <c r="N208" s="18"/>
      <c r="O208" s="137" t="s">
        <v>2246</v>
      </c>
      <c r="P208" s="134" t="s">
        <v>2239</v>
      </c>
      <c r="Q208" s="141"/>
      <c r="R208" s="15"/>
      <c r="S208" s="15"/>
      <c r="T208" s="15"/>
      <c r="U208" s="32" t="str">
        <f t="shared" si="37"/>
        <v>盒</v>
      </c>
      <c r="V208" s="14" t="s">
        <v>1650</v>
      </c>
      <c r="W208" s="35"/>
      <c r="X208" s="32">
        <f t="shared" si="38"/>
        <v>1</v>
      </c>
      <c r="Y208" s="32" t="str">
        <f t="shared" si="39"/>
        <v>盒</v>
      </c>
      <c r="Z208" s="14" t="s">
        <v>1650</v>
      </c>
      <c r="AA208" s="15"/>
      <c r="AB208" s="35"/>
    </row>
    <row r="209" spans="1:28" s="173" customFormat="1" ht="19.899999999999999" customHeight="1" x14ac:dyDescent="0.3">
      <c r="A209" s="163">
        <v>206</v>
      </c>
      <c r="B209" s="164" t="s">
        <v>731</v>
      </c>
      <c r="C209" s="165" t="s">
        <v>0</v>
      </c>
      <c r="D209" s="166" t="str">
        <f t="shared" si="35"/>
        <v>专用物耗</v>
      </c>
      <c r="E209" s="164"/>
      <c r="F209" s="167" t="s">
        <v>732</v>
      </c>
      <c r="G209" s="167"/>
      <c r="H209" s="167"/>
      <c r="I209" s="167" t="s">
        <v>1226</v>
      </c>
      <c r="J209" s="165" t="s">
        <v>821</v>
      </c>
      <c r="K209" s="167">
        <v>10</v>
      </c>
      <c r="L209" s="165" t="s">
        <v>826</v>
      </c>
      <c r="M209" s="166" t="str">
        <f t="shared" si="36"/>
        <v>常规</v>
      </c>
      <c r="N209" s="168"/>
      <c r="O209" s="169" t="s">
        <v>2254</v>
      </c>
      <c r="P209" s="170" t="s">
        <v>2238</v>
      </c>
      <c r="Q209" s="171"/>
      <c r="R209" s="167"/>
      <c r="S209" s="167" t="s">
        <v>1271</v>
      </c>
      <c r="T209" s="167">
        <v>10</v>
      </c>
      <c r="U209" s="166" t="str">
        <f t="shared" si="37"/>
        <v>盒</v>
      </c>
      <c r="V209" s="168"/>
      <c r="W209" s="172"/>
      <c r="X209" s="166" t="str">
        <f t="shared" si="38"/>
        <v/>
      </c>
      <c r="Y209" s="166" t="str">
        <f t="shared" si="39"/>
        <v>盒</v>
      </c>
      <c r="Z209" s="168"/>
      <c r="AA209" s="167"/>
      <c r="AB209" s="172"/>
    </row>
    <row r="210" spans="1:28" s="173" customFormat="1" ht="19.899999999999999" customHeight="1" x14ac:dyDescent="0.3">
      <c r="A210" s="163">
        <v>207</v>
      </c>
      <c r="B210" s="164" t="s">
        <v>733</v>
      </c>
      <c r="C210" s="165" t="s">
        <v>0</v>
      </c>
      <c r="D210" s="166" t="str">
        <f t="shared" si="35"/>
        <v>专用物耗</v>
      </c>
      <c r="E210" s="164"/>
      <c r="F210" s="167" t="s">
        <v>734</v>
      </c>
      <c r="G210" s="167"/>
      <c r="H210" s="167"/>
      <c r="I210" s="167" t="s">
        <v>1227</v>
      </c>
      <c r="J210" s="165" t="s">
        <v>821</v>
      </c>
      <c r="K210" s="167">
        <v>10</v>
      </c>
      <c r="L210" s="165" t="s">
        <v>826</v>
      </c>
      <c r="M210" s="166" t="str">
        <f t="shared" si="36"/>
        <v>常规</v>
      </c>
      <c r="N210" s="168"/>
      <c r="O210" s="169" t="s">
        <v>2245</v>
      </c>
      <c r="P210" s="170" t="s">
        <v>2239</v>
      </c>
      <c r="Q210" s="171"/>
      <c r="R210" s="167"/>
      <c r="S210" s="174" t="s">
        <v>1272</v>
      </c>
      <c r="T210" s="167">
        <v>10</v>
      </c>
      <c r="U210" s="166" t="str">
        <f t="shared" si="37"/>
        <v>盒</v>
      </c>
      <c r="V210" s="168"/>
      <c r="W210" s="172"/>
      <c r="X210" s="166" t="str">
        <f t="shared" si="38"/>
        <v/>
      </c>
      <c r="Y210" s="166" t="str">
        <f t="shared" si="39"/>
        <v>盒</v>
      </c>
      <c r="Z210" s="168"/>
      <c r="AA210" s="167"/>
      <c r="AB210" s="172"/>
    </row>
    <row r="211" spans="1:28" s="45" customFormat="1" ht="19.899999999999999" customHeight="1" x14ac:dyDescent="0.3">
      <c r="A211" s="34">
        <v>208</v>
      </c>
      <c r="B211" s="12" t="s">
        <v>735</v>
      </c>
      <c r="C211" s="29" t="s">
        <v>0</v>
      </c>
      <c r="D211" s="32" t="str">
        <f t="shared" si="35"/>
        <v>专用物耗</v>
      </c>
      <c r="E211" s="16"/>
      <c r="F211" s="15"/>
      <c r="G211" s="15"/>
      <c r="H211" s="15"/>
      <c r="I211" s="15" t="s">
        <v>127</v>
      </c>
      <c r="J211" s="29" t="s">
        <v>821</v>
      </c>
      <c r="K211" s="26">
        <v>4</v>
      </c>
      <c r="L211" s="29" t="s">
        <v>842</v>
      </c>
      <c r="M211" s="32" t="str">
        <f t="shared" si="36"/>
        <v>常规</v>
      </c>
      <c r="N211" s="18"/>
      <c r="O211" s="137" t="s">
        <v>2254</v>
      </c>
      <c r="P211" s="134" t="s">
        <v>2239</v>
      </c>
      <c r="Q211" s="141" t="s">
        <v>2517</v>
      </c>
      <c r="R211" s="15"/>
      <c r="S211" s="15" t="s">
        <v>972</v>
      </c>
      <c r="T211" s="15">
        <v>1.5</v>
      </c>
      <c r="U211" s="32" t="str">
        <f t="shared" si="37"/>
        <v>米</v>
      </c>
      <c r="V211" s="14"/>
      <c r="W211" s="35"/>
      <c r="X211" s="32">
        <f t="shared" si="38"/>
        <v>2.5</v>
      </c>
      <c r="Y211" s="32" t="str">
        <f t="shared" si="39"/>
        <v>米</v>
      </c>
      <c r="Z211" s="14"/>
      <c r="AA211" s="15"/>
      <c r="AB211" s="35"/>
    </row>
    <row r="212" spans="1:28" s="45" customFormat="1" ht="19.899999999999999" customHeight="1" x14ac:dyDescent="0.3">
      <c r="A212" s="34">
        <v>209</v>
      </c>
      <c r="B212" s="12" t="s">
        <v>737</v>
      </c>
      <c r="C212" s="29" t="s">
        <v>0</v>
      </c>
      <c r="D212" s="32" t="str">
        <f t="shared" si="35"/>
        <v>专用物耗</v>
      </c>
      <c r="E212" s="16"/>
      <c r="F212" s="15"/>
      <c r="G212" s="15" t="s">
        <v>2528</v>
      </c>
      <c r="H212" s="15"/>
      <c r="I212" s="15" t="s">
        <v>1228</v>
      </c>
      <c r="J212" s="29" t="s">
        <v>821</v>
      </c>
      <c r="K212" s="26">
        <v>2</v>
      </c>
      <c r="L212" s="29" t="s">
        <v>822</v>
      </c>
      <c r="M212" s="32" t="str">
        <f t="shared" si="36"/>
        <v>常规</v>
      </c>
      <c r="N212" s="18"/>
      <c r="O212" s="137" t="s">
        <v>2245</v>
      </c>
      <c r="P212" s="134" t="s">
        <v>2236</v>
      </c>
      <c r="Q212" s="141"/>
      <c r="R212" s="15"/>
      <c r="S212" s="15"/>
      <c r="T212" s="15"/>
      <c r="U212" s="32" t="str">
        <f t="shared" si="37"/>
        <v>只</v>
      </c>
      <c r="V212" s="14"/>
      <c r="W212" s="35"/>
      <c r="X212" s="32">
        <f t="shared" si="38"/>
        <v>2</v>
      </c>
      <c r="Y212" s="32" t="str">
        <f t="shared" si="39"/>
        <v>只</v>
      </c>
      <c r="Z212" s="14"/>
      <c r="AA212" s="15"/>
      <c r="AB212" s="35"/>
    </row>
    <row r="213" spans="1:28" s="45" customFormat="1" ht="19.899999999999999" customHeight="1" x14ac:dyDescent="0.3">
      <c r="A213" s="34">
        <v>210</v>
      </c>
      <c r="B213" s="12" t="s">
        <v>738</v>
      </c>
      <c r="C213" s="29" t="s">
        <v>0</v>
      </c>
      <c r="D213" s="32" t="str">
        <f t="shared" si="35"/>
        <v>专用物耗</v>
      </c>
      <c r="E213" s="16"/>
      <c r="F213" s="15" t="s">
        <v>128</v>
      </c>
      <c r="G213" s="15" t="s">
        <v>2528</v>
      </c>
      <c r="H213" s="15"/>
      <c r="I213" s="15" t="s">
        <v>1229</v>
      </c>
      <c r="J213" s="29" t="s">
        <v>821</v>
      </c>
      <c r="K213" s="26">
        <v>1</v>
      </c>
      <c r="L213" s="29" t="s">
        <v>822</v>
      </c>
      <c r="M213" s="32" t="str">
        <f t="shared" si="36"/>
        <v>常规</v>
      </c>
      <c r="N213" s="18"/>
      <c r="O213" s="137" t="s">
        <v>2245</v>
      </c>
      <c r="P213" s="134" t="s">
        <v>2236</v>
      </c>
      <c r="Q213" s="141"/>
      <c r="R213" s="15"/>
      <c r="S213" s="15"/>
      <c r="T213" s="15"/>
      <c r="U213" s="32" t="str">
        <f t="shared" si="37"/>
        <v>只</v>
      </c>
      <c r="V213" s="14"/>
      <c r="W213" s="35"/>
      <c r="X213" s="32">
        <f t="shared" si="38"/>
        <v>1</v>
      </c>
      <c r="Y213" s="32" t="str">
        <f t="shared" si="39"/>
        <v>只</v>
      </c>
      <c r="Z213" s="14"/>
      <c r="AA213" s="15"/>
      <c r="AB213" s="35"/>
    </row>
    <row r="214" spans="1:28" s="45" customFormat="1" ht="19.899999999999999" customHeight="1" x14ac:dyDescent="0.3">
      <c r="A214" s="34">
        <v>211</v>
      </c>
      <c r="B214" s="12" t="s">
        <v>739</v>
      </c>
      <c r="C214" s="29" t="s">
        <v>0</v>
      </c>
      <c r="D214" s="32" t="str">
        <f t="shared" si="35"/>
        <v>专用物耗</v>
      </c>
      <c r="E214" s="16"/>
      <c r="F214" s="15" t="s">
        <v>129</v>
      </c>
      <c r="G214" s="15" t="s">
        <v>2528</v>
      </c>
      <c r="H214" s="15"/>
      <c r="I214" s="15" t="s">
        <v>1230</v>
      </c>
      <c r="J214" s="29" t="s">
        <v>821</v>
      </c>
      <c r="K214" s="26">
        <v>1</v>
      </c>
      <c r="L214" s="29" t="s">
        <v>822</v>
      </c>
      <c r="M214" s="32" t="str">
        <f t="shared" si="36"/>
        <v>常规</v>
      </c>
      <c r="N214" s="18"/>
      <c r="O214" s="137" t="s">
        <v>2245</v>
      </c>
      <c r="P214" s="134" t="s">
        <v>2236</v>
      </c>
      <c r="Q214" s="141"/>
      <c r="R214" s="15"/>
      <c r="S214" s="15"/>
      <c r="T214" s="15"/>
      <c r="U214" s="32" t="str">
        <f t="shared" si="37"/>
        <v>只</v>
      </c>
      <c r="V214" s="14"/>
      <c r="W214" s="35"/>
      <c r="X214" s="32">
        <f t="shared" si="38"/>
        <v>1</v>
      </c>
      <c r="Y214" s="32" t="str">
        <f t="shared" si="39"/>
        <v>只</v>
      </c>
      <c r="Z214" s="14"/>
      <c r="AA214" s="15"/>
      <c r="AB214" s="35"/>
    </row>
    <row r="215" spans="1:28" s="173" customFormat="1" ht="19.899999999999999" customHeight="1" x14ac:dyDescent="0.3">
      <c r="A215" s="163">
        <v>212</v>
      </c>
      <c r="B215" s="248" t="s">
        <v>2908</v>
      </c>
      <c r="C215" s="165" t="s">
        <v>0</v>
      </c>
      <c r="D215" s="166" t="str">
        <f t="shared" si="35"/>
        <v>专用物耗</v>
      </c>
      <c r="E215" s="164"/>
      <c r="F215" s="167" t="s">
        <v>2911</v>
      </c>
      <c r="G215" s="167"/>
      <c r="H215" s="167"/>
      <c r="I215" s="167" t="s">
        <v>2909</v>
      </c>
      <c r="J215" s="165" t="s">
        <v>821</v>
      </c>
      <c r="K215" s="167">
        <v>10</v>
      </c>
      <c r="L215" s="165" t="s">
        <v>822</v>
      </c>
      <c r="M215" s="166" t="str">
        <f t="shared" si="36"/>
        <v>常规</v>
      </c>
      <c r="N215" s="168"/>
      <c r="O215" s="180" t="s">
        <v>2246</v>
      </c>
      <c r="P215" s="170" t="s">
        <v>2236</v>
      </c>
      <c r="Q215" s="171"/>
      <c r="R215" s="167"/>
      <c r="S215" s="167" t="s">
        <v>2910</v>
      </c>
      <c r="T215" s="167">
        <v>10</v>
      </c>
      <c r="U215" s="166" t="str">
        <f t="shared" si="37"/>
        <v>只</v>
      </c>
      <c r="V215" s="168"/>
      <c r="W215" s="172"/>
      <c r="X215" s="166" t="str">
        <f t="shared" si="38"/>
        <v/>
      </c>
      <c r="Y215" s="166" t="str">
        <f t="shared" si="39"/>
        <v>只</v>
      </c>
      <c r="Z215" s="168"/>
      <c r="AA215" s="167"/>
      <c r="AB215" s="172"/>
    </row>
    <row r="216" spans="1:28" s="45" customFormat="1" ht="19.899999999999999" customHeight="1" x14ac:dyDescent="0.3">
      <c r="A216" s="34">
        <v>213</v>
      </c>
      <c r="B216" s="12" t="s">
        <v>741</v>
      </c>
      <c r="C216" s="29" t="s">
        <v>0</v>
      </c>
      <c r="D216" s="32" t="str">
        <f t="shared" si="35"/>
        <v>专用物耗</v>
      </c>
      <c r="E216" s="12"/>
      <c r="F216" s="15" t="s">
        <v>742</v>
      </c>
      <c r="G216" s="15"/>
      <c r="H216" s="15"/>
      <c r="I216" s="15" t="s">
        <v>1231</v>
      </c>
      <c r="J216" s="29" t="s">
        <v>821</v>
      </c>
      <c r="K216" s="15">
        <v>300</v>
      </c>
      <c r="L216" s="29" t="s">
        <v>824</v>
      </c>
      <c r="M216" s="32" t="str">
        <f t="shared" si="36"/>
        <v>常规</v>
      </c>
      <c r="N216" s="14"/>
      <c r="O216" s="137" t="s">
        <v>2254</v>
      </c>
      <c r="P216" s="134" t="s">
        <v>2236</v>
      </c>
      <c r="Q216" s="141"/>
      <c r="R216" s="15"/>
      <c r="S216" s="15" t="s">
        <v>1273</v>
      </c>
      <c r="T216" s="15">
        <v>205</v>
      </c>
      <c r="U216" s="32" t="str">
        <f t="shared" si="37"/>
        <v>支</v>
      </c>
      <c r="V216" s="14"/>
      <c r="W216" s="35"/>
      <c r="X216" s="32">
        <f t="shared" si="38"/>
        <v>95</v>
      </c>
      <c r="Y216" s="32" t="str">
        <f t="shared" si="39"/>
        <v>支</v>
      </c>
      <c r="Z216" s="14"/>
      <c r="AA216" s="15"/>
      <c r="AB216" s="35"/>
    </row>
    <row r="217" spans="1:28" s="45" customFormat="1" ht="19.899999999999999" customHeight="1" x14ac:dyDescent="0.3">
      <c r="A217" s="34">
        <v>214</v>
      </c>
      <c r="B217" s="12" t="s">
        <v>741</v>
      </c>
      <c r="C217" s="29" t="s">
        <v>0</v>
      </c>
      <c r="D217" s="32" t="str">
        <f t="shared" ref="D217" si="40">IF(C217="J1","常规化学品",IF(C217="J2","危险化学品",IF(C217="J3","标准物质",IF(C217="J4","玻璃仪器",IF(C217="J5","实验气体",IF(C217="J6","专用物耗",IF(C217="J7","备品配件",IF(C217="J8","专用工具",IF(C217="Z1","劳保物资",IF(C217="Z2","办公耗材",IF(C217="Z3","食品饮料",IF(C217="Z4","特殊物耗",IF(C217="Z5","通用物耗",IF(C217="Z6","通用工具",""))))))))))))))</f>
        <v>专用物耗</v>
      </c>
      <c r="E217" s="12"/>
      <c r="F217" s="15" t="s">
        <v>742</v>
      </c>
      <c r="G217" s="15"/>
      <c r="H217" s="15"/>
      <c r="I217" s="15" t="s">
        <v>2204</v>
      </c>
      <c r="J217" s="29" t="s">
        <v>821</v>
      </c>
      <c r="K217" s="15">
        <v>5</v>
      </c>
      <c r="L217" s="29" t="s">
        <v>824</v>
      </c>
      <c r="M217" s="32" t="str">
        <f t="shared" ref="M217" si="41">IF(D217="危险化学品","五双",IF(D217="标准物资","严控",IF(D217&lt;&gt;"","常规","")))</f>
        <v>常规</v>
      </c>
      <c r="N217" s="14"/>
      <c r="O217" s="137" t="s">
        <v>2254</v>
      </c>
      <c r="P217" s="134" t="s">
        <v>2236</v>
      </c>
      <c r="Q217" s="141"/>
      <c r="R217" s="15"/>
      <c r="S217" s="15"/>
      <c r="T217" s="15"/>
      <c r="U217" s="32" t="str">
        <f t="shared" ref="U217" si="42">IF(L217="","",L217)</f>
        <v>支</v>
      </c>
      <c r="V217" s="14"/>
      <c r="W217" s="35"/>
      <c r="X217" s="32">
        <f t="shared" ref="X217" si="43">IF((K217-T217)&lt;=0,"",K217-T217)</f>
        <v>5</v>
      </c>
      <c r="Y217" s="32" t="str">
        <f t="shared" ref="Y217" si="44">IF(L217="","",L217)</f>
        <v>支</v>
      </c>
      <c r="Z217" s="14"/>
      <c r="AA217" s="15"/>
      <c r="AB217" s="35"/>
    </row>
    <row r="218" spans="1:28" s="173" customFormat="1" ht="19.899999999999999" customHeight="1" x14ac:dyDescent="0.3">
      <c r="A218" s="163">
        <v>215</v>
      </c>
      <c r="B218" s="164" t="s">
        <v>743</v>
      </c>
      <c r="C218" s="165" t="s">
        <v>0</v>
      </c>
      <c r="D218" s="166" t="str">
        <f t="shared" si="35"/>
        <v>专用物耗</v>
      </c>
      <c r="E218" s="164"/>
      <c r="F218" s="167" t="s">
        <v>744</v>
      </c>
      <c r="G218" s="167"/>
      <c r="H218" s="167"/>
      <c r="I218" s="167" t="s">
        <v>1232</v>
      </c>
      <c r="J218" s="165" t="s">
        <v>821</v>
      </c>
      <c r="K218" s="167">
        <v>10</v>
      </c>
      <c r="L218" s="165" t="s">
        <v>826</v>
      </c>
      <c r="M218" s="166" t="str">
        <f t="shared" si="36"/>
        <v>常规</v>
      </c>
      <c r="N218" s="168"/>
      <c r="O218" s="169" t="s">
        <v>2254</v>
      </c>
      <c r="P218" s="170" t="s">
        <v>2238</v>
      </c>
      <c r="Q218" s="171"/>
      <c r="R218" s="167"/>
      <c r="S218" s="174" t="s">
        <v>1274</v>
      </c>
      <c r="T218" s="167">
        <v>10</v>
      </c>
      <c r="U218" s="166" t="str">
        <f t="shared" si="37"/>
        <v>盒</v>
      </c>
      <c r="V218" s="168"/>
      <c r="W218" s="172"/>
      <c r="X218" s="166" t="str">
        <f t="shared" si="38"/>
        <v/>
      </c>
      <c r="Y218" s="166" t="str">
        <f t="shared" si="39"/>
        <v>盒</v>
      </c>
      <c r="Z218" s="168"/>
      <c r="AA218" s="167"/>
      <c r="AB218" s="172"/>
    </row>
    <row r="219" spans="1:28" s="173" customFormat="1" ht="19.899999999999999" customHeight="1" x14ac:dyDescent="0.3">
      <c r="A219" s="163">
        <v>216</v>
      </c>
      <c r="B219" s="164" t="s">
        <v>745</v>
      </c>
      <c r="C219" s="165" t="s">
        <v>0</v>
      </c>
      <c r="D219" s="166" t="str">
        <f t="shared" si="35"/>
        <v>专用物耗</v>
      </c>
      <c r="E219" s="164"/>
      <c r="F219" s="167" t="s">
        <v>746</v>
      </c>
      <c r="G219" s="167"/>
      <c r="H219" s="167"/>
      <c r="I219" s="167" t="s">
        <v>1233</v>
      </c>
      <c r="J219" s="165" t="s">
        <v>821</v>
      </c>
      <c r="K219" s="167">
        <v>20</v>
      </c>
      <c r="L219" s="165" t="s">
        <v>842</v>
      </c>
      <c r="M219" s="166" t="str">
        <f t="shared" si="36"/>
        <v>常规</v>
      </c>
      <c r="N219" s="168"/>
      <c r="O219" s="169" t="s">
        <v>2254</v>
      </c>
      <c r="P219" s="170" t="s">
        <v>2239</v>
      </c>
      <c r="Q219" s="171" t="s">
        <v>2517</v>
      </c>
      <c r="R219" s="167"/>
      <c r="S219" s="167" t="s">
        <v>931</v>
      </c>
      <c r="T219" s="167">
        <v>20</v>
      </c>
      <c r="U219" s="166" t="str">
        <f t="shared" si="37"/>
        <v>米</v>
      </c>
      <c r="V219" s="168"/>
      <c r="W219" s="172"/>
      <c r="X219" s="166" t="str">
        <f t="shared" si="38"/>
        <v/>
      </c>
      <c r="Y219" s="166" t="str">
        <f t="shared" si="39"/>
        <v>米</v>
      </c>
      <c r="Z219" s="168"/>
      <c r="AA219" s="167"/>
      <c r="AB219" s="172"/>
    </row>
    <row r="220" spans="1:28" s="45" customFormat="1" ht="19.899999999999999" customHeight="1" x14ac:dyDescent="0.3">
      <c r="A220" s="34">
        <v>217</v>
      </c>
      <c r="B220" s="12" t="s">
        <v>747</v>
      </c>
      <c r="C220" s="29" t="s">
        <v>0</v>
      </c>
      <c r="D220" s="32" t="str">
        <f t="shared" si="35"/>
        <v>专用物耗</v>
      </c>
      <c r="E220" s="16"/>
      <c r="F220" s="15"/>
      <c r="G220" s="15"/>
      <c r="H220" s="15"/>
      <c r="I220" s="15" t="s">
        <v>1234</v>
      </c>
      <c r="J220" s="29" t="s">
        <v>821</v>
      </c>
      <c r="K220" s="26">
        <v>500</v>
      </c>
      <c r="L220" s="29" t="s">
        <v>823</v>
      </c>
      <c r="M220" s="32" t="str">
        <f t="shared" si="36"/>
        <v>常规</v>
      </c>
      <c r="N220" s="18"/>
      <c r="O220" s="137" t="s">
        <v>2254</v>
      </c>
      <c r="P220" s="134" t="s">
        <v>2236</v>
      </c>
      <c r="Q220" s="141"/>
      <c r="R220" s="15"/>
      <c r="S220" s="15"/>
      <c r="T220" s="15"/>
      <c r="U220" s="32" t="str">
        <f t="shared" si="37"/>
        <v>个</v>
      </c>
      <c r="V220" s="14"/>
      <c r="W220" s="35"/>
      <c r="X220" s="32">
        <f t="shared" si="38"/>
        <v>500</v>
      </c>
      <c r="Y220" s="32" t="str">
        <f t="shared" si="39"/>
        <v>个</v>
      </c>
      <c r="Z220" s="14"/>
      <c r="AA220" s="15"/>
      <c r="AB220" s="35"/>
    </row>
    <row r="221" spans="1:28" s="45" customFormat="1" ht="19.899999999999999" customHeight="1" x14ac:dyDescent="0.3">
      <c r="A221" s="34">
        <v>218</v>
      </c>
      <c r="B221" s="12" t="s">
        <v>2529</v>
      </c>
      <c r="C221" s="29" t="s">
        <v>0</v>
      </c>
      <c r="D221" s="32" t="str">
        <f t="shared" si="35"/>
        <v>专用物耗</v>
      </c>
      <c r="E221" s="12"/>
      <c r="F221" s="15" t="s">
        <v>748</v>
      </c>
      <c r="G221" s="15"/>
      <c r="H221" s="15"/>
      <c r="I221" s="15" t="s">
        <v>1235</v>
      </c>
      <c r="J221" s="29" t="s">
        <v>821</v>
      </c>
      <c r="K221" s="15">
        <v>45</v>
      </c>
      <c r="L221" s="29" t="s">
        <v>832</v>
      </c>
      <c r="M221" s="32" t="str">
        <f t="shared" si="36"/>
        <v>常规</v>
      </c>
      <c r="N221" s="14"/>
      <c r="O221" s="135" t="s">
        <v>2260</v>
      </c>
      <c r="P221" s="137" t="s">
        <v>736</v>
      </c>
      <c r="Q221" s="141"/>
      <c r="R221" s="15"/>
      <c r="S221" s="15" t="s">
        <v>2486</v>
      </c>
      <c r="T221" s="15">
        <v>26</v>
      </c>
      <c r="U221" s="32" t="str">
        <f t="shared" si="37"/>
        <v>瓶</v>
      </c>
      <c r="V221" s="14"/>
      <c r="W221" s="35"/>
      <c r="X221" s="32">
        <f t="shared" si="38"/>
        <v>19</v>
      </c>
      <c r="Y221" s="32" t="str">
        <f t="shared" si="39"/>
        <v>瓶</v>
      </c>
      <c r="Z221" s="14"/>
      <c r="AA221" s="15"/>
      <c r="AB221" s="35"/>
    </row>
    <row r="222" spans="1:28" s="173" customFormat="1" ht="19.899999999999999" customHeight="1" x14ac:dyDescent="0.3">
      <c r="A222" s="163">
        <v>219</v>
      </c>
      <c r="B222" s="164" t="s">
        <v>749</v>
      </c>
      <c r="C222" s="165" t="s">
        <v>0</v>
      </c>
      <c r="D222" s="166" t="str">
        <f t="shared" si="35"/>
        <v>专用物耗</v>
      </c>
      <c r="E222" s="164"/>
      <c r="F222" s="167" t="s">
        <v>750</v>
      </c>
      <c r="G222" s="167"/>
      <c r="H222" s="167"/>
      <c r="I222" s="167" t="s">
        <v>1236</v>
      </c>
      <c r="J222" s="165" t="s">
        <v>821</v>
      </c>
      <c r="K222" s="167">
        <v>5</v>
      </c>
      <c r="L222" s="165" t="s">
        <v>844</v>
      </c>
      <c r="M222" s="166" t="str">
        <f t="shared" si="36"/>
        <v>常规</v>
      </c>
      <c r="N222" s="168"/>
      <c r="O222" s="180" t="s">
        <v>2260</v>
      </c>
      <c r="P222" s="169" t="s">
        <v>736</v>
      </c>
      <c r="Q222" s="171"/>
      <c r="R222" s="167"/>
      <c r="S222" s="167" t="s">
        <v>2074</v>
      </c>
      <c r="T222" s="167">
        <v>5</v>
      </c>
      <c r="U222" s="166" t="str">
        <f t="shared" si="37"/>
        <v>桶</v>
      </c>
      <c r="V222" s="168"/>
      <c r="W222" s="172"/>
      <c r="X222" s="166" t="str">
        <f t="shared" si="38"/>
        <v/>
      </c>
      <c r="Y222" s="166" t="str">
        <f t="shared" si="39"/>
        <v>桶</v>
      </c>
      <c r="Z222" s="168"/>
      <c r="AA222" s="167"/>
      <c r="AB222" s="172"/>
    </row>
    <row r="223" spans="1:28" s="45" customFormat="1" ht="19.899999999999999" customHeight="1" x14ac:dyDescent="0.3">
      <c r="A223" s="34">
        <v>220</v>
      </c>
      <c r="B223" s="12" t="s">
        <v>751</v>
      </c>
      <c r="C223" s="29" t="s">
        <v>0</v>
      </c>
      <c r="D223" s="32" t="str">
        <f t="shared" si="35"/>
        <v>专用物耗</v>
      </c>
      <c r="E223" s="16"/>
      <c r="F223" s="15"/>
      <c r="G223" s="15"/>
      <c r="H223" s="15"/>
      <c r="I223" s="15" t="s">
        <v>1237</v>
      </c>
      <c r="J223" s="29" t="s">
        <v>821</v>
      </c>
      <c r="K223" s="26">
        <v>100</v>
      </c>
      <c r="L223" s="29" t="s">
        <v>830</v>
      </c>
      <c r="M223" s="32" t="str">
        <f t="shared" si="36"/>
        <v>常规</v>
      </c>
      <c r="N223" s="18"/>
      <c r="O223" s="137" t="s">
        <v>2254</v>
      </c>
      <c r="P223" s="134" t="s">
        <v>2238</v>
      </c>
      <c r="Q223" s="141"/>
      <c r="R223" s="15"/>
      <c r="S223" s="19" t="s">
        <v>1275</v>
      </c>
      <c r="T223" s="15">
        <v>44</v>
      </c>
      <c r="U223" s="32" t="str">
        <f t="shared" si="37"/>
        <v>卷</v>
      </c>
      <c r="V223" s="14"/>
      <c r="W223" s="35"/>
      <c r="X223" s="32">
        <f t="shared" si="38"/>
        <v>56</v>
      </c>
      <c r="Y223" s="32" t="str">
        <f t="shared" si="39"/>
        <v>卷</v>
      </c>
      <c r="Z223" s="14"/>
      <c r="AA223" s="15"/>
      <c r="AB223" s="35"/>
    </row>
    <row r="224" spans="1:28" s="45" customFormat="1" ht="19.899999999999999" customHeight="1" x14ac:dyDescent="0.3">
      <c r="A224" s="34">
        <v>221</v>
      </c>
      <c r="B224" s="12" t="s">
        <v>752</v>
      </c>
      <c r="C224" s="29" t="s">
        <v>0</v>
      </c>
      <c r="D224" s="32" t="str">
        <f t="shared" si="35"/>
        <v>专用物耗</v>
      </c>
      <c r="E224" s="16"/>
      <c r="F224" s="15" t="s">
        <v>753</v>
      </c>
      <c r="G224" s="15"/>
      <c r="H224" s="15"/>
      <c r="I224" s="15" t="s">
        <v>1238</v>
      </c>
      <c r="J224" s="29" t="s">
        <v>821</v>
      </c>
      <c r="K224" s="26">
        <v>4</v>
      </c>
      <c r="L224" s="29" t="s">
        <v>845</v>
      </c>
      <c r="M224" s="32" t="str">
        <f t="shared" si="36"/>
        <v>常规</v>
      </c>
      <c r="N224" s="18"/>
      <c r="O224" s="137" t="s">
        <v>2258</v>
      </c>
      <c r="P224" s="134" t="s">
        <v>2238</v>
      </c>
      <c r="Q224" s="141"/>
      <c r="R224" s="15"/>
      <c r="S224" s="15" t="s">
        <v>130</v>
      </c>
      <c r="T224" s="15">
        <v>2</v>
      </c>
      <c r="U224" s="32" t="str">
        <f t="shared" si="37"/>
        <v>双</v>
      </c>
      <c r="V224" s="14" t="s">
        <v>1646</v>
      </c>
      <c r="W224" s="35"/>
      <c r="X224" s="32">
        <f t="shared" si="38"/>
        <v>2</v>
      </c>
      <c r="Y224" s="32" t="str">
        <f t="shared" si="39"/>
        <v>双</v>
      </c>
      <c r="Z224" s="14" t="s">
        <v>1646</v>
      </c>
      <c r="AA224" s="15"/>
      <c r="AB224" s="35"/>
    </row>
    <row r="225" spans="1:28" s="45" customFormat="1" ht="19.899999999999999" customHeight="1" x14ac:dyDescent="0.3">
      <c r="A225" s="34">
        <v>222</v>
      </c>
      <c r="B225" s="12" t="s">
        <v>754</v>
      </c>
      <c r="C225" s="29" t="s">
        <v>0</v>
      </c>
      <c r="D225" s="32" t="str">
        <f t="shared" si="35"/>
        <v>专用物耗</v>
      </c>
      <c r="E225" s="16"/>
      <c r="F225" s="15" t="s">
        <v>755</v>
      </c>
      <c r="G225" s="15"/>
      <c r="H225" s="15"/>
      <c r="I225" s="15" t="s">
        <v>131</v>
      </c>
      <c r="J225" s="29" t="s">
        <v>821</v>
      </c>
      <c r="K225" s="26">
        <v>80</v>
      </c>
      <c r="L225" s="29" t="s">
        <v>822</v>
      </c>
      <c r="M225" s="32" t="str">
        <f t="shared" si="36"/>
        <v>常规</v>
      </c>
      <c r="N225" s="18"/>
      <c r="O225" s="137" t="s">
        <v>2247</v>
      </c>
      <c r="P225" s="134" t="s">
        <v>2235</v>
      </c>
      <c r="Q225" s="141"/>
      <c r="R225" s="15"/>
      <c r="S225" s="15" t="s">
        <v>756</v>
      </c>
      <c r="T225" s="15">
        <v>13</v>
      </c>
      <c r="U225" s="32" t="str">
        <f t="shared" si="37"/>
        <v>只</v>
      </c>
      <c r="V225" s="14"/>
      <c r="W225" s="35"/>
      <c r="X225" s="32">
        <f t="shared" si="38"/>
        <v>67</v>
      </c>
      <c r="Y225" s="32" t="str">
        <f t="shared" si="39"/>
        <v>只</v>
      </c>
      <c r="Z225" s="14"/>
      <c r="AA225" s="15"/>
      <c r="AB225" s="35"/>
    </row>
    <row r="226" spans="1:28" s="45" customFormat="1" ht="19.899999999999999" customHeight="1" x14ac:dyDescent="0.3">
      <c r="A226" s="34">
        <v>223</v>
      </c>
      <c r="B226" s="12" t="s">
        <v>757</v>
      </c>
      <c r="C226" s="29" t="s">
        <v>0</v>
      </c>
      <c r="D226" s="32" t="str">
        <f t="shared" si="35"/>
        <v>专用物耗</v>
      </c>
      <c r="E226" s="16"/>
      <c r="F226" s="15" t="s">
        <v>132</v>
      </c>
      <c r="G226" s="15"/>
      <c r="H226" s="15"/>
      <c r="I226" s="15" t="s">
        <v>133</v>
      </c>
      <c r="J226" s="29" t="s">
        <v>821</v>
      </c>
      <c r="K226" s="26">
        <v>18</v>
      </c>
      <c r="L226" s="29" t="s">
        <v>822</v>
      </c>
      <c r="M226" s="32" t="str">
        <f t="shared" si="36"/>
        <v>常规</v>
      </c>
      <c r="N226" s="18"/>
      <c r="O226" s="137" t="s">
        <v>2247</v>
      </c>
      <c r="P226" s="134" t="s">
        <v>2235</v>
      </c>
      <c r="Q226" s="141"/>
      <c r="R226" s="15"/>
      <c r="S226" s="15"/>
      <c r="T226" s="15"/>
      <c r="U226" s="32" t="str">
        <f t="shared" si="37"/>
        <v>只</v>
      </c>
      <c r="V226" s="14"/>
      <c r="W226" s="35"/>
      <c r="X226" s="32">
        <f t="shared" si="38"/>
        <v>18</v>
      </c>
      <c r="Y226" s="32" t="str">
        <f t="shared" si="39"/>
        <v>只</v>
      </c>
      <c r="Z226" s="14"/>
      <c r="AA226" s="15"/>
      <c r="AB226" s="35"/>
    </row>
    <row r="227" spans="1:28" s="45" customFormat="1" ht="19.899999999999999" customHeight="1" x14ac:dyDescent="0.3">
      <c r="A227" s="34">
        <v>224</v>
      </c>
      <c r="B227" s="12" t="s">
        <v>758</v>
      </c>
      <c r="C227" s="29" t="s">
        <v>0</v>
      </c>
      <c r="D227" s="32" t="str">
        <f t="shared" si="35"/>
        <v>专用物耗</v>
      </c>
      <c r="E227" s="12"/>
      <c r="F227" s="15" t="s">
        <v>2176</v>
      </c>
      <c r="G227" s="15"/>
      <c r="H227" s="15"/>
      <c r="I227" s="15" t="s">
        <v>3047</v>
      </c>
      <c r="J227" s="29" t="s">
        <v>821</v>
      </c>
      <c r="K227" s="15">
        <v>22.991</v>
      </c>
      <c r="L227" s="29" t="s">
        <v>841</v>
      </c>
      <c r="M227" s="32" t="str">
        <f t="shared" si="36"/>
        <v>常规</v>
      </c>
      <c r="N227" s="14"/>
      <c r="O227" s="135" t="s">
        <v>2260</v>
      </c>
      <c r="P227" s="137" t="s">
        <v>740</v>
      </c>
      <c r="Q227" s="141"/>
      <c r="R227" s="15"/>
      <c r="S227" s="19" t="s">
        <v>1276</v>
      </c>
      <c r="T227" s="15">
        <v>10.45</v>
      </c>
      <c r="U227" s="32" t="str">
        <f>IF(L227="","",L227)</f>
        <v>箱</v>
      </c>
      <c r="V227" s="14"/>
      <c r="W227" s="35"/>
      <c r="X227" s="32">
        <f t="shared" si="38"/>
        <v>12.541</v>
      </c>
      <c r="Y227" s="32" t="str">
        <f t="shared" si="39"/>
        <v>箱</v>
      </c>
      <c r="Z227" s="14"/>
      <c r="AA227" s="15"/>
      <c r="AB227" s="35" t="s">
        <v>3048</v>
      </c>
    </row>
    <row r="228" spans="1:28" s="173" customFormat="1" ht="19.899999999999999" customHeight="1" x14ac:dyDescent="0.3">
      <c r="A228" s="163">
        <v>225</v>
      </c>
      <c r="B228" s="325" t="s">
        <v>2912</v>
      </c>
      <c r="C228" s="165" t="s">
        <v>0</v>
      </c>
      <c r="D228" s="166" t="str">
        <f t="shared" si="35"/>
        <v>专用物耗</v>
      </c>
      <c r="E228" s="164"/>
      <c r="F228" s="174" t="s">
        <v>111</v>
      </c>
      <c r="G228" s="167"/>
      <c r="H228" s="167"/>
      <c r="I228" s="167"/>
      <c r="J228" s="165" t="s">
        <v>821</v>
      </c>
      <c r="K228" s="167">
        <v>3</v>
      </c>
      <c r="L228" s="165" t="s">
        <v>822</v>
      </c>
      <c r="M228" s="166" t="str">
        <f t="shared" si="36"/>
        <v>常规</v>
      </c>
      <c r="N228" s="168"/>
      <c r="O228" s="318">
        <v>107</v>
      </c>
      <c r="P228" s="170"/>
      <c r="Q228" s="171"/>
      <c r="R228" s="167"/>
      <c r="S228" s="167" t="s">
        <v>3106</v>
      </c>
      <c r="T228" s="167">
        <v>3</v>
      </c>
      <c r="U228" s="166" t="str">
        <f t="shared" si="37"/>
        <v>只</v>
      </c>
      <c r="V228" s="168"/>
      <c r="W228" s="172"/>
      <c r="X228" s="166" t="str">
        <f t="shared" si="38"/>
        <v/>
      </c>
      <c r="Y228" s="166" t="str">
        <f t="shared" si="39"/>
        <v>只</v>
      </c>
      <c r="Z228" s="168"/>
      <c r="AA228" s="167"/>
      <c r="AB228" s="172"/>
    </row>
    <row r="229" spans="1:28" s="173" customFormat="1" ht="19.899999999999999" customHeight="1" x14ac:dyDescent="0.3">
      <c r="A229" s="163">
        <v>226</v>
      </c>
      <c r="B229" s="174" t="s">
        <v>1279</v>
      </c>
      <c r="C229" s="165" t="s">
        <v>0</v>
      </c>
      <c r="D229" s="166" t="str">
        <f t="shared" si="35"/>
        <v>专用物耗</v>
      </c>
      <c r="E229" s="164"/>
      <c r="F229" s="174" t="s">
        <v>106</v>
      </c>
      <c r="G229" s="167"/>
      <c r="H229" s="167"/>
      <c r="I229" s="167"/>
      <c r="J229" s="165" t="s">
        <v>821</v>
      </c>
      <c r="K229" s="167">
        <v>83</v>
      </c>
      <c r="L229" s="165" t="s">
        <v>823</v>
      </c>
      <c r="M229" s="166" t="str">
        <f t="shared" si="36"/>
        <v>常规</v>
      </c>
      <c r="N229" s="168"/>
      <c r="O229" s="318" t="s">
        <v>2265</v>
      </c>
      <c r="P229" s="170"/>
      <c r="Q229" s="318"/>
      <c r="R229" s="167"/>
      <c r="S229" s="167" t="s">
        <v>3071</v>
      </c>
      <c r="T229" s="167">
        <v>83</v>
      </c>
      <c r="U229" s="166" t="str">
        <f t="shared" si="37"/>
        <v>个</v>
      </c>
      <c r="V229" s="174" t="s">
        <v>1280</v>
      </c>
      <c r="W229" s="172"/>
      <c r="X229" s="166" t="str">
        <f t="shared" si="38"/>
        <v/>
      </c>
      <c r="Y229" s="166" t="str">
        <f t="shared" si="39"/>
        <v>个</v>
      </c>
      <c r="Z229" s="174" t="s">
        <v>1280</v>
      </c>
      <c r="AA229" s="167"/>
      <c r="AB229" s="172"/>
    </row>
    <row r="230" spans="1:28" s="175" customFormat="1" ht="19.899999999999999" customHeight="1" x14ac:dyDescent="0.15">
      <c r="A230" s="163">
        <v>227</v>
      </c>
      <c r="B230" s="174" t="s">
        <v>1281</v>
      </c>
      <c r="C230" s="165" t="s">
        <v>0</v>
      </c>
      <c r="D230" s="166" t="str">
        <f t="shared" si="35"/>
        <v>专用物耗</v>
      </c>
      <c r="E230" s="164"/>
      <c r="F230" s="174"/>
      <c r="G230" s="167"/>
      <c r="H230" s="167"/>
      <c r="I230" s="167"/>
      <c r="J230" s="165" t="s">
        <v>821</v>
      </c>
      <c r="K230" s="167">
        <v>3</v>
      </c>
      <c r="L230" s="165" t="s">
        <v>823</v>
      </c>
      <c r="M230" s="166" t="str">
        <f t="shared" si="36"/>
        <v>常规</v>
      </c>
      <c r="N230" s="168"/>
      <c r="O230" s="318" t="s">
        <v>2265</v>
      </c>
      <c r="P230" s="170"/>
      <c r="Q230" s="318"/>
      <c r="R230" s="167"/>
      <c r="S230" s="167" t="s">
        <v>3072</v>
      </c>
      <c r="T230" s="167">
        <v>3</v>
      </c>
      <c r="U230" s="166" t="str">
        <f t="shared" si="37"/>
        <v>个</v>
      </c>
      <c r="V230" s="174" t="s">
        <v>1280</v>
      </c>
      <c r="W230" s="172"/>
      <c r="X230" s="166" t="str">
        <f t="shared" si="38"/>
        <v/>
      </c>
      <c r="Y230" s="166" t="str">
        <f t="shared" si="39"/>
        <v>个</v>
      </c>
      <c r="Z230" s="174" t="s">
        <v>1280</v>
      </c>
      <c r="AA230" s="167"/>
      <c r="AB230" s="172"/>
    </row>
    <row r="231" spans="1:28" s="175" customFormat="1" ht="19.899999999999999" customHeight="1" x14ac:dyDescent="0.15">
      <c r="A231" s="163">
        <v>228</v>
      </c>
      <c r="B231" s="174" t="s">
        <v>1282</v>
      </c>
      <c r="C231" s="165" t="s">
        <v>0</v>
      </c>
      <c r="D231" s="166" t="str">
        <f t="shared" si="35"/>
        <v>专用物耗</v>
      </c>
      <c r="E231" s="164"/>
      <c r="F231" s="174"/>
      <c r="G231" s="167"/>
      <c r="H231" s="167"/>
      <c r="I231" s="167"/>
      <c r="J231" s="165" t="s">
        <v>821</v>
      </c>
      <c r="K231" s="167">
        <v>1</v>
      </c>
      <c r="L231" s="165" t="s">
        <v>822</v>
      </c>
      <c r="M231" s="166" t="str">
        <f t="shared" si="36"/>
        <v>常规</v>
      </c>
      <c r="N231" s="168"/>
      <c r="O231" s="318" t="s">
        <v>2265</v>
      </c>
      <c r="P231" s="170"/>
      <c r="Q231" s="318"/>
      <c r="R231" s="167"/>
      <c r="S231" s="167" t="s">
        <v>3073</v>
      </c>
      <c r="T231" s="167">
        <v>1</v>
      </c>
      <c r="U231" s="166" t="str">
        <f t="shared" si="37"/>
        <v>只</v>
      </c>
      <c r="V231" s="174" t="s">
        <v>2530</v>
      </c>
      <c r="W231" s="172"/>
      <c r="X231" s="166" t="str">
        <f t="shared" si="38"/>
        <v/>
      </c>
      <c r="Y231" s="166" t="str">
        <f t="shared" si="39"/>
        <v>只</v>
      </c>
      <c r="Z231" s="174" t="s">
        <v>2530</v>
      </c>
      <c r="AA231" s="167"/>
      <c r="AB231" s="172"/>
    </row>
    <row r="232" spans="1:28" s="175" customFormat="1" ht="19.899999999999999" customHeight="1" x14ac:dyDescent="0.15">
      <c r="A232" s="163">
        <v>229</v>
      </c>
      <c r="B232" s="174" t="s">
        <v>1283</v>
      </c>
      <c r="C232" s="165" t="s">
        <v>0</v>
      </c>
      <c r="D232" s="166" t="str">
        <f t="shared" si="35"/>
        <v>专用物耗</v>
      </c>
      <c r="E232" s="164"/>
      <c r="F232" s="174"/>
      <c r="G232" s="167"/>
      <c r="H232" s="167"/>
      <c r="I232" s="167"/>
      <c r="J232" s="165" t="s">
        <v>821</v>
      </c>
      <c r="K232" s="167">
        <v>1</v>
      </c>
      <c r="L232" s="165" t="s">
        <v>822</v>
      </c>
      <c r="M232" s="166" t="str">
        <f t="shared" si="36"/>
        <v>常规</v>
      </c>
      <c r="N232" s="168"/>
      <c r="O232" s="318" t="s">
        <v>2265</v>
      </c>
      <c r="P232" s="170"/>
      <c r="Q232" s="318"/>
      <c r="R232" s="167"/>
      <c r="S232" s="167" t="s">
        <v>3074</v>
      </c>
      <c r="T232" s="167">
        <v>1</v>
      </c>
      <c r="U232" s="166" t="str">
        <f t="shared" si="37"/>
        <v>只</v>
      </c>
      <c r="V232" s="174" t="s">
        <v>2530</v>
      </c>
      <c r="W232" s="172"/>
      <c r="X232" s="166" t="str">
        <f t="shared" si="38"/>
        <v/>
      </c>
      <c r="Y232" s="166" t="str">
        <f t="shared" si="39"/>
        <v>只</v>
      </c>
      <c r="Z232" s="174" t="s">
        <v>2530</v>
      </c>
      <c r="AA232" s="167"/>
      <c r="AB232" s="172"/>
    </row>
    <row r="233" spans="1:28" s="46" customFormat="1" ht="19.899999999999999" customHeight="1" x14ac:dyDescent="0.15">
      <c r="A233" s="34">
        <v>230</v>
      </c>
      <c r="B233" s="19" t="s">
        <v>851</v>
      </c>
      <c r="C233" s="29" t="s">
        <v>0</v>
      </c>
      <c r="D233" s="32" t="str">
        <f t="shared" si="35"/>
        <v>专用物耗</v>
      </c>
      <c r="E233" s="15"/>
      <c r="F233" s="15"/>
      <c r="G233" s="15"/>
      <c r="H233" s="15"/>
      <c r="I233" s="19" t="s">
        <v>151</v>
      </c>
      <c r="J233" s="29" t="s">
        <v>821</v>
      </c>
      <c r="K233" s="15">
        <v>31</v>
      </c>
      <c r="L233" s="29" t="s">
        <v>840</v>
      </c>
      <c r="M233" s="32" t="str">
        <f t="shared" si="36"/>
        <v>常规</v>
      </c>
      <c r="N233" s="15"/>
      <c r="O233" s="137" t="s">
        <v>2258</v>
      </c>
      <c r="P233" s="134" t="s">
        <v>2239</v>
      </c>
      <c r="Q233" s="137" t="s">
        <v>3098</v>
      </c>
      <c r="R233" s="15"/>
      <c r="S233" s="15"/>
      <c r="T233" s="15"/>
      <c r="U233" s="32" t="str">
        <f t="shared" si="37"/>
        <v>件</v>
      </c>
      <c r="V233" s="14" t="s">
        <v>713</v>
      </c>
      <c r="W233" s="15"/>
      <c r="X233" s="32">
        <f t="shared" si="38"/>
        <v>31</v>
      </c>
      <c r="Y233" s="32" t="str">
        <f t="shared" si="39"/>
        <v>件</v>
      </c>
      <c r="Z233" s="15"/>
      <c r="AA233" s="15"/>
      <c r="AB233" s="15"/>
    </row>
    <row r="234" spans="1:28" s="175" customFormat="1" ht="19.899999999999999" customHeight="1" x14ac:dyDescent="0.15">
      <c r="A234" s="163">
        <v>231</v>
      </c>
      <c r="B234" s="174" t="s">
        <v>852</v>
      </c>
      <c r="C234" s="165" t="s">
        <v>0</v>
      </c>
      <c r="D234" s="166" t="str">
        <f t="shared" si="35"/>
        <v>专用物耗</v>
      </c>
      <c r="E234" s="167"/>
      <c r="F234" s="167" t="s">
        <v>759</v>
      </c>
      <c r="G234" s="167"/>
      <c r="H234" s="167"/>
      <c r="I234" s="174" t="s">
        <v>1195</v>
      </c>
      <c r="J234" s="165" t="s">
        <v>821</v>
      </c>
      <c r="K234" s="167">
        <v>500</v>
      </c>
      <c r="L234" s="165" t="s">
        <v>824</v>
      </c>
      <c r="M234" s="166" t="str">
        <f t="shared" si="36"/>
        <v>常规</v>
      </c>
      <c r="N234" s="167"/>
      <c r="O234" s="169" t="s">
        <v>2254</v>
      </c>
      <c r="P234" s="170" t="s">
        <v>2236</v>
      </c>
      <c r="Q234" s="169"/>
      <c r="R234" s="167"/>
      <c r="S234" s="167" t="s">
        <v>1284</v>
      </c>
      <c r="T234" s="167">
        <v>500</v>
      </c>
      <c r="U234" s="166" t="str">
        <f t="shared" si="37"/>
        <v>支</v>
      </c>
      <c r="V234" s="167"/>
      <c r="W234" s="167"/>
      <c r="X234" s="166" t="str">
        <f t="shared" si="38"/>
        <v/>
      </c>
      <c r="Y234" s="166" t="str">
        <f t="shared" si="39"/>
        <v>支</v>
      </c>
      <c r="Z234" s="167"/>
      <c r="AA234" s="167"/>
      <c r="AB234" s="167"/>
    </row>
    <row r="235" spans="1:28" s="175" customFormat="1" ht="19.899999999999999" customHeight="1" x14ac:dyDescent="0.15">
      <c r="A235" s="163">
        <v>232</v>
      </c>
      <c r="B235" s="174" t="s">
        <v>853</v>
      </c>
      <c r="C235" s="165" t="s">
        <v>0</v>
      </c>
      <c r="D235" s="166" t="str">
        <f t="shared" si="35"/>
        <v>专用物耗</v>
      </c>
      <c r="E235" s="174" t="s">
        <v>854</v>
      </c>
      <c r="F235" s="174" t="s">
        <v>861</v>
      </c>
      <c r="G235" s="167"/>
      <c r="H235" s="167"/>
      <c r="I235" s="174" t="s">
        <v>1196</v>
      </c>
      <c r="J235" s="165" t="s">
        <v>821</v>
      </c>
      <c r="K235" s="167">
        <v>25</v>
      </c>
      <c r="L235" s="165" t="s">
        <v>826</v>
      </c>
      <c r="M235" s="166" t="str">
        <f t="shared" si="36"/>
        <v>常规</v>
      </c>
      <c r="N235" s="167"/>
      <c r="O235" s="169" t="s">
        <v>2254</v>
      </c>
      <c r="P235" s="170" t="s">
        <v>2238</v>
      </c>
      <c r="Q235" s="169"/>
      <c r="R235" s="167"/>
      <c r="S235" s="167" t="s">
        <v>1285</v>
      </c>
      <c r="T235" s="167">
        <v>25</v>
      </c>
      <c r="U235" s="166" t="str">
        <f t="shared" si="37"/>
        <v>盒</v>
      </c>
      <c r="V235" s="167"/>
      <c r="W235" s="167"/>
      <c r="X235" s="166" t="str">
        <f t="shared" si="38"/>
        <v/>
      </c>
      <c r="Y235" s="166" t="str">
        <f t="shared" si="39"/>
        <v>盒</v>
      </c>
      <c r="Z235" s="167"/>
      <c r="AA235" s="167"/>
      <c r="AB235" s="167"/>
    </row>
    <row r="236" spans="1:28" s="175" customFormat="1" ht="19.899999999999999" customHeight="1" x14ac:dyDescent="0.15">
      <c r="A236" s="163">
        <v>233</v>
      </c>
      <c r="B236" s="174" t="s">
        <v>855</v>
      </c>
      <c r="C236" s="165" t="s">
        <v>0</v>
      </c>
      <c r="D236" s="166" t="str">
        <f t="shared" si="35"/>
        <v>专用物耗</v>
      </c>
      <c r="E236" s="167"/>
      <c r="F236" s="167"/>
      <c r="G236" s="167"/>
      <c r="H236" s="167"/>
      <c r="I236" s="174" t="s">
        <v>1197</v>
      </c>
      <c r="J236" s="165" t="s">
        <v>821</v>
      </c>
      <c r="K236" s="167">
        <v>1</v>
      </c>
      <c r="L236" s="165" t="s">
        <v>840</v>
      </c>
      <c r="M236" s="166" t="str">
        <f t="shared" si="36"/>
        <v>常规</v>
      </c>
      <c r="N236" s="167"/>
      <c r="O236" s="169"/>
      <c r="P236" s="170"/>
      <c r="Q236" s="169"/>
      <c r="R236" s="167"/>
      <c r="S236" s="174" t="s">
        <v>152</v>
      </c>
      <c r="T236" s="167">
        <v>1</v>
      </c>
      <c r="U236" s="166" t="str">
        <f t="shared" si="37"/>
        <v>件</v>
      </c>
      <c r="V236" s="167"/>
      <c r="W236" s="167"/>
      <c r="X236" s="166" t="str">
        <f t="shared" si="38"/>
        <v/>
      </c>
      <c r="Y236" s="166" t="str">
        <f t="shared" si="39"/>
        <v>件</v>
      </c>
      <c r="Z236" s="167"/>
      <c r="AA236" s="167"/>
      <c r="AB236" s="167"/>
    </row>
    <row r="237" spans="1:28" s="175" customFormat="1" ht="19.899999999999999" customHeight="1" x14ac:dyDescent="0.15">
      <c r="A237" s="163">
        <v>234</v>
      </c>
      <c r="B237" s="174" t="s">
        <v>856</v>
      </c>
      <c r="C237" s="165" t="s">
        <v>0</v>
      </c>
      <c r="D237" s="166" t="str">
        <f t="shared" si="35"/>
        <v>专用物耗</v>
      </c>
      <c r="E237" s="167"/>
      <c r="F237" s="167"/>
      <c r="G237" s="167"/>
      <c r="H237" s="167"/>
      <c r="I237" s="174" t="s">
        <v>1198</v>
      </c>
      <c r="J237" s="165" t="s">
        <v>821</v>
      </c>
      <c r="K237" s="167">
        <v>1</v>
      </c>
      <c r="L237" s="165" t="s">
        <v>857</v>
      </c>
      <c r="M237" s="166" t="str">
        <f t="shared" si="36"/>
        <v>常规</v>
      </c>
      <c r="N237" s="167"/>
      <c r="O237" s="169"/>
      <c r="P237" s="170"/>
      <c r="Q237" s="169"/>
      <c r="R237" s="167"/>
      <c r="S237" s="174" t="s">
        <v>153</v>
      </c>
      <c r="T237" s="167">
        <v>1</v>
      </c>
      <c r="U237" s="166" t="str">
        <f t="shared" si="37"/>
        <v>条</v>
      </c>
      <c r="V237" s="167"/>
      <c r="W237" s="167"/>
      <c r="X237" s="166" t="str">
        <f t="shared" si="38"/>
        <v/>
      </c>
      <c r="Y237" s="166" t="str">
        <f t="shared" si="39"/>
        <v>条</v>
      </c>
      <c r="Z237" s="167"/>
      <c r="AA237" s="167"/>
      <c r="AB237" s="167"/>
    </row>
    <row r="238" spans="1:28" s="175" customFormat="1" ht="19.899999999999999" customHeight="1" x14ac:dyDescent="0.15">
      <c r="A238" s="163">
        <v>235</v>
      </c>
      <c r="B238" s="167" t="s">
        <v>1534</v>
      </c>
      <c r="C238" s="165" t="s">
        <v>0</v>
      </c>
      <c r="D238" s="166" t="str">
        <f t="shared" si="35"/>
        <v>专用物耗</v>
      </c>
      <c r="E238" s="167"/>
      <c r="F238" s="167" t="s">
        <v>231</v>
      </c>
      <c r="G238" s="167"/>
      <c r="H238" s="167"/>
      <c r="I238" s="167" t="s">
        <v>1199</v>
      </c>
      <c r="J238" s="165" t="s">
        <v>821</v>
      </c>
      <c r="K238" s="167">
        <v>1</v>
      </c>
      <c r="L238" s="165" t="s">
        <v>1294</v>
      </c>
      <c r="M238" s="166" t="str">
        <f t="shared" si="36"/>
        <v>常规</v>
      </c>
      <c r="N238" s="167"/>
      <c r="O238" s="169"/>
      <c r="P238" s="170"/>
      <c r="Q238" s="169"/>
      <c r="R238" s="167"/>
      <c r="S238" s="167" t="s">
        <v>235</v>
      </c>
      <c r="T238" s="167">
        <v>1</v>
      </c>
      <c r="U238" s="166" t="str">
        <f t="shared" si="37"/>
        <v>条</v>
      </c>
      <c r="V238" s="167"/>
      <c r="W238" s="167"/>
      <c r="X238" s="166" t="str">
        <f t="shared" si="38"/>
        <v/>
      </c>
      <c r="Y238" s="166" t="str">
        <f t="shared" si="39"/>
        <v>条</v>
      </c>
      <c r="Z238" s="167"/>
      <c r="AA238" s="167"/>
      <c r="AB238" s="167"/>
    </row>
    <row r="239" spans="1:28" s="175" customFormat="1" ht="19.899999999999999" customHeight="1" x14ac:dyDescent="0.15">
      <c r="A239" s="163">
        <v>236</v>
      </c>
      <c r="B239" s="167" t="s">
        <v>1295</v>
      </c>
      <c r="C239" s="165" t="s">
        <v>0</v>
      </c>
      <c r="D239" s="166" t="str">
        <f t="shared" si="35"/>
        <v>专用物耗</v>
      </c>
      <c r="E239" s="167"/>
      <c r="F239" s="167" t="s">
        <v>232</v>
      </c>
      <c r="G239" s="167"/>
      <c r="H239" s="167"/>
      <c r="I239" s="167" t="s">
        <v>1200</v>
      </c>
      <c r="J239" s="165" t="s">
        <v>821</v>
      </c>
      <c r="K239" s="167">
        <v>1</v>
      </c>
      <c r="L239" s="165" t="s">
        <v>1296</v>
      </c>
      <c r="M239" s="166" t="str">
        <f t="shared" si="36"/>
        <v>常规</v>
      </c>
      <c r="N239" s="167"/>
      <c r="O239" s="169"/>
      <c r="P239" s="170"/>
      <c r="Q239" s="169"/>
      <c r="R239" s="167"/>
      <c r="S239" s="167" t="s">
        <v>236</v>
      </c>
      <c r="T239" s="167">
        <v>1</v>
      </c>
      <c r="U239" s="166" t="str">
        <f t="shared" si="37"/>
        <v>件</v>
      </c>
      <c r="V239" s="167"/>
      <c r="W239" s="167"/>
      <c r="X239" s="166" t="str">
        <f t="shared" si="38"/>
        <v/>
      </c>
      <c r="Y239" s="166" t="str">
        <f t="shared" si="39"/>
        <v>件</v>
      </c>
      <c r="Z239" s="167"/>
      <c r="AA239" s="167"/>
      <c r="AB239" s="167"/>
    </row>
    <row r="240" spans="1:28" s="175" customFormat="1" ht="19.899999999999999" customHeight="1" x14ac:dyDescent="0.15">
      <c r="A240" s="163">
        <v>237</v>
      </c>
      <c r="B240" s="167" t="s">
        <v>1297</v>
      </c>
      <c r="C240" s="165" t="s">
        <v>0</v>
      </c>
      <c r="D240" s="166" t="str">
        <f t="shared" si="35"/>
        <v>专用物耗</v>
      </c>
      <c r="E240" s="167"/>
      <c r="F240" s="167"/>
      <c r="G240" s="167"/>
      <c r="H240" s="167"/>
      <c r="I240" s="167" t="s">
        <v>1201</v>
      </c>
      <c r="J240" s="165" t="s">
        <v>821</v>
      </c>
      <c r="K240" s="167">
        <v>1</v>
      </c>
      <c r="L240" s="165" t="s">
        <v>1288</v>
      </c>
      <c r="M240" s="166" t="str">
        <f t="shared" si="36"/>
        <v>常规</v>
      </c>
      <c r="N240" s="167"/>
      <c r="O240" s="169"/>
      <c r="P240" s="170"/>
      <c r="Q240" s="169"/>
      <c r="R240" s="167"/>
      <c r="S240" s="167" t="s">
        <v>237</v>
      </c>
      <c r="T240" s="167">
        <v>1</v>
      </c>
      <c r="U240" s="166" t="str">
        <f t="shared" si="37"/>
        <v>只</v>
      </c>
      <c r="V240" s="167"/>
      <c r="W240" s="167"/>
      <c r="X240" s="166" t="str">
        <f t="shared" si="38"/>
        <v/>
      </c>
      <c r="Y240" s="166" t="str">
        <f t="shared" si="39"/>
        <v>只</v>
      </c>
      <c r="Z240" s="167"/>
      <c r="AA240" s="167"/>
      <c r="AB240" s="167"/>
    </row>
    <row r="241" spans="1:28" s="46" customFormat="1" ht="19.899999999999999" customHeight="1" x14ac:dyDescent="0.15">
      <c r="A241" s="34">
        <v>238</v>
      </c>
      <c r="B241" s="15" t="s">
        <v>1298</v>
      </c>
      <c r="C241" s="29" t="s">
        <v>0</v>
      </c>
      <c r="D241" s="32" t="str">
        <f t="shared" si="35"/>
        <v>专用物耗</v>
      </c>
      <c r="E241" s="15"/>
      <c r="F241" s="15" t="s">
        <v>1299</v>
      </c>
      <c r="G241" s="15"/>
      <c r="H241" s="15"/>
      <c r="I241" s="15" t="s">
        <v>1202</v>
      </c>
      <c r="J241" s="29" t="s">
        <v>821</v>
      </c>
      <c r="K241" s="15">
        <v>20</v>
      </c>
      <c r="L241" s="29" t="s">
        <v>1300</v>
      </c>
      <c r="M241" s="32" t="str">
        <f t="shared" si="36"/>
        <v>常规</v>
      </c>
      <c r="N241" s="15"/>
      <c r="O241" s="137" t="s">
        <v>2254</v>
      </c>
      <c r="P241" s="134" t="s">
        <v>2239</v>
      </c>
      <c r="Q241" s="141" t="s">
        <v>2517</v>
      </c>
      <c r="R241" s="15"/>
      <c r="S241" s="15" t="s">
        <v>1241</v>
      </c>
      <c r="T241" s="15">
        <v>8</v>
      </c>
      <c r="U241" s="32" t="str">
        <f t="shared" si="37"/>
        <v>米</v>
      </c>
      <c r="V241" s="15"/>
      <c r="W241" s="15"/>
      <c r="X241" s="32">
        <f t="shared" si="38"/>
        <v>12</v>
      </c>
      <c r="Y241" s="32" t="str">
        <f t="shared" si="39"/>
        <v>米</v>
      </c>
      <c r="Z241" s="15"/>
      <c r="AA241" s="15"/>
      <c r="AB241" s="15"/>
    </row>
    <row r="242" spans="1:28" s="175" customFormat="1" ht="19.899999999999999" customHeight="1" x14ac:dyDescent="0.15">
      <c r="A242" s="163">
        <v>239</v>
      </c>
      <c r="B242" s="167" t="s">
        <v>1301</v>
      </c>
      <c r="C242" s="165" t="s">
        <v>0</v>
      </c>
      <c r="D242" s="166" t="str">
        <f t="shared" si="35"/>
        <v>专用物耗</v>
      </c>
      <c r="E242" s="167"/>
      <c r="F242" s="167" t="s">
        <v>1302</v>
      </c>
      <c r="G242" s="167"/>
      <c r="H242" s="167"/>
      <c r="I242" s="167" t="s">
        <v>1203</v>
      </c>
      <c r="J242" s="165" t="s">
        <v>821</v>
      </c>
      <c r="K242" s="167">
        <v>6</v>
      </c>
      <c r="L242" s="165" t="s">
        <v>1303</v>
      </c>
      <c r="M242" s="166" t="str">
        <f t="shared" si="36"/>
        <v>常规</v>
      </c>
      <c r="N242" s="167"/>
      <c r="O242" s="169" t="s">
        <v>2262</v>
      </c>
      <c r="P242" s="170" t="s">
        <v>2239</v>
      </c>
      <c r="Q242" s="169"/>
      <c r="R242" s="167"/>
      <c r="S242" s="167" t="s">
        <v>1242</v>
      </c>
      <c r="T242" s="167">
        <v>6</v>
      </c>
      <c r="U242" s="166" t="str">
        <f t="shared" si="37"/>
        <v>盒</v>
      </c>
      <c r="V242" s="167"/>
      <c r="W242" s="167"/>
      <c r="X242" s="166" t="str">
        <f t="shared" si="38"/>
        <v/>
      </c>
      <c r="Y242" s="166" t="str">
        <f t="shared" si="39"/>
        <v>盒</v>
      </c>
      <c r="Z242" s="167"/>
      <c r="AA242" s="167"/>
      <c r="AB242" s="167"/>
    </row>
    <row r="243" spans="1:28" s="46" customFormat="1" ht="19.899999999999999" customHeight="1" x14ac:dyDescent="0.15">
      <c r="A243" s="34">
        <v>240</v>
      </c>
      <c r="B243" s="15" t="s">
        <v>1304</v>
      </c>
      <c r="C243" s="29" t="s">
        <v>0</v>
      </c>
      <c r="D243" s="32" t="str">
        <f t="shared" si="35"/>
        <v>专用物耗</v>
      </c>
      <c r="E243" s="15"/>
      <c r="F243" s="15" t="s">
        <v>233</v>
      </c>
      <c r="G243" s="15"/>
      <c r="H243" s="15"/>
      <c r="I243" s="15" t="s">
        <v>1204</v>
      </c>
      <c r="J243" s="29" t="s">
        <v>821</v>
      </c>
      <c r="K243" s="15">
        <v>5</v>
      </c>
      <c r="L243" s="29" t="s">
        <v>1305</v>
      </c>
      <c r="M243" s="32" t="str">
        <f t="shared" si="36"/>
        <v>常规</v>
      </c>
      <c r="N243" s="15"/>
      <c r="O243" s="137" t="s">
        <v>2262</v>
      </c>
      <c r="P243" s="134" t="s">
        <v>2236</v>
      </c>
      <c r="Q243" s="137"/>
      <c r="R243" s="15"/>
      <c r="S243" s="15" t="s">
        <v>2496</v>
      </c>
      <c r="T243" s="15">
        <v>4</v>
      </c>
      <c r="U243" s="32" t="str">
        <f t="shared" si="37"/>
        <v>根</v>
      </c>
      <c r="V243" s="15"/>
      <c r="W243" s="15"/>
      <c r="X243" s="32">
        <f t="shared" si="38"/>
        <v>1</v>
      </c>
      <c r="Y243" s="32" t="str">
        <f t="shared" si="39"/>
        <v>根</v>
      </c>
      <c r="Z243" s="15"/>
      <c r="AA243" s="15"/>
      <c r="AB243" s="15"/>
    </row>
    <row r="244" spans="1:28" s="46" customFormat="1" ht="19.899999999999999" customHeight="1" x14ac:dyDescent="0.15">
      <c r="A244" s="34">
        <v>241</v>
      </c>
      <c r="B244" s="15" t="s">
        <v>1306</v>
      </c>
      <c r="C244" s="29" t="s">
        <v>0</v>
      </c>
      <c r="D244" s="32" t="str">
        <f t="shared" si="35"/>
        <v>专用物耗</v>
      </c>
      <c r="E244" s="15"/>
      <c r="F244" s="15" t="s">
        <v>234</v>
      </c>
      <c r="G244" s="15"/>
      <c r="H244" s="15"/>
      <c r="I244" s="15" t="s">
        <v>228</v>
      </c>
      <c r="J244" s="29" t="s">
        <v>821</v>
      </c>
      <c r="K244" s="15">
        <v>280</v>
      </c>
      <c r="L244" s="29" t="s">
        <v>1288</v>
      </c>
      <c r="M244" s="32" t="str">
        <f t="shared" si="36"/>
        <v>常规</v>
      </c>
      <c r="N244" s="15"/>
      <c r="O244" s="137" t="s">
        <v>2263</v>
      </c>
      <c r="P244" s="134" t="s">
        <v>2237</v>
      </c>
      <c r="Q244" s="137"/>
      <c r="R244" s="15"/>
      <c r="S244" s="15"/>
      <c r="T244" s="15"/>
      <c r="U244" s="32" t="str">
        <f t="shared" si="37"/>
        <v>只</v>
      </c>
      <c r="V244" s="15"/>
      <c r="W244" s="15"/>
      <c r="X244" s="32">
        <f t="shared" si="38"/>
        <v>280</v>
      </c>
      <c r="Y244" s="32" t="str">
        <f t="shared" si="39"/>
        <v>只</v>
      </c>
      <c r="Z244" s="15"/>
      <c r="AA244" s="15"/>
      <c r="AB244" s="15"/>
    </row>
    <row r="245" spans="1:28" s="46" customFormat="1" ht="19.899999999999999" customHeight="1" x14ac:dyDescent="0.15">
      <c r="A245" s="34">
        <v>242</v>
      </c>
      <c r="B245" s="15" t="s">
        <v>1307</v>
      </c>
      <c r="C245" s="29" t="s">
        <v>0</v>
      </c>
      <c r="D245" s="32" t="str">
        <f t="shared" si="35"/>
        <v>专用物耗</v>
      </c>
      <c r="E245" s="15"/>
      <c r="F245" s="15" t="s">
        <v>1308</v>
      </c>
      <c r="G245" s="15"/>
      <c r="H245" s="15"/>
      <c r="I245" s="15" t="s">
        <v>229</v>
      </c>
      <c r="J245" s="29" t="s">
        <v>821</v>
      </c>
      <c r="K245" s="15">
        <v>400</v>
      </c>
      <c r="L245" s="29" t="s">
        <v>1288</v>
      </c>
      <c r="M245" s="32" t="str">
        <f t="shared" si="36"/>
        <v>常规</v>
      </c>
      <c r="N245" s="15"/>
      <c r="O245" s="137" t="s">
        <v>2263</v>
      </c>
      <c r="P245" s="134" t="s">
        <v>2237</v>
      </c>
      <c r="Q245" s="137"/>
      <c r="R245" s="15"/>
      <c r="S245" s="15" t="s">
        <v>919</v>
      </c>
      <c r="T245" s="15">
        <v>200</v>
      </c>
      <c r="U245" s="32" t="str">
        <f t="shared" si="37"/>
        <v>只</v>
      </c>
      <c r="V245" s="15"/>
      <c r="W245" s="15"/>
      <c r="X245" s="32">
        <f t="shared" si="38"/>
        <v>200</v>
      </c>
      <c r="Y245" s="32" t="str">
        <f t="shared" si="39"/>
        <v>只</v>
      </c>
      <c r="Z245" s="15"/>
      <c r="AA245" s="15"/>
      <c r="AB245" s="15"/>
    </row>
    <row r="246" spans="1:28" s="46" customFormat="1" ht="19.899999999999999" customHeight="1" x14ac:dyDescent="0.15">
      <c r="A246" s="34">
        <v>243</v>
      </c>
      <c r="B246" s="15" t="s">
        <v>1309</v>
      </c>
      <c r="C246" s="29" t="s">
        <v>0</v>
      </c>
      <c r="D246" s="32" t="str">
        <f t="shared" si="35"/>
        <v>专用物耗</v>
      </c>
      <c r="E246" s="15"/>
      <c r="F246" s="15" t="s">
        <v>1310</v>
      </c>
      <c r="G246" s="15"/>
      <c r="H246" s="15"/>
      <c r="I246" s="15" t="s">
        <v>230</v>
      </c>
      <c r="J246" s="29" t="s">
        <v>821</v>
      </c>
      <c r="K246" s="15">
        <v>2</v>
      </c>
      <c r="L246" s="29" t="s">
        <v>1305</v>
      </c>
      <c r="M246" s="32" t="str">
        <f t="shared" si="36"/>
        <v>常规</v>
      </c>
      <c r="N246" s="15"/>
      <c r="O246" s="137" t="s">
        <v>2248</v>
      </c>
      <c r="P246" s="134" t="s">
        <v>2239</v>
      </c>
      <c r="Q246" s="137" t="s">
        <v>2531</v>
      </c>
      <c r="R246" s="15"/>
      <c r="S246" s="15"/>
      <c r="T246" s="15"/>
      <c r="U246" s="32" t="str">
        <f t="shared" si="37"/>
        <v>根</v>
      </c>
      <c r="V246" s="15"/>
      <c r="W246" s="15"/>
      <c r="X246" s="32">
        <f t="shared" si="38"/>
        <v>2</v>
      </c>
      <c r="Y246" s="32" t="str">
        <f t="shared" si="39"/>
        <v>根</v>
      </c>
      <c r="Z246" s="15"/>
      <c r="AA246" s="15"/>
      <c r="AB246" s="15"/>
    </row>
    <row r="247" spans="1:28" s="175" customFormat="1" ht="19.899999999999999" customHeight="1" x14ac:dyDescent="0.15">
      <c r="A247" s="163">
        <v>244</v>
      </c>
      <c r="B247" s="167" t="s">
        <v>1311</v>
      </c>
      <c r="C247" s="165" t="s">
        <v>0</v>
      </c>
      <c r="D247" s="166" t="str">
        <f t="shared" si="35"/>
        <v>专用物耗</v>
      </c>
      <c r="E247" s="167"/>
      <c r="F247" s="167" t="s">
        <v>1312</v>
      </c>
      <c r="G247" s="167"/>
      <c r="H247" s="167"/>
      <c r="I247" s="167" t="s">
        <v>1205</v>
      </c>
      <c r="J247" s="165" t="s">
        <v>821</v>
      </c>
      <c r="K247" s="167">
        <v>10</v>
      </c>
      <c r="L247" s="165" t="s">
        <v>1313</v>
      </c>
      <c r="M247" s="166" t="str">
        <f t="shared" si="36"/>
        <v>常规</v>
      </c>
      <c r="N247" s="167"/>
      <c r="O247" s="180" t="s">
        <v>2260</v>
      </c>
      <c r="P247" s="169" t="s">
        <v>740</v>
      </c>
      <c r="Q247" s="169"/>
      <c r="R247" s="167"/>
      <c r="S247" s="167" t="s">
        <v>935</v>
      </c>
      <c r="T247" s="167">
        <v>10</v>
      </c>
      <c r="U247" s="166" t="str">
        <f t="shared" si="37"/>
        <v>箱</v>
      </c>
      <c r="V247" s="167"/>
      <c r="W247" s="167"/>
      <c r="X247" s="166" t="str">
        <f t="shared" si="38"/>
        <v/>
      </c>
      <c r="Y247" s="166" t="str">
        <f t="shared" si="39"/>
        <v>箱</v>
      </c>
      <c r="Z247" s="167"/>
      <c r="AA247" s="167"/>
      <c r="AB247" s="167"/>
    </row>
    <row r="248" spans="1:28" s="175" customFormat="1" ht="19.899999999999999" customHeight="1" x14ac:dyDescent="0.15">
      <c r="A248" s="163">
        <v>245</v>
      </c>
      <c r="B248" s="167" t="s">
        <v>1315</v>
      </c>
      <c r="C248" s="165" t="s">
        <v>0</v>
      </c>
      <c r="D248" s="166" t="str">
        <f t="shared" si="35"/>
        <v>专用物耗</v>
      </c>
      <c r="E248" s="167"/>
      <c r="F248" s="167" t="s">
        <v>744</v>
      </c>
      <c r="G248" s="167"/>
      <c r="H248" s="167"/>
      <c r="I248" s="167" t="s">
        <v>1206</v>
      </c>
      <c r="J248" s="165" t="s">
        <v>821</v>
      </c>
      <c r="K248" s="167">
        <v>10</v>
      </c>
      <c r="L248" s="165" t="s">
        <v>1303</v>
      </c>
      <c r="M248" s="166" t="str">
        <f t="shared" si="36"/>
        <v>常规</v>
      </c>
      <c r="N248" s="167"/>
      <c r="O248" s="169" t="s">
        <v>2254</v>
      </c>
      <c r="P248" s="170" t="s">
        <v>2238</v>
      </c>
      <c r="Q248" s="169"/>
      <c r="R248" s="167"/>
      <c r="S248" s="167" t="s">
        <v>1243</v>
      </c>
      <c r="T248" s="167">
        <v>10</v>
      </c>
      <c r="U248" s="166" t="str">
        <f t="shared" si="37"/>
        <v>盒</v>
      </c>
      <c r="V248" s="167"/>
      <c r="W248" s="167"/>
      <c r="X248" s="166" t="str">
        <f t="shared" si="38"/>
        <v/>
      </c>
      <c r="Y248" s="166" t="str">
        <f t="shared" si="39"/>
        <v>盒</v>
      </c>
      <c r="Z248" s="167"/>
      <c r="AA248" s="167"/>
      <c r="AB248" s="167"/>
    </row>
    <row r="249" spans="1:28" s="175" customFormat="1" ht="19.899999999999999" customHeight="1" x14ac:dyDescent="0.15">
      <c r="A249" s="163">
        <v>246</v>
      </c>
      <c r="B249" s="167" t="s">
        <v>1316</v>
      </c>
      <c r="C249" s="165" t="s">
        <v>0</v>
      </c>
      <c r="D249" s="166" t="str">
        <f t="shared" si="35"/>
        <v>专用物耗</v>
      </c>
      <c r="E249" s="167"/>
      <c r="F249" s="167" t="s">
        <v>1317</v>
      </c>
      <c r="G249" s="167"/>
      <c r="H249" s="167"/>
      <c r="I249" s="167" t="s">
        <v>1207</v>
      </c>
      <c r="J249" s="165" t="s">
        <v>821</v>
      </c>
      <c r="K249" s="167">
        <v>1</v>
      </c>
      <c r="L249" s="165" t="s">
        <v>1318</v>
      </c>
      <c r="M249" s="166" t="str">
        <f t="shared" si="36"/>
        <v>常规</v>
      </c>
      <c r="N249" s="167"/>
      <c r="O249" s="169"/>
      <c r="P249" s="170"/>
      <c r="Q249" s="169"/>
      <c r="R249" s="167"/>
      <c r="S249" s="167" t="s">
        <v>239</v>
      </c>
      <c r="T249" s="167">
        <v>1</v>
      </c>
      <c r="U249" s="166" t="str">
        <f t="shared" si="37"/>
        <v>包</v>
      </c>
      <c r="V249" s="167"/>
      <c r="W249" s="167"/>
      <c r="X249" s="166" t="str">
        <f t="shared" si="38"/>
        <v/>
      </c>
      <c r="Y249" s="166" t="str">
        <f t="shared" si="39"/>
        <v>包</v>
      </c>
      <c r="Z249" s="167"/>
      <c r="AA249" s="167"/>
      <c r="AB249" s="167"/>
    </row>
    <row r="250" spans="1:28" s="175" customFormat="1" ht="19.899999999999999" customHeight="1" x14ac:dyDescent="0.15">
      <c r="A250" s="163">
        <v>247</v>
      </c>
      <c r="B250" s="167" t="s">
        <v>1319</v>
      </c>
      <c r="C250" s="165" t="s">
        <v>0</v>
      </c>
      <c r="D250" s="166" t="str">
        <f t="shared" si="35"/>
        <v>专用物耗</v>
      </c>
      <c r="E250" s="167"/>
      <c r="F250" s="167" t="s">
        <v>240</v>
      </c>
      <c r="G250" s="167"/>
      <c r="H250" s="167"/>
      <c r="I250" s="167" t="s">
        <v>1208</v>
      </c>
      <c r="J250" s="165" t="s">
        <v>821</v>
      </c>
      <c r="K250" s="167">
        <v>2</v>
      </c>
      <c r="L250" s="165" t="s">
        <v>1320</v>
      </c>
      <c r="M250" s="166" t="str">
        <f t="shared" si="36"/>
        <v>常规</v>
      </c>
      <c r="N250" s="167"/>
      <c r="O250" s="169"/>
      <c r="P250" s="170"/>
      <c r="Q250" s="169"/>
      <c r="R250" s="167"/>
      <c r="S250" s="167" t="s">
        <v>252</v>
      </c>
      <c r="T250" s="167">
        <v>2</v>
      </c>
      <c r="U250" s="166" t="str">
        <f t="shared" si="37"/>
        <v>只</v>
      </c>
      <c r="V250" s="167"/>
      <c r="W250" s="167"/>
      <c r="X250" s="166" t="str">
        <f t="shared" si="38"/>
        <v/>
      </c>
      <c r="Y250" s="166" t="str">
        <f t="shared" si="39"/>
        <v>只</v>
      </c>
      <c r="Z250" s="167"/>
      <c r="AA250" s="167"/>
      <c r="AB250" s="167"/>
    </row>
    <row r="251" spans="1:28" s="46" customFormat="1" ht="19.899999999999999" customHeight="1" x14ac:dyDescent="0.15">
      <c r="A251" s="34">
        <v>248</v>
      </c>
      <c r="B251" s="15" t="s">
        <v>2532</v>
      </c>
      <c r="C251" s="29" t="s">
        <v>0</v>
      </c>
      <c r="D251" s="32" t="str">
        <f t="shared" si="35"/>
        <v>专用物耗</v>
      </c>
      <c r="E251" s="15"/>
      <c r="F251" s="15"/>
      <c r="G251" s="15"/>
      <c r="H251" s="15"/>
      <c r="I251" s="15" t="s">
        <v>1209</v>
      </c>
      <c r="J251" s="29" t="s">
        <v>821</v>
      </c>
      <c r="K251" s="15">
        <v>19</v>
      </c>
      <c r="L251" s="29" t="s">
        <v>1320</v>
      </c>
      <c r="M251" s="32" t="str">
        <f t="shared" si="36"/>
        <v>常规</v>
      </c>
      <c r="N251" s="15"/>
      <c r="O251" s="137" t="s">
        <v>2248</v>
      </c>
      <c r="P251" s="134" t="s">
        <v>2236</v>
      </c>
      <c r="Q251" s="137" t="s">
        <v>2531</v>
      </c>
      <c r="R251" s="15"/>
      <c r="S251" s="15" t="s">
        <v>1616</v>
      </c>
      <c r="T251" s="15">
        <v>8</v>
      </c>
      <c r="U251" s="32" t="str">
        <f t="shared" si="37"/>
        <v>只</v>
      </c>
      <c r="V251" s="15"/>
      <c r="W251" s="15"/>
      <c r="X251" s="32">
        <f t="shared" si="38"/>
        <v>11</v>
      </c>
      <c r="Y251" s="32" t="str">
        <f t="shared" si="39"/>
        <v>只</v>
      </c>
      <c r="Z251" s="15"/>
      <c r="AA251" s="15"/>
      <c r="AB251" s="15"/>
    </row>
    <row r="252" spans="1:28" s="175" customFormat="1" ht="19.899999999999999" customHeight="1" x14ac:dyDescent="0.15">
      <c r="A252" s="163">
        <v>249</v>
      </c>
      <c r="B252" s="167" t="s">
        <v>1321</v>
      </c>
      <c r="C252" s="165" t="s">
        <v>0</v>
      </c>
      <c r="D252" s="166" t="str">
        <f t="shared" si="35"/>
        <v>专用物耗</v>
      </c>
      <c r="E252" s="167"/>
      <c r="F252" s="167"/>
      <c r="G252" s="167"/>
      <c r="H252" s="167"/>
      <c r="I252" s="167" t="s">
        <v>241</v>
      </c>
      <c r="J252" s="165" t="s">
        <v>821</v>
      </c>
      <c r="K252" s="167">
        <v>38</v>
      </c>
      <c r="L252" s="165" t="s">
        <v>1322</v>
      </c>
      <c r="M252" s="166" t="str">
        <f t="shared" si="36"/>
        <v>常规</v>
      </c>
      <c r="N252" s="167"/>
      <c r="O252" s="169" t="s">
        <v>2259</v>
      </c>
      <c r="P252" s="170" t="s">
        <v>2235</v>
      </c>
      <c r="Q252" s="169"/>
      <c r="R252" s="167"/>
      <c r="S252" s="167" t="s">
        <v>1063</v>
      </c>
      <c r="T252" s="167">
        <v>38</v>
      </c>
      <c r="U252" s="166" t="str">
        <f t="shared" si="37"/>
        <v>个</v>
      </c>
      <c r="V252" s="167"/>
      <c r="W252" s="167"/>
      <c r="X252" s="166" t="str">
        <f t="shared" si="38"/>
        <v/>
      </c>
      <c r="Y252" s="166" t="str">
        <f t="shared" si="39"/>
        <v>个</v>
      </c>
      <c r="Z252" s="167"/>
      <c r="AA252" s="167"/>
      <c r="AB252" s="167"/>
    </row>
    <row r="253" spans="1:28" s="175" customFormat="1" ht="19.899999999999999" customHeight="1" x14ac:dyDescent="0.15">
      <c r="A253" s="163">
        <v>250</v>
      </c>
      <c r="B253" s="167" t="s">
        <v>1323</v>
      </c>
      <c r="C253" s="165" t="s">
        <v>0</v>
      </c>
      <c r="D253" s="166" t="str">
        <f t="shared" si="35"/>
        <v>专用物耗</v>
      </c>
      <c r="E253" s="167"/>
      <c r="F253" s="167" t="s">
        <v>1324</v>
      </c>
      <c r="G253" s="167" t="s">
        <v>1325</v>
      </c>
      <c r="H253" s="167"/>
      <c r="I253" s="167" t="s">
        <v>1210</v>
      </c>
      <c r="J253" s="165" t="s">
        <v>821</v>
      </c>
      <c r="K253" s="167">
        <v>24</v>
      </c>
      <c r="L253" s="165" t="s">
        <v>1322</v>
      </c>
      <c r="M253" s="166" t="str">
        <f t="shared" si="36"/>
        <v>常规</v>
      </c>
      <c r="N253" s="167"/>
      <c r="O253" s="169"/>
      <c r="P253" s="170"/>
      <c r="Q253" s="169"/>
      <c r="R253" s="167"/>
      <c r="S253" s="167" t="s">
        <v>810</v>
      </c>
      <c r="T253" s="167">
        <v>24</v>
      </c>
      <c r="U253" s="166" t="str">
        <f t="shared" si="37"/>
        <v>个</v>
      </c>
      <c r="V253" s="167"/>
      <c r="W253" s="167"/>
      <c r="X253" s="166" t="str">
        <f t="shared" si="38"/>
        <v/>
      </c>
      <c r="Y253" s="166" t="str">
        <f t="shared" si="39"/>
        <v>个</v>
      </c>
      <c r="Z253" s="167"/>
      <c r="AA253" s="167"/>
      <c r="AB253" s="167"/>
    </row>
    <row r="254" spans="1:28" s="175" customFormat="1" ht="19.899999999999999" customHeight="1" x14ac:dyDescent="0.15">
      <c r="A254" s="163">
        <v>251</v>
      </c>
      <c r="B254" s="167" t="s">
        <v>1326</v>
      </c>
      <c r="C254" s="165" t="s">
        <v>0</v>
      </c>
      <c r="D254" s="166" t="str">
        <f t="shared" si="35"/>
        <v>专用物耗</v>
      </c>
      <c r="E254" s="167" t="s">
        <v>1327</v>
      </c>
      <c r="F254" s="167" t="s">
        <v>242</v>
      </c>
      <c r="G254" s="167"/>
      <c r="H254" s="167"/>
      <c r="I254" s="167" t="s">
        <v>1211</v>
      </c>
      <c r="J254" s="165" t="s">
        <v>821</v>
      </c>
      <c r="K254" s="167">
        <v>4</v>
      </c>
      <c r="L254" s="165" t="s">
        <v>1320</v>
      </c>
      <c r="M254" s="166" t="str">
        <f t="shared" si="36"/>
        <v>常规</v>
      </c>
      <c r="N254" s="167"/>
      <c r="O254" s="169"/>
      <c r="P254" s="170"/>
      <c r="Q254" s="169"/>
      <c r="R254" s="167"/>
      <c r="S254" s="167" t="s">
        <v>811</v>
      </c>
      <c r="T254" s="167">
        <v>4</v>
      </c>
      <c r="U254" s="166" t="str">
        <f t="shared" si="37"/>
        <v>只</v>
      </c>
      <c r="V254" s="167"/>
      <c r="W254" s="167"/>
      <c r="X254" s="166" t="str">
        <f t="shared" si="38"/>
        <v/>
      </c>
      <c r="Y254" s="166" t="str">
        <f t="shared" si="39"/>
        <v>只</v>
      </c>
      <c r="Z254" s="167"/>
      <c r="AA254" s="167"/>
      <c r="AB254" s="167"/>
    </row>
    <row r="255" spans="1:28" s="175" customFormat="1" ht="19.899999999999999" customHeight="1" x14ac:dyDescent="0.15">
      <c r="A255" s="163">
        <v>252</v>
      </c>
      <c r="B255" s="167" t="s">
        <v>1328</v>
      </c>
      <c r="C255" s="165" t="s">
        <v>0</v>
      </c>
      <c r="D255" s="166" t="str">
        <f t="shared" si="35"/>
        <v>专用物耗</v>
      </c>
      <c r="E255" s="167" t="s">
        <v>1327</v>
      </c>
      <c r="F255" s="167" t="s">
        <v>243</v>
      </c>
      <c r="G255" s="167"/>
      <c r="H255" s="167"/>
      <c r="I255" s="167" t="s">
        <v>1212</v>
      </c>
      <c r="J255" s="165" t="s">
        <v>821</v>
      </c>
      <c r="K255" s="167">
        <v>4</v>
      </c>
      <c r="L255" s="165" t="s">
        <v>1320</v>
      </c>
      <c r="M255" s="166" t="str">
        <f t="shared" si="36"/>
        <v>常规</v>
      </c>
      <c r="N255" s="167"/>
      <c r="O255" s="169"/>
      <c r="P255" s="170"/>
      <c r="Q255" s="169"/>
      <c r="R255" s="167"/>
      <c r="S255" s="167" t="s">
        <v>812</v>
      </c>
      <c r="T255" s="167">
        <v>4</v>
      </c>
      <c r="U255" s="166" t="str">
        <f t="shared" si="37"/>
        <v>只</v>
      </c>
      <c r="V255" s="167"/>
      <c r="W255" s="167"/>
      <c r="X255" s="166" t="str">
        <f t="shared" si="38"/>
        <v/>
      </c>
      <c r="Y255" s="166" t="str">
        <f t="shared" si="39"/>
        <v>只</v>
      </c>
      <c r="Z255" s="167"/>
      <c r="AA255" s="167"/>
      <c r="AB255" s="167"/>
    </row>
    <row r="256" spans="1:28" s="175" customFormat="1" ht="19.899999999999999" customHeight="1" x14ac:dyDescent="0.15">
      <c r="A256" s="163">
        <v>253</v>
      </c>
      <c r="B256" s="167" t="s">
        <v>1329</v>
      </c>
      <c r="C256" s="165" t="s">
        <v>0</v>
      </c>
      <c r="D256" s="166" t="str">
        <f t="shared" si="35"/>
        <v>专用物耗</v>
      </c>
      <c r="E256" s="167" t="s">
        <v>1327</v>
      </c>
      <c r="F256" s="167" t="s">
        <v>244</v>
      </c>
      <c r="G256" s="167"/>
      <c r="H256" s="167"/>
      <c r="I256" s="167" t="s">
        <v>1213</v>
      </c>
      <c r="J256" s="165" t="s">
        <v>821</v>
      </c>
      <c r="K256" s="167">
        <v>10</v>
      </c>
      <c r="L256" s="165" t="s">
        <v>1320</v>
      </c>
      <c r="M256" s="166" t="str">
        <f t="shared" si="36"/>
        <v>常规</v>
      </c>
      <c r="N256" s="167"/>
      <c r="O256" s="169"/>
      <c r="P256" s="170"/>
      <c r="Q256" s="169"/>
      <c r="R256" s="167"/>
      <c r="S256" s="167" t="s">
        <v>813</v>
      </c>
      <c r="T256" s="167">
        <v>10</v>
      </c>
      <c r="U256" s="166" t="str">
        <f t="shared" si="37"/>
        <v>只</v>
      </c>
      <c r="V256" s="167"/>
      <c r="W256" s="167"/>
      <c r="X256" s="166" t="str">
        <f t="shared" si="38"/>
        <v/>
      </c>
      <c r="Y256" s="166" t="str">
        <f t="shared" si="39"/>
        <v>只</v>
      </c>
      <c r="Z256" s="167"/>
      <c r="AA256" s="167"/>
      <c r="AB256" s="167"/>
    </row>
    <row r="257" spans="1:28" s="175" customFormat="1" ht="19.899999999999999" customHeight="1" x14ac:dyDescent="0.15">
      <c r="A257" s="163">
        <v>254</v>
      </c>
      <c r="B257" s="167" t="s">
        <v>1330</v>
      </c>
      <c r="C257" s="165" t="s">
        <v>0</v>
      </c>
      <c r="D257" s="166" t="str">
        <f t="shared" ref="D257:D321" si="45">IF(C257="J1","常规化学品",IF(C257="J2","危险化学品",IF(C257="J3","标准物质",IF(C257="J4","玻璃仪器",IF(C257="J5","实验气体",IF(C257="J6","专用物耗",IF(C257="J7","备品配件",IF(C257="J8","专用工具",IF(C257="Z1","劳保物资",IF(C257="Z2","办公耗材",IF(C257="Z3","食品饮料",IF(C257="Z4","特殊物耗",IF(C257="Z5","通用物耗",IF(C257="Z6","通用工具",""))))))))))))))</f>
        <v>专用物耗</v>
      </c>
      <c r="E257" s="167" t="s">
        <v>1331</v>
      </c>
      <c r="F257" s="167" t="s">
        <v>1332</v>
      </c>
      <c r="G257" s="167"/>
      <c r="H257" s="167"/>
      <c r="I257" s="167" t="s">
        <v>1214</v>
      </c>
      <c r="J257" s="165" t="s">
        <v>821</v>
      </c>
      <c r="K257" s="167">
        <v>1</v>
      </c>
      <c r="L257" s="165" t="s">
        <v>1320</v>
      </c>
      <c r="M257" s="166" t="str">
        <f t="shared" ref="M257:M321" si="46">IF(D257="危险化学品","五双",IF(D257="标准物资","严控",IF(D257&lt;&gt;"","常规","")))</f>
        <v>常规</v>
      </c>
      <c r="N257" s="167"/>
      <c r="O257" s="169"/>
      <c r="P257" s="170"/>
      <c r="Q257" s="169"/>
      <c r="R257" s="167"/>
      <c r="S257" s="167" t="s">
        <v>814</v>
      </c>
      <c r="T257" s="167">
        <v>1</v>
      </c>
      <c r="U257" s="166" t="str">
        <f t="shared" ref="U257:U320" si="47">IF(L257="","",L257)</f>
        <v>只</v>
      </c>
      <c r="V257" s="167"/>
      <c r="W257" s="167"/>
      <c r="X257" s="166" t="str">
        <f t="shared" ref="X257" si="48">IF((K257-T257)&lt;=0,"",K257-T257)</f>
        <v/>
      </c>
      <c r="Y257" s="166" t="str">
        <f t="shared" ref="Y257:Y321" si="49">IF(L257="","",L257)</f>
        <v>只</v>
      </c>
      <c r="Z257" s="167"/>
      <c r="AA257" s="167"/>
      <c r="AB257" s="167"/>
    </row>
    <row r="258" spans="1:28" s="46" customFormat="1" ht="19.899999999999999" customHeight="1" x14ac:dyDescent="0.15">
      <c r="A258" s="34">
        <v>255</v>
      </c>
      <c r="B258" s="15" t="s">
        <v>1333</v>
      </c>
      <c r="C258" s="29" t="s">
        <v>0</v>
      </c>
      <c r="D258" s="32" t="str">
        <f t="shared" si="45"/>
        <v>专用物耗</v>
      </c>
      <c r="E258" s="15" t="s">
        <v>1334</v>
      </c>
      <c r="F258" s="15" t="s">
        <v>245</v>
      </c>
      <c r="G258" s="15"/>
      <c r="H258" s="15"/>
      <c r="I258" s="15" t="s">
        <v>246</v>
      </c>
      <c r="J258" s="29" t="s">
        <v>821</v>
      </c>
      <c r="K258" s="15">
        <v>85</v>
      </c>
      <c r="L258" s="29" t="s">
        <v>1322</v>
      </c>
      <c r="M258" s="32" t="str">
        <f t="shared" si="46"/>
        <v>常规</v>
      </c>
      <c r="N258" s="15"/>
      <c r="O258" s="137" t="s">
        <v>2245</v>
      </c>
      <c r="P258" s="134" t="s">
        <v>2236</v>
      </c>
      <c r="Q258" s="137"/>
      <c r="R258" s="15"/>
      <c r="S258" s="15" t="s">
        <v>815</v>
      </c>
      <c r="T258" s="15">
        <v>33</v>
      </c>
      <c r="U258" s="32" t="str">
        <f t="shared" si="47"/>
        <v>个</v>
      </c>
      <c r="V258" s="15"/>
      <c r="W258" s="15"/>
      <c r="X258" s="32">
        <f t="shared" ref="X258:X321" si="50">IF((K258-T258)&lt;=0,"",K258-T258)</f>
        <v>52</v>
      </c>
      <c r="Y258" s="32" t="str">
        <f t="shared" si="49"/>
        <v>个</v>
      </c>
      <c r="Z258" s="15"/>
      <c r="AA258" s="15"/>
      <c r="AB258" s="15"/>
    </row>
    <row r="259" spans="1:28" s="175" customFormat="1" ht="19.899999999999999" customHeight="1" x14ac:dyDescent="0.15">
      <c r="A259" s="163">
        <v>256</v>
      </c>
      <c r="B259" s="167" t="s">
        <v>1335</v>
      </c>
      <c r="C259" s="165" t="s">
        <v>0</v>
      </c>
      <c r="D259" s="166" t="str">
        <f t="shared" si="45"/>
        <v>专用物耗</v>
      </c>
      <c r="E259" s="167" t="s">
        <v>1336</v>
      </c>
      <c r="F259" s="167" t="s">
        <v>1337</v>
      </c>
      <c r="G259" s="167"/>
      <c r="H259" s="167"/>
      <c r="I259" s="167" t="s">
        <v>247</v>
      </c>
      <c r="J259" s="165" t="s">
        <v>821</v>
      </c>
      <c r="K259" s="167">
        <v>1</v>
      </c>
      <c r="L259" s="165" t="s">
        <v>1322</v>
      </c>
      <c r="M259" s="166" t="str">
        <f t="shared" si="46"/>
        <v>常规</v>
      </c>
      <c r="N259" s="167"/>
      <c r="O259" s="169"/>
      <c r="P259" s="170"/>
      <c r="Q259" s="169"/>
      <c r="R259" s="167"/>
      <c r="S259" s="167" t="s">
        <v>816</v>
      </c>
      <c r="T259" s="167">
        <v>1</v>
      </c>
      <c r="U259" s="166" t="str">
        <f t="shared" si="47"/>
        <v>个</v>
      </c>
      <c r="V259" s="167"/>
      <c r="W259" s="167"/>
      <c r="X259" s="166" t="str">
        <f t="shared" si="50"/>
        <v/>
      </c>
      <c r="Y259" s="166" t="str">
        <f t="shared" si="49"/>
        <v>个</v>
      </c>
      <c r="Z259" s="167"/>
      <c r="AA259" s="167"/>
      <c r="AB259" s="167"/>
    </row>
    <row r="260" spans="1:28" s="175" customFormat="1" ht="19.899999999999999" customHeight="1" x14ac:dyDescent="0.15">
      <c r="A260" s="163">
        <v>257</v>
      </c>
      <c r="B260" s="167" t="s">
        <v>1338</v>
      </c>
      <c r="C260" s="165" t="s">
        <v>0</v>
      </c>
      <c r="D260" s="166" t="str">
        <f t="shared" si="45"/>
        <v>专用物耗</v>
      </c>
      <c r="E260" s="167" t="s">
        <v>1339</v>
      </c>
      <c r="F260" s="167" t="s">
        <v>1340</v>
      </c>
      <c r="G260" s="167"/>
      <c r="H260" s="167"/>
      <c r="I260" s="167" t="s">
        <v>248</v>
      </c>
      <c r="J260" s="165" t="s">
        <v>821</v>
      </c>
      <c r="K260" s="167">
        <v>2</v>
      </c>
      <c r="L260" s="165" t="s">
        <v>1341</v>
      </c>
      <c r="M260" s="166" t="str">
        <f t="shared" si="46"/>
        <v>常规</v>
      </c>
      <c r="N260" s="167"/>
      <c r="O260" s="169"/>
      <c r="P260" s="170"/>
      <c r="Q260" s="169"/>
      <c r="R260" s="167"/>
      <c r="S260" s="167" t="s">
        <v>817</v>
      </c>
      <c r="T260" s="167">
        <v>2</v>
      </c>
      <c r="U260" s="166" t="str">
        <f t="shared" si="47"/>
        <v>件</v>
      </c>
      <c r="V260" s="167"/>
      <c r="W260" s="167"/>
      <c r="X260" s="166" t="str">
        <f t="shared" si="50"/>
        <v/>
      </c>
      <c r="Y260" s="166" t="str">
        <f t="shared" si="49"/>
        <v>件</v>
      </c>
      <c r="Z260" s="167"/>
      <c r="AA260" s="167"/>
      <c r="AB260" s="167"/>
    </row>
    <row r="261" spans="1:28" s="175" customFormat="1" ht="19.899999999999999" customHeight="1" x14ac:dyDescent="0.15">
      <c r="A261" s="163">
        <v>258</v>
      </c>
      <c r="B261" s="167" t="s">
        <v>1342</v>
      </c>
      <c r="C261" s="165" t="s">
        <v>0</v>
      </c>
      <c r="D261" s="166" t="str">
        <f t="shared" si="45"/>
        <v>专用物耗</v>
      </c>
      <c r="E261" s="167" t="s">
        <v>1343</v>
      </c>
      <c r="F261" s="167" t="s">
        <v>1344</v>
      </c>
      <c r="G261" s="167"/>
      <c r="H261" s="167"/>
      <c r="I261" s="167" t="s">
        <v>249</v>
      </c>
      <c r="J261" s="165" t="s">
        <v>821</v>
      </c>
      <c r="K261" s="167">
        <v>1</v>
      </c>
      <c r="L261" s="165" t="s">
        <v>1341</v>
      </c>
      <c r="M261" s="166" t="str">
        <f t="shared" si="46"/>
        <v>常规</v>
      </c>
      <c r="N261" s="167"/>
      <c r="O261" s="169"/>
      <c r="P261" s="170"/>
      <c r="Q261" s="169"/>
      <c r="R261" s="167"/>
      <c r="S261" s="167" t="s">
        <v>818</v>
      </c>
      <c r="T261" s="167">
        <v>1</v>
      </c>
      <c r="U261" s="166" t="str">
        <f t="shared" si="47"/>
        <v>件</v>
      </c>
      <c r="V261" s="167"/>
      <c r="W261" s="167"/>
      <c r="X261" s="166" t="str">
        <f t="shared" si="50"/>
        <v/>
      </c>
      <c r="Y261" s="166" t="str">
        <f t="shared" si="49"/>
        <v>件</v>
      </c>
      <c r="Z261" s="167"/>
      <c r="AA261" s="167"/>
      <c r="AB261" s="167"/>
    </row>
    <row r="262" spans="1:28" s="175" customFormat="1" ht="19.899999999999999" customHeight="1" x14ac:dyDescent="0.15">
      <c r="A262" s="163">
        <v>259</v>
      </c>
      <c r="B262" s="167" t="s">
        <v>1345</v>
      </c>
      <c r="C262" s="165" t="s">
        <v>0</v>
      </c>
      <c r="D262" s="166" t="str">
        <f t="shared" si="45"/>
        <v>专用物耗</v>
      </c>
      <c r="E262" s="167" t="s">
        <v>1346</v>
      </c>
      <c r="F262" s="167" t="s">
        <v>1347</v>
      </c>
      <c r="G262" s="167"/>
      <c r="H262" s="167"/>
      <c r="I262" s="167" t="s">
        <v>250</v>
      </c>
      <c r="J262" s="165" t="s">
        <v>821</v>
      </c>
      <c r="K262" s="167">
        <v>2</v>
      </c>
      <c r="L262" s="165" t="s">
        <v>1341</v>
      </c>
      <c r="M262" s="166" t="str">
        <f t="shared" si="46"/>
        <v>常规</v>
      </c>
      <c r="N262" s="167"/>
      <c r="O262" s="169"/>
      <c r="P262" s="170"/>
      <c r="Q262" s="169"/>
      <c r="R262" s="167"/>
      <c r="S262" s="167" t="s">
        <v>819</v>
      </c>
      <c r="T262" s="167">
        <v>2</v>
      </c>
      <c r="U262" s="166" t="str">
        <f t="shared" si="47"/>
        <v>件</v>
      </c>
      <c r="V262" s="167"/>
      <c r="W262" s="167"/>
      <c r="X262" s="166" t="str">
        <f t="shared" si="50"/>
        <v/>
      </c>
      <c r="Y262" s="166" t="str">
        <f t="shared" si="49"/>
        <v>件</v>
      </c>
      <c r="Z262" s="167"/>
      <c r="AA262" s="167"/>
      <c r="AB262" s="167"/>
    </row>
    <row r="263" spans="1:28" s="175" customFormat="1" ht="19.899999999999999" customHeight="1" x14ac:dyDescent="0.15">
      <c r="A263" s="163">
        <v>260</v>
      </c>
      <c r="B263" s="167" t="s">
        <v>1348</v>
      </c>
      <c r="C263" s="165" t="s">
        <v>0</v>
      </c>
      <c r="D263" s="166" t="str">
        <f t="shared" si="45"/>
        <v>专用物耗</v>
      </c>
      <c r="E263" s="167" t="s">
        <v>1346</v>
      </c>
      <c r="F263" s="167" t="s">
        <v>1349</v>
      </c>
      <c r="G263" s="167"/>
      <c r="H263" s="167"/>
      <c r="I263" s="167" t="s">
        <v>251</v>
      </c>
      <c r="J263" s="165" t="s">
        <v>821</v>
      </c>
      <c r="K263" s="167">
        <v>2</v>
      </c>
      <c r="L263" s="165" t="s">
        <v>1341</v>
      </c>
      <c r="M263" s="166" t="str">
        <f t="shared" si="46"/>
        <v>常规</v>
      </c>
      <c r="N263" s="167"/>
      <c r="O263" s="169"/>
      <c r="P263" s="170"/>
      <c r="Q263" s="169"/>
      <c r="R263" s="167"/>
      <c r="S263" s="167" t="s">
        <v>820</v>
      </c>
      <c r="T263" s="167">
        <v>2</v>
      </c>
      <c r="U263" s="166" t="str">
        <f t="shared" si="47"/>
        <v>件</v>
      </c>
      <c r="V263" s="167"/>
      <c r="W263" s="167"/>
      <c r="X263" s="166" t="str">
        <f t="shared" si="50"/>
        <v/>
      </c>
      <c r="Y263" s="166" t="str">
        <f t="shared" si="49"/>
        <v>件</v>
      </c>
      <c r="Z263" s="167"/>
      <c r="AA263" s="167"/>
      <c r="AB263" s="167"/>
    </row>
    <row r="264" spans="1:28" s="175" customFormat="1" ht="19.899999999999999" customHeight="1" x14ac:dyDescent="0.15">
      <c r="A264" s="163">
        <v>261</v>
      </c>
      <c r="B264" s="167" t="s">
        <v>1350</v>
      </c>
      <c r="C264" s="165" t="s">
        <v>0</v>
      </c>
      <c r="D264" s="166" t="str">
        <f t="shared" si="45"/>
        <v>专用物耗</v>
      </c>
      <c r="E264" s="167" t="s">
        <v>1351</v>
      </c>
      <c r="F264" s="167" t="s">
        <v>862</v>
      </c>
      <c r="G264" s="167"/>
      <c r="H264" s="167"/>
      <c r="I264" s="167" t="s">
        <v>1087</v>
      </c>
      <c r="J264" s="165" t="s">
        <v>821</v>
      </c>
      <c r="K264" s="167">
        <v>1</v>
      </c>
      <c r="L264" s="165" t="s">
        <v>822</v>
      </c>
      <c r="M264" s="166" t="str">
        <f t="shared" si="46"/>
        <v>常规</v>
      </c>
      <c r="N264" s="167"/>
      <c r="O264" s="169"/>
      <c r="P264" s="170"/>
      <c r="Q264" s="169"/>
      <c r="R264" s="167"/>
      <c r="S264" s="167" t="s">
        <v>866</v>
      </c>
      <c r="T264" s="167">
        <v>1</v>
      </c>
      <c r="U264" s="166" t="str">
        <f t="shared" si="47"/>
        <v>只</v>
      </c>
      <c r="V264" s="167"/>
      <c r="W264" s="167"/>
      <c r="X264" s="166" t="str">
        <f t="shared" si="50"/>
        <v/>
      </c>
      <c r="Y264" s="166" t="str">
        <f t="shared" si="49"/>
        <v>只</v>
      </c>
      <c r="Z264" s="167"/>
      <c r="AA264" s="167"/>
      <c r="AB264" s="167"/>
    </row>
    <row r="265" spans="1:28" s="46" customFormat="1" ht="19.899999999999999" customHeight="1" x14ac:dyDescent="0.15">
      <c r="A265" s="34">
        <v>262</v>
      </c>
      <c r="B265" s="15" t="s">
        <v>1352</v>
      </c>
      <c r="C265" s="29" t="s">
        <v>0</v>
      </c>
      <c r="D265" s="32" t="str">
        <f t="shared" si="45"/>
        <v>专用物耗</v>
      </c>
      <c r="E265" s="15"/>
      <c r="F265" s="15"/>
      <c r="G265" s="15"/>
      <c r="H265" s="15"/>
      <c r="I265" s="15" t="s">
        <v>1088</v>
      </c>
      <c r="J265" s="29" t="s">
        <v>821</v>
      </c>
      <c r="K265" s="15">
        <v>1</v>
      </c>
      <c r="L265" s="29" t="s">
        <v>822</v>
      </c>
      <c r="M265" s="32" t="str">
        <f t="shared" si="46"/>
        <v>常规</v>
      </c>
      <c r="N265" s="15"/>
      <c r="O265" s="137" t="s">
        <v>2248</v>
      </c>
      <c r="P265" s="134" t="s">
        <v>2236</v>
      </c>
      <c r="Q265" s="137"/>
      <c r="R265" s="15"/>
      <c r="S265" s="15"/>
      <c r="T265" s="15"/>
      <c r="U265" s="32" t="str">
        <f t="shared" si="47"/>
        <v>只</v>
      </c>
      <c r="V265" s="15"/>
      <c r="W265" s="15"/>
      <c r="X265" s="32">
        <f t="shared" si="50"/>
        <v>1</v>
      </c>
      <c r="Y265" s="32" t="str">
        <f t="shared" si="49"/>
        <v>只</v>
      </c>
      <c r="Z265" s="15"/>
      <c r="AA265" s="15"/>
      <c r="AB265" s="15"/>
    </row>
    <row r="266" spans="1:28" s="175" customFormat="1" ht="19.899999999999999" customHeight="1" x14ac:dyDescent="0.15">
      <c r="A266" s="163">
        <v>263</v>
      </c>
      <c r="B266" s="167" t="s">
        <v>1353</v>
      </c>
      <c r="C266" s="165" t="s">
        <v>0</v>
      </c>
      <c r="D266" s="166" t="str">
        <f t="shared" si="45"/>
        <v>专用物耗</v>
      </c>
      <c r="E266" s="167"/>
      <c r="F266" s="167"/>
      <c r="G266" s="167"/>
      <c r="H266" s="167"/>
      <c r="I266" s="167" t="s">
        <v>1089</v>
      </c>
      <c r="J266" s="165" t="s">
        <v>821</v>
      </c>
      <c r="K266" s="167">
        <v>1</v>
      </c>
      <c r="L266" s="165" t="s">
        <v>822</v>
      </c>
      <c r="M266" s="166" t="str">
        <f t="shared" si="46"/>
        <v>常规</v>
      </c>
      <c r="N266" s="167"/>
      <c r="O266" s="169"/>
      <c r="P266" s="170"/>
      <c r="Q266" s="169"/>
      <c r="R266" s="167"/>
      <c r="S266" s="167" t="s">
        <v>965</v>
      </c>
      <c r="T266" s="167">
        <v>1</v>
      </c>
      <c r="U266" s="166" t="str">
        <f t="shared" si="47"/>
        <v>只</v>
      </c>
      <c r="V266" s="167"/>
      <c r="W266" s="167"/>
      <c r="X266" s="166" t="str">
        <f t="shared" si="50"/>
        <v/>
      </c>
      <c r="Y266" s="166" t="str">
        <f t="shared" si="49"/>
        <v>只</v>
      </c>
      <c r="Z266" s="167"/>
      <c r="AA266" s="167"/>
      <c r="AB266" s="167"/>
    </row>
    <row r="267" spans="1:28" s="175" customFormat="1" ht="19.899999999999999" customHeight="1" x14ac:dyDescent="0.15">
      <c r="A267" s="163">
        <v>264</v>
      </c>
      <c r="B267" s="167" t="s">
        <v>1354</v>
      </c>
      <c r="C267" s="165" t="s">
        <v>0</v>
      </c>
      <c r="D267" s="166" t="str">
        <f t="shared" si="45"/>
        <v>专用物耗</v>
      </c>
      <c r="E267" s="167" t="s">
        <v>1351</v>
      </c>
      <c r="F267" s="167"/>
      <c r="G267" s="167"/>
      <c r="H267" s="167"/>
      <c r="I267" s="167" t="s">
        <v>1090</v>
      </c>
      <c r="J267" s="165" t="s">
        <v>821</v>
      </c>
      <c r="K267" s="167">
        <v>1</v>
      </c>
      <c r="L267" s="165" t="s">
        <v>822</v>
      </c>
      <c r="M267" s="166" t="str">
        <f t="shared" si="46"/>
        <v>常规</v>
      </c>
      <c r="N267" s="167"/>
      <c r="O267" s="169"/>
      <c r="P267" s="170"/>
      <c r="Q267" s="169"/>
      <c r="R267" s="167"/>
      <c r="S267" s="167" t="s">
        <v>868</v>
      </c>
      <c r="T267" s="167">
        <v>1</v>
      </c>
      <c r="U267" s="166" t="str">
        <f t="shared" si="47"/>
        <v>只</v>
      </c>
      <c r="V267" s="167"/>
      <c r="W267" s="167"/>
      <c r="X267" s="166" t="str">
        <f t="shared" si="50"/>
        <v/>
      </c>
      <c r="Y267" s="166" t="str">
        <f t="shared" si="49"/>
        <v>只</v>
      </c>
      <c r="Z267" s="167"/>
      <c r="AA267" s="167"/>
      <c r="AB267" s="167"/>
    </row>
    <row r="268" spans="1:28" s="46" customFormat="1" ht="19.899999999999999" customHeight="1" x14ac:dyDescent="0.15">
      <c r="A268" s="34">
        <v>265</v>
      </c>
      <c r="B268" s="15" t="s">
        <v>1319</v>
      </c>
      <c r="C268" s="29" t="s">
        <v>0</v>
      </c>
      <c r="D268" s="32" t="str">
        <f t="shared" si="45"/>
        <v>专用物耗</v>
      </c>
      <c r="E268" s="15"/>
      <c r="F268" s="15" t="s">
        <v>863</v>
      </c>
      <c r="G268" s="15"/>
      <c r="H268" s="15"/>
      <c r="I268" s="15" t="s">
        <v>1091</v>
      </c>
      <c r="J268" s="29" t="s">
        <v>821</v>
      </c>
      <c r="K268" s="15">
        <v>10</v>
      </c>
      <c r="L268" s="29" t="s">
        <v>822</v>
      </c>
      <c r="M268" s="32" t="str">
        <f t="shared" si="46"/>
        <v>常规</v>
      </c>
      <c r="N268" s="15"/>
      <c r="O268" s="135" t="s">
        <v>2260</v>
      </c>
      <c r="P268" s="137" t="s">
        <v>1445</v>
      </c>
      <c r="Q268" s="137"/>
      <c r="R268" s="15"/>
      <c r="S268" s="15" t="s">
        <v>2491</v>
      </c>
      <c r="T268" s="15">
        <f>8+1</f>
        <v>9</v>
      </c>
      <c r="U268" s="32" t="str">
        <f t="shared" si="47"/>
        <v>只</v>
      </c>
      <c r="V268" s="15"/>
      <c r="W268" s="15"/>
      <c r="X268" s="32">
        <f t="shared" si="50"/>
        <v>1</v>
      </c>
      <c r="Y268" s="32" t="str">
        <f t="shared" si="49"/>
        <v>只</v>
      </c>
      <c r="Z268" s="15"/>
      <c r="AA268" s="15"/>
      <c r="AB268" s="15"/>
    </row>
    <row r="269" spans="1:28" s="175" customFormat="1" ht="19.899999999999999" customHeight="1" x14ac:dyDescent="0.15">
      <c r="A269" s="163">
        <v>266</v>
      </c>
      <c r="B269" s="167" t="s">
        <v>1355</v>
      </c>
      <c r="C269" s="165" t="s">
        <v>0</v>
      </c>
      <c r="D269" s="166" t="str">
        <f t="shared" si="45"/>
        <v>专用物耗</v>
      </c>
      <c r="E269" s="167" t="s">
        <v>1535</v>
      </c>
      <c r="F269" s="167" t="s">
        <v>864</v>
      </c>
      <c r="G269" s="167"/>
      <c r="H269" s="167"/>
      <c r="I269" s="167" t="s">
        <v>1092</v>
      </c>
      <c r="J269" s="165" t="s">
        <v>821</v>
      </c>
      <c r="K269" s="167">
        <v>1</v>
      </c>
      <c r="L269" s="165" t="s">
        <v>825</v>
      </c>
      <c r="M269" s="166" t="str">
        <f t="shared" si="46"/>
        <v>常规</v>
      </c>
      <c r="N269" s="167"/>
      <c r="O269" s="169"/>
      <c r="P269" s="170"/>
      <c r="Q269" s="169"/>
      <c r="R269" s="167"/>
      <c r="S269" s="167" t="s">
        <v>870</v>
      </c>
      <c r="T269" s="167">
        <v>1</v>
      </c>
      <c r="U269" s="166" t="str">
        <f t="shared" si="47"/>
        <v>袋</v>
      </c>
      <c r="V269" s="167"/>
      <c r="W269" s="167"/>
      <c r="X269" s="166" t="str">
        <f t="shared" si="50"/>
        <v/>
      </c>
      <c r="Y269" s="166" t="str">
        <f t="shared" si="49"/>
        <v>袋</v>
      </c>
      <c r="Z269" s="167"/>
      <c r="AA269" s="167"/>
      <c r="AB269" s="167"/>
    </row>
    <row r="270" spans="1:28" s="175" customFormat="1" ht="19.899999999999999" customHeight="1" x14ac:dyDescent="0.15">
      <c r="A270" s="163">
        <v>267</v>
      </c>
      <c r="B270" s="167" t="s">
        <v>1356</v>
      </c>
      <c r="C270" s="165" t="s">
        <v>0</v>
      </c>
      <c r="D270" s="166" t="str">
        <f t="shared" si="45"/>
        <v>专用物耗</v>
      </c>
      <c r="E270" s="167" t="s">
        <v>1357</v>
      </c>
      <c r="F270" s="167">
        <v>140</v>
      </c>
      <c r="G270" s="167"/>
      <c r="H270" s="167"/>
      <c r="I270" s="167" t="s">
        <v>1093</v>
      </c>
      <c r="J270" s="165" t="s">
        <v>821</v>
      </c>
      <c r="K270" s="167">
        <v>1</v>
      </c>
      <c r="L270" s="165" t="s">
        <v>840</v>
      </c>
      <c r="M270" s="166" t="str">
        <f t="shared" si="46"/>
        <v>常规</v>
      </c>
      <c r="N270" s="167"/>
      <c r="O270" s="169"/>
      <c r="P270" s="170"/>
      <c r="Q270" s="169"/>
      <c r="R270" s="167"/>
      <c r="S270" s="167" t="s">
        <v>874</v>
      </c>
      <c r="T270" s="167">
        <v>1</v>
      </c>
      <c r="U270" s="166" t="str">
        <f t="shared" si="47"/>
        <v>件</v>
      </c>
      <c r="V270" s="167"/>
      <c r="W270" s="167"/>
      <c r="X270" s="166" t="str">
        <f t="shared" si="50"/>
        <v/>
      </c>
      <c r="Y270" s="166" t="str">
        <f t="shared" si="49"/>
        <v>件</v>
      </c>
      <c r="Z270" s="167"/>
      <c r="AA270" s="167"/>
      <c r="AB270" s="167"/>
    </row>
    <row r="271" spans="1:28" s="175" customFormat="1" ht="19.899999999999999" customHeight="1" x14ac:dyDescent="0.15">
      <c r="A271" s="163">
        <v>268</v>
      </c>
      <c r="B271" s="167" t="s">
        <v>1358</v>
      </c>
      <c r="C271" s="165" t="s">
        <v>0</v>
      </c>
      <c r="D271" s="166" t="str">
        <f t="shared" si="45"/>
        <v>专用物耗</v>
      </c>
      <c r="E271" s="167" t="s">
        <v>1359</v>
      </c>
      <c r="F271" s="167">
        <v>170</v>
      </c>
      <c r="G271" s="167"/>
      <c r="H271" s="167"/>
      <c r="I271" s="167" t="s">
        <v>1094</v>
      </c>
      <c r="J271" s="165" t="s">
        <v>821</v>
      </c>
      <c r="K271" s="167">
        <v>1</v>
      </c>
      <c r="L271" s="165" t="s">
        <v>840</v>
      </c>
      <c r="M271" s="166" t="str">
        <f t="shared" si="46"/>
        <v>常规</v>
      </c>
      <c r="N271" s="167"/>
      <c r="O271" s="169"/>
      <c r="P271" s="170"/>
      <c r="Q271" s="169"/>
      <c r="R271" s="167"/>
      <c r="S271" s="167" t="s">
        <v>875</v>
      </c>
      <c r="T271" s="167">
        <v>1</v>
      </c>
      <c r="U271" s="166" t="str">
        <f t="shared" si="47"/>
        <v>件</v>
      </c>
      <c r="V271" s="167"/>
      <c r="W271" s="167"/>
      <c r="X271" s="166" t="str">
        <f t="shared" si="50"/>
        <v/>
      </c>
      <c r="Y271" s="166" t="str">
        <f t="shared" si="49"/>
        <v>件</v>
      </c>
      <c r="Z271" s="167"/>
      <c r="AA271" s="167"/>
      <c r="AB271" s="167"/>
    </row>
    <row r="272" spans="1:28" s="175" customFormat="1" ht="19.899999999999999" customHeight="1" x14ac:dyDescent="0.15">
      <c r="A272" s="163">
        <v>269</v>
      </c>
      <c r="B272" s="167" t="s">
        <v>1360</v>
      </c>
      <c r="C272" s="165" t="s">
        <v>0</v>
      </c>
      <c r="D272" s="166" t="str">
        <f t="shared" si="45"/>
        <v>专用物耗</v>
      </c>
      <c r="E272" s="167"/>
      <c r="F272" s="167"/>
      <c r="G272" s="167"/>
      <c r="H272" s="167"/>
      <c r="I272" s="176" t="s">
        <v>1095</v>
      </c>
      <c r="J272" s="165" t="s">
        <v>821</v>
      </c>
      <c r="K272" s="167">
        <v>1</v>
      </c>
      <c r="L272" s="165" t="s">
        <v>822</v>
      </c>
      <c r="M272" s="166" t="str">
        <f t="shared" si="46"/>
        <v>常规</v>
      </c>
      <c r="N272" s="167"/>
      <c r="O272" s="169"/>
      <c r="P272" s="170"/>
      <c r="Q272" s="169"/>
      <c r="R272" s="167"/>
      <c r="S272" s="167" t="s">
        <v>876</v>
      </c>
      <c r="T272" s="167">
        <v>1</v>
      </c>
      <c r="U272" s="166" t="str">
        <f t="shared" si="47"/>
        <v>只</v>
      </c>
      <c r="V272" s="167"/>
      <c r="W272" s="167"/>
      <c r="X272" s="166" t="str">
        <f t="shared" si="50"/>
        <v/>
      </c>
      <c r="Y272" s="166" t="str">
        <f t="shared" si="49"/>
        <v>只</v>
      </c>
      <c r="Z272" s="167"/>
      <c r="AA272" s="167"/>
      <c r="AB272" s="167"/>
    </row>
    <row r="273" spans="1:28" s="175" customFormat="1" ht="19.899999999999999" customHeight="1" x14ac:dyDescent="0.15">
      <c r="A273" s="163">
        <v>270</v>
      </c>
      <c r="B273" s="167" t="s">
        <v>1361</v>
      </c>
      <c r="C273" s="165" t="s">
        <v>0</v>
      </c>
      <c r="D273" s="166" t="str">
        <f t="shared" si="45"/>
        <v>专用物耗</v>
      </c>
      <c r="E273" s="167" t="s">
        <v>1362</v>
      </c>
      <c r="F273" s="167" t="s">
        <v>865</v>
      </c>
      <c r="G273" s="167"/>
      <c r="H273" s="167"/>
      <c r="I273" s="176" t="s">
        <v>1096</v>
      </c>
      <c r="J273" s="165" t="s">
        <v>821</v>
      </c>
      <c r="K273" s="167">
        <v>9</v>
      </c>
      <c r="L273" s="165" t="s">
        <v>822</v>
      </c>
      <c r="M273" s="166" t="str">
        <f t="shared" si="46"/>
        <v>常规</v>
      </c>
      <c r="N273" s="167"/>
      <c r="O273" s="169"/>
      <c r="P273" s="170"/>
      <c r="Q273" s="169"/>
      <c r="R273" s="167"/>
      <c r="S273" s="167" t="s">
        <v>2070</v>
      </c>
      <c r="T273" s="167">
        <v>9</v>
      </c>
      <c r="U273" s="166" t="str">
        <f t="shared" si="47"/>
        <v>只</v>
      </c>
      <c r="V273" s="167"/>
      <c r="W273" s="167"/>
      <c r="X273" s="166" t="str">
        <f t="shared" si="50"/>
        <v/>
      </c>
      <c r="Y273" s="166" t="str">
        <f t="shared" si="49"/>
        <v>只</v>
      </c>
      <c r="Z273" s="167"/>
      <c r="AA273" s="167"/>
      <c r="AB273" s="167"/>
    </row>
    <row r="274" spans="1:28" s="175" customFormat="1" ht="19.899999999999999" customHeight="1" x14ac:dyDescent="0.15">
      <c r="A274" s="163">
        <v>271</v>
      </c>
      <c r="B274" s="167" t="s">
        <v>1295</v>
      </c>
      <c r="C274" s="165" t="s">
        <v>0</v>
      </c>
      <c r="D274" s="166" t="str">
        <f t="shared" si="45"/>
        <v>专用物耗</v>
      </c>
      <c r="E274" s="167"/>
      <c r="F274" s="167"/>
      <c r="G274" s="167"/>
      <c r="H274" s="167"/>
      <c r="I274" s="167" t="s">
        <v>1099</v>
      </c>
      <c r="J274" s="165" t="s">
        <v>821</v>
      </c>
      <c r="K274" s="167">
        <v>1</v>
      </c>
      <c r="L274" s="165" t="s">
        <v>840</v>
      </c>
      <c r="M274" s="166" t="str">
        <f t="shared" si="46"/>
        <v>常规</v>
      </c>
      <c r="N274" s="167"/>
      <c r="O274" s="169"/>
      <c r="P274" s="170"/>
      <c r="Q274" s="169"/>
      <c r="R274" s="167"/>
      <c r="S274" s="167" t="s">
        <v>895</v>
      </c>
      <c r="T274" s="167">
        <v>1</v>
      </c>
      <c r="U274" s="166" t="str">
        <f t="shared" si="47"/>
        <v>件</v>
      </c>
      <c r="V274" s="167"/>
      <c r="W274" s="167"/>
      <c r="X274" s="166" t="str">
        <f t="shared" si="50"/>
        <v/>
      </c>
      <c r="Y274" s="166" t="str">
        <f t="shared" si="49"/>
        <v>件</v>
      </c>
      <c r="Z274" s="167"/>
      <c r="AA274" s="167"/>
      <c r="AB274" s="167"/>
    </row>
    <row r="275" spans="1:28" s="175" customFormat="1" ht="19.899999999999999" customHeight="1" x14ac:dyDescent="0.15">
      <c r="A275" s="163">
        <v>272</v>
      </c>
      <c r="B275" s="167" t="s">
        <v>1364</v>
      </c>
      <c r="C275" s="165" t="s">
        <v>0</v>
      </c>
      <c r="D275" s="166" t="str">
        <f t="shared" si="45"/>
        <v>专用物耗</v>
      </c>
      <c r="E275" s="167"/>
      <c r="F275" s="167"/>
      <c r="G275" s="167"/>
      <c r="H275" s="167"/>
      <c r="I275" s="167" t="s">
        <v>1100</v>
      </c>
      <c r="J275" s="165" t="s">
        <v>821</v>
      </c>
      <c r="K275" s="167">
        <v>1</v>
      </c>
      <c r="L275" s="165" t="s">
        <v>840</v>
      </c>
      <c r="M275" s="166" t="str">
        <f t="shared" si="46"/>
        <v>常规</v>
      </c>
      <c r="N275" s="167"/>
      <c r="O275" s="169"/>
      <c r="P275" s="170"/>
      <c r="Q275" s="169"/>
      <c r="R275" s="167"/>
      <c r="S275" s="167" t="s">
        <v>896</v>
      </c>
      <c r="T275" s="167">
        <v>1</v>
      </c>
      <c r="U275" s="166" t="str">
        <f t="shared" si="47"/>
        <v>件</v>
      </c>
      <c r="V275" s="167"/>
      <c r="W275" s="167"/>
      <c r="X275" s="166" t="str">
        <f t="shared" si="50"/>
        <v/>
      </c>
      <c r="Y275" s="166" t="str">
        <f t="shared" si="49"/>
        <v>件</v>
      </c>
      <c r="Z275" s="167"/>
      <c r="AA275" s="167"/>
      <c r="AB275" s="167"/>
    </row>
    <row r="276" spans="1:28" s="46" customFormat="1" ht="19.899999999999999" customHeight="1" x14ac:dyDescent="0.15">
      <c r="A276" s="34">
        <v>273</v>
      </c>
      <c r="B276" s="52" t="s">
        <v>2533</v>
      </c>
      <c r="C276" s="29" t="s">
        <v>0</v>
      </c>
      <c r="D276" s="32" t="str">
        <f t="shared" si="45"/>
        <v>专用物耗</v>
      </c>
      <c r="E276" s="15"/>
      <c r="F276" s="52" t="s">
        <v>1365</v>
      </c>
      <c r="G276" s="15"/>
      <c r="H276" s="15"/>
      <c r="I276" s="15" t="s">
        <v>911</v>
      </c>
      <c r="J276" s="29" t="s">
        <v>821</v>
      </c>
      <c r="K276" s="15">
        <v>7</v>
      </c>
      <c r="L276" s="29" t="s">
        <v>826</v>
      </c>
      <c r="M276" s="32" t="str">
        <f t="shared" si="46"/>
        <v>常规</v>
      </c>
      <c r="N276" s="15"/>
      <c r="O276" s="137" t="s">
        <v>2259</v>
      </c>
      <c r="P276" s="134" t="s">
        <v>2238</v>
      </c>
      <c r="Q276" s="137"/>
      <c r="R276" s="15"/>
      <c r="S276" s="15" t="s">
        <v>2205</v>
      </c>
      <c r="T276" s="15">
        <v>5</v>
      </c>
      <c r="U276" s="32" t="str">
        <f t="shared" si="47"/>
        <v>盒</v>
      </c>
      <c r="V276" s="15"/>
      <c r="W276" s="15"/>
      <c r="X276" s="32">
        <f t="shared" si="50"/>
        <v>2</v>
      </c>
      <c r="Y276" s="32" t="str">
        <f t="shared" si="49"/>
        <v>盒</v>
      </c>
      <c r="Z276" s="15"/>
      <c r="AA276" s="15"/>
      <c r="AB276" s="35"/>
    </row>
    <row r="277" spans="1:28" s="175" customFormat="1" ht="19.899999999999999" customHeight="1" x14ac:dyDescent="0.15">
      <c r="A277" s="163">
        <v>274</v>
      </c>
      <c r="B277" s="176" t="s">
        <v>1366</v>
      </c>
      <c r="C277" s="165" t="s">
        <v>0</v>
      </c>
      <c r="D277" s="166" t="str">
        <f t="shared" si="45"/>
        <v>专用物耗</v>
      </c>
      <c r="E277" s="167"/>
      <c r="F277" s="176" t="s">
        <v>877</v>
      </c>
      <c r="G277" s="167"/>
      <c r="H277" s="167"/>
      <c r="I277" s="167" t="s">
        <v>911</v>
      </c>
      <c r="J277" s="165" t="s">
        <v>821</v>
      </c>
      <c r="K277" s="167">
        <v>3</v>
      </c>
      <c r="L277" s="165" t="s">
        <v>825</v>
      </c>
      <c r="M277" s="166" t="str">
        <f t="shared" si="46"/>
        <v>常规</v>
      </c>
      <c r="N277" s="167"/>
      <c r="O277" s="169" t="s">
        <v>2259</v>
      </c>
      <c r="P277" s="170" t="s">
        <v>2236</v>
      </c>
      <c r="Q277" s="169"/>
      <c r="R277" s="167"/>
      <c r="S277" s="167" t="s">
        <v>2170</v>
      </c>
      <c r="T277" s="167">
        <v>3</v>
      </c>
      <c r="U277" s="166" t="str">
        <f t="shared" si="47"/>
        <v>袋</v>
      </c>
      <c r="V277" s="167"/>
      <c r="W277" s="167"/>
      <c r="X277" s="166" t="str">
        <f t="shared" si="50"/>
        <v/>
      </c>
      <c r="Y277" s="166" t="str">
        <f t="shared" si="49"/>
        <v>袋</v>
      </c>
      <c r="Z277" s="167"/>
      <c r="AA277" s="167"/>
      <c r="AB277" s="167"/>
    </row>
    <row r="278" spans="1:28" s="175" customFormat="1" ht="19.899999999999999" customHeight="1" x14ac:dyDescent="0.15">
      <c r="A278" s="163">
        <v>275</v>
      </c>
      <c r="B278" s="176" t="s">
        <v>1366</v>
      </c>
      <c r="C278" s="165" t="s">
        <v>0</v>
      </c>
      <c r="D278" s="166" t="str">
        <f t="shared" si="45"/>
        <v>专用物耗</v>
      </c>
      <c r="E278" s="167"/>
      <c r="F278" s="176" t="s">
        <v>878</v>
      </c>
      <c r="G278" s="167"/>
      <c r="H278" s="167"/>
      <c r="I278" s="167" t="s">
        <v>911</v>
      </c>
      <c r="J278" s="165" t="s">
        <v>821</v>
      </c>
      <c r="K278" s="167">
        <v>3</v>
      </c>
      <c r="L278" s="165" t="s">
        <v>825</v>
      </c>
      <c r="M278" s="166" t="str">
        <f t="shared" si="46"/>
        <v>常规</v>
      </c>
      <c r="N278" s="167"/>
      <c r="O278" s="169" t="s">
        <v>2259</v>
      </c>
      <c r="P278" s="170" t="s">
        <v>2236</v>
      </c>
      <c r="Q278" s="169"/>
      <c r="R278" s="167"/>
      <c r="S278" s="167" t="s">
        <v>1367</v>
      </c>
      <c r="T278" s="167">
        <v>3</v>
      </c>
      <c r="U278" s="166" t="str">
        <f t="shared" si="47"/>
        <v>袋</v>
      </c>
      <c r="V278" s="167"/>
      <c r="W278" s="167"/>
      <c r="X278" s="166" t="str">
        <f t="shared" si="50"/>
        <v/>
      </c>
      <c r="Y278" s="166" t="str">
        <f t="shared" si="49"/>
        <v>袋</v>
      </c>
      <c r="Z278" s="167"/>
      <c r="AA278" s="167"/>
      <c r="AB278" s="167"/>
    </row>
    <row r="279" spans="1:28" s="175" customFormat="1" ht="19.899999999999999" customHeight="1" x14ac:dyDescent="0.15">
      <c r="A279" s="163">
        <v>276</v>
      </c>
      <c r="B279" s="176" t="s">
        <v>1301</v>
      </c>
      <c r="C279" s="165" t="s">
        <v>0</v>
      </c>
      <c r="D279" s="166" t="str">
        <f t="shared" si="45"/>
        <v>专用物耗</v>
      </c>
      <c r="E279" s="167" t="s">
        <v>1368</v>
      </c>
      <c r="F279" s="176" t="s">
        <v>879</v>
      </c>
      <c r="G279" s="167"/>
      <c r="H279" s="167"/>
      <c r="I279" s="167" t="s">
        <v>912</v>
      </c>
      <c r="J279" s="165" t="s">
        <v>821</v>
      </c>
      <c r="K279" s="167">
        <v>4</v>
      </c>
      <c r="L279" s="165" t="s">
        <v>826</v>
      </c>
      <c r="M279" s="166" t="str">
        <f t="shared" si="46"/>
        <v>常规</v>
      </c>
      <c r="N279" s="167"/>
      <c r="O279" s="169" t="s">
        <v>2262</v>
      </c>
      <c r="P279" s="170" t="s">
        <v>2239</v>
      </c>
      <c r="Q279" s="169"/>
      <c r="R279" s="167"/>
      <c r="S279" s="167" t="s">
        <v>1369</v>
      </c>
      <c r="T279" s="167">
        <v>4</v>
      </c>
      <c r="U279" s="166" t="str">
        <f t="shared" si="47"/>
        <v>盒</v>
      </c>
      <c r="V279" s="167"/>
      <c r="W279" s="167"/>
      <c r="X279" s="166" t="str">
        <f t="shared" si="50"/>
        <v/>
      </c>
      <c r="Y279" s="166" t="str">
        <f t="shared" si="49"/>
        <v>盒</v>
      </c>
      <c r="Z279" s="167"/>
      <c r="AA279" s="167"/>
      <c r="AB279" s="167"/>
    </row>
    <row r="280" spans="1:28" s="175" customFormat="1" ht="19.899999999999999" customHeight="1" x14ac:dyDescent="0.15">
      <c r="A280" s="163">
        <v>277</v>
      </c>
      <c r="B280" s="176" t="s">
        <v>1370</v>
      </c>
      <c r="C280" s="165" t="s">
        <v>0</v>
      </c>
      <c r="D280" s="166" t="str">
        <f t="shared" si="45"/>
        <v>专用物耗</v>
      </c>
      <c r="E280" s="167"/>
      <c r="F280" s="176" t="s">
        <v>1536</v>
      </c>
      <c r="G280" s="167"/>
      <c r="H280" s="167"/>
      <c r="I280" s="177" t="s">
        <v>1101</v>
      </c>
      <c r="J280" s="165" t="s">
        <v>821</v>
      </c>
      <c r="K280" s="167">
        <v>1000</v>
      </c>
      <c r="L280" s="165" t="s">
        <v>822</v>
      </c>
      <c r="M280" s="166" t="str">
        <f t="shared" si="46"/>
        <v>常规</v>
      </c>
      <c r="N280" s="167"/>
      <c r="O280" s="169" t="s">
        <v>2259</v>
      </c>
      <c r="P280" s="170" t="s">
        <v>2238</v>
      </c>
      <c r="Q280" s="169"/>
      <c r="R280" s="167"/>
      <c r="S280" s="167" t="s">
        <v>2232</v>
      </c>
      <c r="T280" s="167">
        <v>1000</v>
      </c>
      <c r="U280" s="166" t="str">
        <f t="shared" si="47"/>
        <v>只</v>
      </c>
      <c r="V280" s="167"/>
      <c r="W280" s="167"/>
      <c r="X280" s="166" t="str">
        <f t="shared" si="50"/>
        <v/>
      </c>
      <c r="Y280" s="166" t="str">
        <f t="shared" si="49"/>
        <v>只</v>
      </c>
      <c r="Z280" s="167"/>
      <c r="AA280" s="167"/>
      <c r="AB280" s="167"/>
    </row>
    <row r="281" spans="1:28" s="175" customFormat="1" ht="19.899999999999999" customHeight="1" x14ac:dyDescent="0.15">
      <c r="A281" s="163">
        <v>278</v>
      </c>
      <c r="B281" s="176" t="s">
        <v>1371</v>
      </c>
      <c r="C281" s="165" t="s">
        <v>0</v>
      </c>
      <c r="D281" s="166" t="str">
        <f t="shared" si="45"/>
        <v>专用物耗</v>
      </c>
      <c r="E281" s="167"/>
      <c r="F281" s="176"/>
      <c r="G281" s="167"/>
      <c r="H281" s="167"/>
      <c r="I281" s="177" t="s">
        <v>1102</v>
      </c>
      <c r="J281" s="165" t="s">
        <v>821</v>
      </c>
      <c r="K281" s="167">
        <v>0.5</v>
      </c>
      <c r="L281" s="165" t="s">
        <v>884</v>
      </c>
      <c r="M281" s="166" t="str">
        <f t="shared" si="46"/>
        <v>常规</v>
      </c>
      <c r="N281" s="167"/>
      <c r="O281" s="169"/>
      <c r="P281" s="170"/>
      <c r="Q281" s="169"/>
      <c r="R281" s="167"/>
      <c r="S281" s="167" t="s">
        <v>2233</v>
      </c>
      <c r="T281" s="167">
        <v>0.5</v>
      </c>
      <c r="U281" s="166" t="str">
        <f t="shared" si="47"/>
        <v>m</v>
      </c>
      <c r="V281" s="167"/>
      <c r="W281" s="167"/>
      <c r="X281" s="166" t="str">
        <f t="shared" si="50"/>
        <v/>
      </c>
      <c r="Y281" s="166" t="str">
        <f t="shared" si="49"/>
        <v>m</v>
      </c>
      <c r="Z281" s="167"/>
      <c r="AA281" s="167"/>
      <c r="AB281" s="167"/>
    </row>
    <row r="282" spans="1:28" s="175" customFormat="1" ht="19.899999999999999" customHeight="1" x14ac:dyDescent="0.15">
      <c r="A282" s="163">
        <v>279</v>
      </c>
      <c r="B282" s="176" t="s">
        <v>1372</v>
      </c>
      <c r="C282" s="165" t="s">
        <v>0</v>
      </c>
      <c r="D282" s="166" t="str">
        <f t="shared" si="45"/>
        <v>专用物耗</v>
      </c>
      <c r="E282" s="167" t="s">
        <v>1373</v>
      </c>
      <c r="F282" s="167">
        <v>66</v>
      </c>
      <c r="G282" s="167"/>
      <c r="H282" s="167"/>
      <c r="I282" s="177" t="s">
        <v>1103</v>
      </c>
      <c r="J282" s="165" t="s">
        <v>821</v>
      </c>
      <c r="K282" s="167">
        <v>1</v>
      </c>
      <c r="L282" s="165" t="s">
        <v>827</v>
      </c>
      <c r="M282" s="166" t="str">
        <f t="shared" si="46"/>
        <v>常规</v>
      </c>
      <c r="N282" s="167"/>
      <c r="O282" s="169"/>
      <c r="P282" s="170"/>
      <c r="Q282" s="169"/>
      <c r="R282" s="167"/>
      <c r="S282" s="167" t="s">
        <v>888</v>
      </c>
      <c r="T282" s="167">
        <v>1</v>
      </c>
      <c r="U282" s="166" t="str">
        <f t="shared" si="47"/>
        <v>套</v>
      </c>
      <c r="V282" s="167"/>
      <c r="W282" s="167"/>
      <c r="X282" s="166" t="str">
        <f t="shared" si="50"/>
        <v/>
      </c>
      <c r="Y282" s="166" t="str">
        <f t="shared" si="49"/>
        <v>套</v>
      </c>
      <c r="Z282" s="167"/>
      <c r="AA282" s="167"/>
      <c r="AB282" s="167"/>
    </row>
    <row r="283" spans="1:28" s="175" customFormat="1" ht="19.899999999999999" customHeight="1" x14ac:dyDescent="0.15">
      <c r="A283" s="163">
        <v>280</v>
      </c>
      <c r="B283" s="176" t="s">
        <v>1374</v>
      </c>
      <c r="C283" s="165" t="s">
        <v>0</v>
      </c>
      <c r="D283" s="166" t="str">
        <f t="shared" si="45"/>
        <v>专用物耗</v>
      </c>
      <c r="E283" s="167"/>
      <c r="F283" s="176" t="s">
        <v>880</v>
      </c>
      <c r="G283" s="167"/>
      <c r="H283" s="167"/>
      <c r="I283" s="177" t="s">
        <v>1104</v>
      </c>
      <c r="J283" s="165" t="s">
        <v>821</v>
      </c>
      <c r="K283" s="167">
        <v>1</v>
      </c>
      <c r="L283" s="165" t="s">
        <v>840</v>
      </c>
      <c r="M283" s="166" t="str">
        <f t="shared" si="46"/>
        <v>常规</v>
      </c>
      <c r="N283" s="167"/>
      <c r="O283" s="169"/>
      <c r="P283" s="170"/>
      <c r="Q283" s="169"/>
      <c r="R283" s="167"/>
      <c r="S283" s="167" t="s">
        <v>889</v>
      </c>
      <c r="T283" s="167">
        <v>1</v>
      </c>
      <c r="U283" s="166" t="str">
        <f t="shared" si="47"/>
        <v>件</v>
      </c>
      <c r="V283" s="167"/>
      <c r="W283" s="167"/>
      <c r="X283" s="166" t="str">
        <f t="shared" si="50"/>
        <v/>
      </c>
      <c r="Y283" s="166" t="str">
        <f t="shared" si="49"/>
        <v>件</v>
      </c>
      <c r="Z283" s="167"/>
      <c r="AA283" s="167"/>
      <c r="AB283" s="167"/>
    </row>
    <row r="284" spans="1:28" s="175" customFormat="1" ht="19.899999999999999" customHeight="1" x14ac:dyDescent="0.15">
      <c r="A284" s="163">
        <v>281</v>
      </c>
      <c r="B284" s="176" t="s">
        <v>1383</v>
      </c>
      <c r="C284" s="165" t="s">
        <v>0</v>
      </c>
      <c r="D284" s="166" t="str">
        <f t="shared" si="45"/>
        <v>专用物耗</v>
      </c>
      <c r="E284" s="167" t="s">
        <v>1384</v>
      </c>
      <c r="F284" s="176" t="s">
        <v>902</v>
      </c>
      <c r="G284" s="167"/>
      <c r="H284" s="167"/>
      <c r="I284" s="177" t="s">
        <v>901</v>
      </c>
      <c r="J284" s="165" t="s">
        <v>821</v>
      </c>
      <c r="K284" s="167">
        <v>6</v>
      </c>
      <c r="L284" s="165" t="s">
        <v>826</v>
      </c>
      <c r="M284" s="166" t="str">
        <f t="shared" si="46"/>
        <v>常规</v>
      </c>
      <c r="N284" s="167"/>
      <c r="O284" s="169" t="s">
        <v>2248</v>
      </c>
      <c r="P284" s="170" t="s">
        <v>2239</v>
      </c>
      <c r="Q284" s="169"/>
      <c r="R284" s="167"/>
      <c r="S284" s="167" t="s">
        <v>1385</v>
      </c>
      <c r="T284" s="167">
        <v>6</v>
      </c>
      <c r="U284" s="166" t="str">
        <f t="shared" si="47"/>
        <v>盒</v>
      </c>
      <c r="V284" s="167"/>
      <c r="W284" s="167"/>
      <c r="X284" s="166" t="str">
        <f t="shared" si="50"/>
        <v/>
      </c>
      <c r="Y284" s="166" t="str">
        <f t="shared" si="49"/>
        <v>盒</v>
      </c>
      <c r="Z284" s="167"/>
      <c r="AA284" s="167"/>
      <c r="AB284" s="167"/>
    </row>
    <row r="285" spans="1:28" s="175" customFormat="1" ht="19.899999999999999" customHeight="1" x14ac:dyDescent="0.15">
      <c r="A285" s="163">
        <v>282</v>
      </c>
      <c r="B285" s="176" t="s">
        <v>1386</v>
      </c>
      <c r="C285" s="165" t="s">
        <v>0</v>
      </c>
      <c r="D285" s="166" t="str">
        <f t="shared" si="45"/>
        <v>专用物耗</v>
      </c>
      <c r="E285" s="167"/>
      <c r="F285" s="176"/>
      <c r="G285" s="167"/>
      <c r="H285" s="167"/>
      <c r="I285" s="176" t="s">
        <v>903</v>
      </c>
      <c r="J285" s="165" t="s">
        <v>1387</v>
      </c>
      <c r="K285" s="167">
        <v>1</v>
      </c>
      <c r="L285" s="165" t="s">
        <v>822</v>
      </c>
      <c r="M285" s="166" t="str">
        <f t="shared" si="46"/>
        <v>常规</v>
      </c>
      <c r="N285" s="167"/>
      <c r="O285" s="169" t="s">
        <v>2247</v>
      </c>
      <c r="P285" s="170" t="s">
        <v>2235</v>
      </c>
      <c r="Q285" s="169"/>
      <c r="R285" s="167"/>
      <c r="S285" s="167" t="s">
        <v>981</v>
      </c>
      <c r="T285" s="167">
        <v>1</v>
      </c>
      <c r="U285" s="166" t="str">
        <f t="shared" si="47"/>
        <v>只</v>
      </c>
      <c r="V285" s="167"/>
      <c r="W285" s="167"/>
      <c r="X285" s="166" t="str">
        <f t="shared" si="50"/>
        <v/>
      </c>
      <c r="Y285" s="166" t="str">
        <f t="shared" si="49"/>
        <v>只</v>
      </c>
      <c r="Z285" s="167"/>
      <c r="AA285" s="167"/>
      <c r="AB285" s="172"/>
    </row>
    <row r="286" spans="1:28" s="46" customFormat="1" ht="19.899999999999999" customHeight="1" x14ac:dyDescent="0.15">
      <c r="A286" s="34">
        <v>283</v>
      </c>
      <c r="B286" s="52" t="s">
        <v>1386</v>
      </c>
      <c r="C286" s="29" t="s">
        <v>0</v>
      </c>
      <c r="D286" s="32" t="str">
        <f t="shared" ref="D286" si="51">IF(C286="J1","常规化学品",IF(C286="J2","危险化学品",IF(C286="J3","标准物质",IF(C286="J4","玻璃仪器",IF(C286="J5","实验气体",IF(C286="J6","专用物耗",IF(C286="J7","备品配件",IF(C286="J8","专用工具",IF(C286="Z1","劳保物资",IF(C286="Z2","办公耗材",IF(C286="Z3","食品饮料",IF(C286="Z4","特殊物耗",IF(C286="Z5","通用物耗",IF(C286="Z6","通用工具",""))))))))))))))</f>
        <v>专用物耗</v>
      </c>
      <c r="E286" s="15"/>
      <c r="F286" s="52"/>
      <c r="G286" s="15"/>
      <c r="H286" s="15"/>
      <c r="I286" s="15" t="s">
        <v>2206</v>
      </c>
      <c r="J286" s="29" t="s">
        <v>1387</v>
      </c>
      <c r="K286" s="15">
        <v>1</v>
      </c>
      <c r="L286" s="29" t="s">
        <v>822</v>
      </c>
      <c r="M286" s="32" t="str">
        <f t="shared" ref="M286" si="52">IF(D286="危险化学品","五双",IF(D286="标准物资","严控",IF(D286&lt;&gt;"","常规","")))</f>
        <v>常规</v>
      </c>
      <c r="N286" s="15"/>
      <c r="O286" s="137" t="s">
        <v>2247</v>
      </c>
      <c r="P286" s="134" t="s">
        <v>2235</v>
      </c>
      <c r="Q286" s="137"/>
      <c r="R286" s="15"/>
      <c r="S286" s="15"/>
      <c r="T286" s="15"/>
      <c r="U286" s="32" t="str">
        <f t="shared" ref="U286" si="53">IF(L286="","",L286)</f>
        <v>只</v>
      </c>
      <c r="V286" s="15"/>
      <c r="W286" s="15"/>
      <c r="X286" s="32">
        <f t="shared" ref="X286" si="54">IF((K286-T286)&lt;=0,"",K286-T286)</f>
        <v>1</v>
      </c>
      <c r="Y286" s="32" t="str">
        <f t="shared" ref="Y286" si="55">IF(L286="","",L286)</f>
        <v>只</v>
      </c>
      <c r="Z286" s="15"/>
      <c r="AA286" s="15"/>
      <c r="AB286" s="35"/>
    </row>
    <row r="287" spans="1:28" s="175" customFormat="1" ht="19.899999999999999" customHeight="1" x14ac:dyDescent="0.15">
      <c r="A287" s="163">
        <v>284</v>
      </c>
      <c r="B287" s="176" t="s">
        <v>1388</v>
      </c>
      <c r="C287" s="165" t="s">
        <v>0</v>
      </c>
      <c r="D287" s="166" t="str">
        <f t="shared" si="45"/>
        <v>专用物耗</v>
      </c>
      <c r="E287" s="167"/>
      <c r="F287" s="176" t="s">
        <v>1389</v>
      </c>
      <c r="G287" s="167"/>
      <c r="H287" s="167"/>
      <c r="I287" s="176" t="s">
        <v>904</v>
      </c>
      <c r="J287" s="165" t="s">
        <v>821</v>
      </c>
      <c r="K287" s="167">
        <v>4</v>
      </c>
      <c r="L287" s="165" t="s">
        <v>825</v>
      </c>
      <c r="M287" s="166" t="str">
        <f t="shared" si="46"/>
        <v>常规</v>
      </c>
      <c r="N287" s="167"/>
      <c r="O287" s="169"/>
      <c r="P287" s="170"/>
      <c r="Q287" s="169"/>
      <c r="R287" s="167"/>
      <c r="S287" s="167" t="s">
        <v>1390</v>
      </c>
      <c r="T287" s="167">
        <v>4</v>
      </c>
      <c r="U287" s="166" t="str">
        <f t="shared" si="47"/>
        <v>袋</v>
      </c>
      <c r="V287" s="167"/>
      <c r="W287" s="167"/>
      <c r="X287" s="166" t="str">
        <f t="shared" si="50"/>
        <v/>
      </c>
      <c r="Y287" s="166" t="str">
        <f t="shared" si="49"/>
        <v>袋</v>
      </c>
      <c r="Z287" s="167"/>
      <c r="AA287" s="167"/>
      <c r="AB287" s="167"/>
    </row>
    <row r="288" spans="1:28" s="175" customFormat="1" ht="19.899999999999999" customHeight="1" x14ac:dyDescent="0.15">
      <c r="A288" s="163">
        <v>285</v>
      </c>
      <c r="B288" s="176" t="s">
        <v>1391</v>
      </c>
      <c r="C288" s="165" t="s">
        <v>0</v>
      </c>
      <c r="D288" s="166" t="str">
        <f t="shared" si="45"/>
        <v>专用物耗</v>
      </c>
      <c r="E288" s="167"/>
      <c r="F288" s="176"/>
      <c r="G288" s="167"/>
      <c r="H288" s="167"/>
      <c r="I288" s="176" t="s">
        <v>905</v>
      </c>
      <c r="J288" s="165" t="s">
        <v>821</v>
      </c>
      <c r="K288" s="167">
        <v>1</v>
      </c>
      <c r="L288" s="165" t="s">
        <v>840</v>
      </c>
      <c r="M288" s="166" t="str">
        <f t="shared" si="46"/>
        <v>常规</v>
      </c>
      <c r="N288" s="167"/>
      <c r="O288" s="169"/>
      <c r="P288" s="170"/>
      <c r="Q288" s="169"/>
      <c r="R288" s="167"/>
      <c r="S288" s="167" t="s">
        <v>907</v>
      </c>
      <c r="T288" s="167">
        <v>1</v>
      </c>
      <c r="U288" s="166" t="str">
        <f t="shared" si="47"/>
        <v>件</v>
      </c>
      <c r="V288" s="167"/>
      <c r="W288" s="167"/>
      <c r="X288" s="166" t="str">
        <f t="shared" si="50"/>
        <v/>
      </c>
      <c r="Y288" s="166" t="str">
        <f t="shared" si="49"/>
        <v>件</v>
      </c>
      <c r="Z288" s="167"/>
      <c r="AA288" s="167"/>
      <c r="AB288" s="167"/>
    </row>
    <row r="289" spans="1:28" s="175" customFormat="1" ht="19.899999999999999" customHeight="1" x14ac:dyDescent="0.15">
      <c r="A289" s="163">
        <v>286</v>
      </c>
      <c r="B289" s="176" t="s">
        <v>1392</v>
      </c>
      <c r="C289" s="165" t="s">
        <v>0</v>
      </c>
      <c r="D289" s="166" t="str">
        <f t="shared" si="45"/>
        <v>专用物耗</v>
      </c>
      <c r="E289" s="167"/>
      <c r="F289" s="176"/>
      <c r="G289" s="167"/>
      <c r="H289" s="167"/>
      <c r="I289" s="176" t="s">
        <v>906</v>
      </c>
      <c r="J289" s="165" t="s">
        <v>821</v>
      </c>
      <c r="K289" s="167">
        <v>1</v>
      </c>
      <c r="L289" s="165" t="s">
        <v>840</v>
      </c>
      <c r="M289" s="166" t="str">
        <f t="shared" si="46"/>
        <v>常规</v>
      </c>
      <c r="N289" s="167"/>
      <c r="O289" s="169"/>
      <c r="P289" s="170"/>
      <c r="Q289" s="169"/>
      <c r="R289" s="167"/>
      <c r="S289" s="167" t="s">
        <v>908</v>
      </c>
      <c r="T289" s="167">
        <v>1</v>
      </c>
      <c r="U289" s="166" t="str">
        <f t="shared" si="47"/>
        <v>件</v>
      </c>
      <c r="V289" s="167"/>
      <c r="W289" s="167"/>
      <c r="X289" s="166" t="str">
        <f t="shared" si="50"/>
        <v/>
      </c>
      <c r="Y289" s="166" t="str">
        <f t="shared" si="49"/>
        <v>件</v>
      </c>
      <c r="Z289" s="167"/>
      <c r="AA289" s="167"/>
      <c r="AB289" s="167"/>
    </row>
    <row r="290" spans="1:28" s="175" customFormat="1" ht="19.899999999999999" customHeight="1" x14ac:dyDescent="0.15">
      <c r="A290" s="163">
        <v>287</v>
      </c>
      <c r="B290" s="176" t="s">
        <v>1393</v>
      </c>
      <c r="C290" s="165" t="s">
        <v>0</v>
      </c>
      <c r="D290" s="166" t="str">
        <f t="shared" si="45"/>
        <v>专用物耗</v>
      </c>
      <c r="E290" s="167" t="s">
        <v>1394</v>
      </c>
      <c r="F290" s="176" t="s">
        <v>1395</v>
      </c>
      <c r="G290" s="167"/>
      <c r="H290" s="167"/>
      <c r="I290" s="167" t="s">
        <v>909</v>
      </c>
      <c r="J290" s="165" t="s">
        <v>821</v>
      </c>
      <c r="K290" s="167">
        <v>1</v>
      </c>
      <c r="L290" s="165" t="s">
        <v>825</v>
      </c>
      <c r="M290" s="166" t="str">
        <f t="shared" si="46"/>
        <v>常规</v>
      </c>
      <c r="N290" s="167"/>
      <c r="O290" s="169"/>
      <c r="P290" s="170"/>
      <c r="Q290" s="169"/>
      <c r="R290" s="167"/>
      <c r="S290" s="167" t="s">
        <v>916</v>
      </c>
      <c r="T290" s="167">
        <v>1</v>
      </c>
      <c r="U290" s="166" t="str">
        <f t="shared" si="47"/>
        <v>袋</v>
      </c>
      <c r="V290" s="167"/>
      <c r="W290" s="167"/>
      <c r="X290" s="166" t="str">
        <f t="shared" si="50"/>
        <v/>
      </c>
      <c r="Y290" s="166" t="str">
        <f t="shared" si="49"/>
        <v>袋</v>
      </c>
      <c r="Z290" s="167"/>
      <c r="AA290" s="167"/>
      <c r="AB290" s="167"/>
    </row>
    <row r="291" spans="1:28" s="175" customFormat="1" ht="19.899999999999999" customHeight="1" x14ac:dyDescent="0.15">
      <c r="A291" s="163">
        <v>288</v>
      </c>
      <c r="B291" s="176" t="s">
        <v>1396</v>
      </c>
      <c r="C291" s="165" t="s">
        <v>0</v>
      </c>
      <c r="D291" s="166" t="str">
        <f t="shared" si="45"/>
        <v>专用物耗</v>
      </c>
      <c r="E291" s="167" t="s">
        <v>1397</v>
      </c>
      <c r="F291" s="176" t="s">
        <v>1398</v>
      </c>
      <c r="G291" s="167"/>
      <c r="H291" s="167"/>
      <c r="I291" s="167" t="s">
        <v>910</v>
      </c>
      <c r="J291" s="165" t="s">
        <v>821</v>
      </c>
      <c r="K291" s="167">
        <v>6</v>
      </c>
      <c r="L291" s="165" t="s">
        <v>826</v>
      </c>
      <c r="M291" s="166" t="str">
        <f t="shared" si="46"/>
        <v>常规</v>
      </c>
      <c r="N291" s="167"/>
      <c r="O291" s="169" t="s">
        <v>2248</v>
      </c>
      <c r="P291" s="170" t="s">
        <v>2239</v>
      </c>
      <c r="Q291" s="169"/>
      <c r="R291" s="167"/>
      <c r="S291" s="167" t="s">
        <v>1399</v>
      </c>
      <c r="T291" s="167">
        <v>6</v>
      </c>
      <c r="U291" s="166" t="str">
        <f t="shared" si="47"/>
        <v>盒</v>
      </c>
      <c r="V291" s="167"/>
      <c r="W291" s="167"/>
      <c r="X291" s="166" t="str">
        <f t="shared" si="50"/>
        <v/>
      </c>
      <c r="Y291" s="166" t="str">
        <f t="shared" si="49"/>
        <v>盒</v>
      </c>
      <c r="Z291" s="167"/>
      <c r="AA291" s="167"/>
      <c r="AB291" s="167"/>
    </row>
    <row r="292" spans="1:28" s="175" customFormat="1" ht="19.899999999999999" customHeight="1" x14ac:dyDescent="0.15">
      <c r="A292" s="163">
        <v>289</v>
      </c>
      <c r="B292" s="176" t="s">
        <v>1401</v>
      </c>
      <c r="C292" s="165" t="s">
        <v>0</v>
      </c>
      <c r="D292" s="166" t="str">
        <f t="shared" si="45"/>
        <v>专用物耗</v>
      </c>
      <c r="E292" s="167" t="s">
        <v>1402</v>
      </c>
      <c r="F292" s="176" t="s">
        <v>1403</v>
      </c>
      <c r="G292" s="167"/>
      <c r="H292" s="167"/>
      <c r="I292" s="167" t="s">
        <v>1105</v>
      </c>
      <c r="J292" s="165" t="s">
        <v>821</v>
      </c>
      <c r="K292" s="167">
        <v>1</v>
      </c>
      <c r="L292" s="165" t="s">
        <v>828</v>
      </c>
      <c r="M292" s="166" t="str">
        <f t="shared" si="46"/>
        <v>常规</v>
      </c>
      <c r="N292" s="167"/>
      <c r="O292" s="169" t="s">
        <v>2248</v>
      </c>
      <c r="P292" s="170" t="s">
        <v>2236</v>
      </c>
      <c r="Q292" s="169"/>
      <c r="R292" s="167"/>
      <c r="S292" s="167" t="s">
        <v>917</v>
      </c>
      <c r="T292" s="167">
        <v>1</v>
      </c>
      <c r="U292" s="166" t="str">
        <f t="shared" si="47"/>
        <v>包</v>
      </c>
      <c r="V292" s="167"/>
      <c r="W292" s="167"/>
      <c r="X292" s="166" t="str">
        <f t="shared" si="50"/>
        <v/>
      </c>
      <c r="Y292" s="166" t="str">
        <f t="shared" si="49"/>
        <v>包</v>
      </c>
      <c r="Z292" s="167"/>
      <c r="AA292" s="167"/>
      <c r="AB292" s="167"/>
    </row>
    <row r="293" spans="1:28" s="46" customFormat="1" ht="19.899999999999999" customHeight="1" x14ac:dyDescent="0.15">
      <c r="A293" s="34">
        <v>290</v>
      </c>
      <c r="B293" s="52" t="s">
        <v>1404</v>
      </c>
      <c r="C293" s="29" t="s">
        <v>0</v>
      </c>
      <c r="D293" s="32" t="str">
        <f t="shared" si="45"/>
        <v>专用物耗</v>
      </c>
      <c r="E293" s="15" t="s">
        <v>1402</v>
      </c>
      <c r="F293" s="52" t="s">
        <v>1405</v>
      </c>
      <c r="G293" s="15"/>
      <c r="H293" s="15"/>
      <c r="I293" s="15" t="s">
        <v>1106</v>
      </c>
      <c r="J293" s="29" t="s">
        <v>821</v>
      </c>
      <c r="K293" s="15">
        <v>1</v>
      </c>
      <c r="L293" s="29" t="s">
        <v>828</v>
      </c>
      <c r="M293" s="32" t="str">
        <f t="shared" si="46"/>
        <v>常规</v>
      </c>
      <c r="N293" s="15"/>
      <c r="O293" s="137" t="s">
        <v>2248</v>
      </c>
      <c r="P293" s="134" t="s">
        <v>2236</v>
      </c>
      <c r="Q293" s="137"/>
      <c r="R293" s="15"/>
      <c r="S293" s="15"/>
      <c r="T293" s="15"/>
      <c r="U293" s="32" t="str">
        <f t="shared" si="47"/>
        <v>包</v>
      </c>
      <c r="V293" s="15"/>
      <c r="W293" s="15"/>
      <c r="X293" s="32">
        <f t="shared" si="50"/>
        <v>1</v>
      </c>
      <c r="Y293" s="32" t="str">
        <f t="shared" si="49"/>
        <v>包</v>
      </c>
      <c r="Z293" s="15"/>
      <c r="AA293" s="15"/>
      <c r="AB293" s="15"/>
    </row>
    <row r="294" spans="1:28" s="175" customFormat="1" ht="19.899999999999999" customHeight="1" x14ac:dyDescent="0.15">
      <c r="A294" s="163">
        <v>291</v>
      </c>
      <c r="B294" s="176" t="s">
        <v>1406</v>
      </c>
      <c r="C294" s="165" t="s">
        <v>0</v>
      </c>
      <c r="D294" s="166" t="str">
        <f t="shared" si="45"/>
        <v>专用物耗</v>
      </c>
      <c r="E294" s="167" t="s">
        <v>1402</v>
      </c>
      <c r="F294" s="176" t="s">
        <v>1407</v>
      </c>
      <c r="G294" s="167"/>
      <c r="H294" s="167"/>
      <c r="I294" s="167" t="s">
        <v>1107</v>
      </c>
      <c r="J294" s="165" t="s">
        <v>821</v>
      </c>
      <c r="K294" s="167">
        <v>2</v>
      </c>
      <c r="L294" s="165" t="s">
        <v>828</v>
      </c>
      <c r="M294" s="166" t="str">
        <f t="shared" si="46"/>
        <v>常规</v>
      </c>
      <c r="N294" s="167"/>
      <c r="O294" s="169" t="s">
        <v>2248</v>
      </c>
      <c r="P294" s="170" t="s">
        <v>2236</v>
      </c>
      <c r="Q294" s="169"/>
      <c r="R294" s="167"/>
      <c r="S294" s="167" t="s">
        <v>2106</v>
      </c>
      <c r="T294" s="167">
        <v>2</v>
      </c>
      <c r="U294" s="166" t="str">
        <f t="shared" si="47"/>
        <v>包</v>
      </c>
      <c r="V294" s="167"/>
      <c r="W294" s="167"/>
      <c r="X294" s="166" t="str">
        <f t="shared" si="50"/>
        <v/>
      </c>
      <c r="Y294" s="166" t="str">
        <f t="shared" si="49"/>
        <v>包</v>
      </c>
      <c r="Z294" s="167"/>
      <c r="AA294" s="167"/>
      <c r="AB294" s="167"/>
    </row>
    <row r="295" spans="1:28" s="175" customFormat="1" ht="19.899999999999999" customHeight="1" x14ac:dyDescent="0.15">
      <c r="A295" s="163">
        <v>292</v>
      </c>
      <c r="B295" s="176" t="s">
        <v>1408</v>
      </c>
      <c r="C295" s="165" t="s">
        <v>0</v>
      </c>
      <c r="D295" s="166" t="str">
        <f t="shared" si="45"/>
        <v>专用物耗</v>
      </c>
      <c r="E295" s="167" t="s">
        <v>1409</v>
      </c>
      <c r="F295" s="176"/>
      <c r="G295" s="167"/>
      <c r="H295" s="167"/>
      <c r="I295" s="167" t="s">
        <v>1108</v>
      </c>
      <c r="J295" s="165" t="s">
        <v>821</v>
      </c>
      <c r="K295" s="167">
        <v>1</v>
      </c>
      <c r="L295" s="165" t="s">
        <v>822</v>
      </c>
      <c r="M295" s="166" t="str">
        <f t="shared" si="46"/>
        <v>常规</v>
      </c>
      <c r="N295" s="167"/>
      <c r="O295" s="169"/>
      <c r="P295" s="170"/>
      <c r="Q295" s="169"/>
      <c r="R295" s="167"/>
      <c r="S295" s="167" t="s">
        <v>926</v>
      </c>
      <c r="T295" s="167">
        <v>1</v>
      </c>
      <c r="U295" s="166" t="str">
        <f t="shared" si="47"/>
        <v>只</v>
      </c>
      <c r="V295" s="167"/>
      <c r="W295" s="167"/>
      <c r="X295" s="166" t="str">
        <f t="shared" si="50"/>
        <v/>
      </c>
      <c r="Y295" s="166" t="str">
        <f t="shared" si="49"/>
        <v>只</v>
      </c>
      <c r="Z295" s="167"/>
      <c r="AA295" s="167"/>
      <c r="AB295" s="167"/>
    </row>
    <row r="296" spans="1:28" s="175" customFormat="1" ht="19.899999999999999" customHeight="1" x14ac:dyDescent="0.15">
      <c r="A296" s="163">
        <v>293</v>
      </c>
      <c r="B296" s="176" t="s">
        <v>1319</v>
      </c>
      <c r="C296" s="165" t="s">
        <v>0</v>
      </c>
      <c r="D296" s="166" t="str">
        <f t="shared" si="45"/>
        <v>专用物耗</v>
      </c>
      <c r="E296" s="167"/>
      <c r="F296" s="176" t="s">
        <v>924</v>
      </c>
      <c r="G296" s="167"/>
      <c r="H296" s="167"/>
      <c r="I296" s="167" t="s">
        <v>1109</v>
      </c>
      <c r="J296" s="165" t="s">
        <v>821</v>
      </c>
      <c r="K296" s="167">
        <v>2</v>
      </c>
      <c r="L296" s="165" t="s">
        <v>822</v>
      </c>
      <c r="M296" s="166" t="str">
        <f t="shared" si="46"/>
        <v>常规</v>
      </c>
      <c r="N296" s="167"/>
      <c r="O296" s="169"/>
      <c r="P296" s="170"/>
      <c r="Q296" s="169"/>
      <c r="R296" s="167"/>
      <c r="S296" s="167" t="s">
        <v>927</v>
      </c>
      <c r="T296" s="167">
        <v>2</v>
      </c>
      <c r="U296" s="166" t="str">
        <f t="shared" si="47"/>
        <v>只</v>
      </c>
      <c r="V296" s="167"/>
      <c r="W296" s="167"/>
      <c r="X296" s="166" t="str">
        <f t="shared" si="50"/>
        <v/>
      </c>
      <c r="Y296" s="166" t="str">
        <f t="shared" si="49"/>
        <v>只</v>
      </c>
      <c r="Z296" s="167"/>
      <c r="AA296" s="167"/>
      <c r="AB296" s="167"/>
    </row>
    <row r="297" spans="1:28" s="175" customFormat="1" ht="19.899999999999999" customHeight="1" x14ac:dyDescent="0.15">
      <c r="A297" s="163">
        <v>294</v>
      </c>
      <c r="B297" s="176" t="s">
        <v>1410</v>
      </c>
      <c r="C297" s="165" t="s">
        <v>0</v>
      </c>
      <c r="D297" s="166" t="str">
        <f t="shared" si="45"/>
        <v>专用物耗</v>
      </c>
      <c r="E297" s="167"/>
      <c r="F297" s="176"/>
      <c r="G297" s="167"/>
      <c r="H297" s="167"/>
      <c r="I297" s="167" t="s">
        <v>1110</v>
      </c>
      <c r="J297" s="165" t="s">
        <v>821</v>
      </c>
      <c r="K297" s="167">
        <v>1</v>
      </c>
      <c r="L297" s="165" t="s">
        <v>825</v>
      </c>
      <c r="M297" s="166" t="str">
        <f t="shared" si="46"/>
        <v>常规</v>
      </c>
      <c r="N297" s="167"/>
      <c r="O297" s="169"/>
      <c r="P297" s="170"/>
      <c r="Q297" s="169"/>
      <c r="R297" s="167"/>
      <c r="S297" s="167" t="s">
        <v>928</v>
      </c>
      <c r="T297" s="167">
        <v>1</v>
      </c>
      <c r="U297" s="166" t="str">
        <f t="shared" si="47"/>
        <v>袋</v>
      </c>
      <c r="V297" s="167"/>
      <c r="W297" s="167"/>
      <c r="X297" s="166" t="str">
        <f t="shared" si="50"/>
        <v/>
      </c>
      <c r="Y297" s="166" t="str">
        <f t="shared" si="49"/>
        <v>袋</v>
      </c>
      <c r="Z297" s="167"/>
      <c r="AA297" s="167"/>
      <c r="AB297" s="167"/>
    </row>
    <row r="298" spans="1:28" s="46" customFormat="1" ht="19.899999999999999" customHeight="1" x14ac:dyDescent="0.15">
      <c r="A298" s="34">
        <v>295</v>
      </c>
      <c r="B298" s="52" t="s">
        <v>1411</v>
      </c>
      <c r="C298" s="29" t="s">
        <v>0</v>
      </c>
      <c r="D298" s="32" t="str">
        <f t="shared" si="45"/>
        <v>专用物耗</v>
      </c>
      <c r="E298" s="15" t="s">
        <v>1412</v>
      </c>
      <c r="F298" s="52" t="s">
        <v>925</v>
      </c>
      <c r="G298" s="15" t="s">
        <v>1413</v>
      </c>
      <c r="H298" s="15"/>
      <c r="I298" s="15" t="s">
        <v>1111</v>
      </c>
      <c r="J298" s="29" t="s">
        <v>821</v>
      </c>
      <c r="K298" s="15">
        <v>10</v>
      </c>
      <c r="L298" s="29" t="s">
        <v>823</v>
      </c>
      <c r="M298" s="32" t="str">
        <f t="shared" si="46"/>
        <v>常规</v>
      </c>
      <c r="N298" s="15"/>
      <c r="O298" s="137" t="s">
        <v>2248</v>
      </c>
      <c r="P298" s="134" t="s">
        <v>2236</v>
      </c>
      <c r="Q298" s="137"/>
      <c r="R298" s="15"/>
      <c r="S298" s="15" t="s">
        <v>929</v>
      </c>
      <c r="T298" s="15">
        <v>2</v>
      </c>
      <c r="U298" s="32" t="str">
        <f t="shared" si="47"/>
        <v>个</v>
      </c>
      <c r="V298" s="15"/>
      <c r="W298" s="15"/>
      <c r="X298" s="32">
        <f t="shared" si="50"/>
        <v>8</v>
      </c>
      <c r="Y298" s="32" t="str">
        <f t="shared" si="49"/>
        <v>个</v>
      </c>
      <c r="Z298" s="15"/>
      <c r="AA298" s="15"/>
      <c r="AB298" s="15"/>
    </row>
    <row r="299" spans="1:28" s="46" customFormat="1" ht="19.899999999999999" customHeight="1" x14ac:dyDescent="0.15">
      <c r="A299" s="34">
        <v>296</v>
      </c>
      <c r="B299" s="52" t="s">
        <v>1414</v>
      </c>
      <c r="C299" s="29" t="s">
        <v>0</v>
      </c>
      <c r="D299" s="32" t="str">
        <f t="shared" si="45"/>
        <v>专用物耗</v>
      </c>
      <c r="E299" s="15" t="s">
        <v>1415</v>
      </c>
      <c r="F299" s="52" t="s">
        <v>1537</v>
      </c>
      <c r="G299" s="15"/>
      <c r="H299" s="15"/>
      <c r="I299" s="15" t="s">
        <v>1112</v>
      </c>
      <c r="J299" s="29" t="s">
        <v>821</v>
      </c>
      <c r="K299" s="15">
        <v>20</v>
      </c>
      <c r="L299" s="29" t="s">
        <v>826</v>
      </c>
      <c r="M299" s="32" t="str">
        <f t="shared" si="46"/>
        <v>常规</v>
      </c>
      <c r="N299" s="15"/>
      <c r="O299" s="137" t="s">
        <v>2259</v>
      </c>
      <c r="P299" s="134" t="s">
        <v>2238</v>
      </c>
      <c r="Q299" s="137"/>
      <c r="R299" s="15"/>
      <c r="S299" s="15" t="s">
        <v>1416</v>
      </c>
      <c r="T299" s="15">
        <v>18</v>
      </c>
      <c r="U299" s="32" t="str">
        <f t="shared" si="47"/>
        <v>盒</v>
      </c>
      <c r="V299" s="15"/>
      <c r="W299" s="15"/>
      <c r="X299" s="32">
        <f t="shared" si="50"/>
        <v>2</v>
      </c>
      <c r="Y299" s="32" t="str">
        <f t="shared" si="49"/>
        <v>盒</v>
      </c>
      <c r="Z299" s="15"/>
      <c r="AA299" s="15"/>
      <c r="AB299" s="15"/>
    </row>
    <row r="300" spans="1:28" s="175" customFormat="1" ht="19.899999999999999" customHeight="1" x14ac:dyDescent="0.15">
      <c r="A300" s="163">
        <v>297</v>
      </c>
      <c r="B300" s="176" t="s">
        <v>1417</v>
      </c>
      <c r="C300" s="165" t="s">
        <v>0</v>
      </c>
      <c r="D300" s="166" t="str">
        <f t="shared" si="45"/>
        <v>专用物耗</v>
      </c>
      <c r="E300" s="167"/>
      <c r="F300" s="176"/>
      <c r="G300" s="167"/>
      <c r="H300" s="167"/>
      <c r="I300" s="167" t="s">
        <v>1113</v>
      </c>
      <c r="J300" s="165" t="s">
        <v>821</v>
      </c>
      <c r="K300" s="167">
        <v>0.5</v>
      </c>
      <c r="L300" s="165" t="s">
        <v>1418</v>
      </c>
      <c r="M300" s="166" t="str">
        <f t="shared" si="46"/>
        <v>常规</v>
      </c>
      <c r="N300" s="167"/>
      <c r="O300" s="169"/>
      <c r="P300" s="170"/>
      <c r="Q300" s="169"/>
      <c r="R300" s="167"/>
      <c r="S300" s="167" t="s">
        <v>930</v>
      </c>
      <c r="T300" s="167">
        <v>0.5</v>
      </c>
      <c r="U300" s="166" t="str">
        <f t="shared" si="47"/>
        <v>待定</v>
      </c>
      <c r="V300" s="167"/>
      <c r="W300" s="167"/>
      <c r="X300" s="166" t="str">
        <f t="shared" si="50"/>
        <v/>
      </c>
      <c r="Y300" s="166" t="str">
        <f t="shared" si="49"/>
        <v>待定</v>
      </c>
      <c r="Z300" s="167"/>
      <c r="AA300" s="167"/>
      <c r="AB300" s="167"/>
    </row>
    <row r="301" spans="1:28" s="175" customFormat="1" ht="19.899999999999999" customHeight="1" x14ac:dyDescent="0.15">
      <c r="A301" s="163">
        <v>298</v>
      </c>
      <c r="B301" s="178" t="s">
        <v>1419</v>
      </c>
      <c r="C301" s="165" t="s">
        <v>0</v>
      </c>
      <c r="D301" s="166" t="str">
        <f t="shared" si="45"/>
        <v>专用物耗</v>
      </c>
      <c r="E301" s="167"/>
      <c r="F301" s="176"/>
      <c r="G301" s="167"/>
      <c r="H301" s="167"/>
      <c r="I301" s="167" t="s">
        <v>1114</v>
      </c>
      <c r="J301" s="165" t="s">
        <v>821</v>
      </c>
      <c r="K301" s="167">
        <v>1</v>
      </c>
      <c r="L301" s="165" t="s">
        <v>822</v>
      </c>
      <c r="M301" s="166" t="str">
        <f t="shared" si="46"/>
        <v>常规</v>
      </c>
      <c r="N301" s="167"/>
      <c r="O301" s="169"/>
      <c r="P301" s="170"/>
      <c r="Q301" s="169"/>
      <c r="R301" s="167"/>
      <c r="S301" s="167" t="s">
        <v>936</v>
      </c>
      <c r="T301" s="167">
        <v>1</v>
      </c>
      <c r="U301" s="166" t="str">
        <f t="shared" si="47"/>
        <v>只</v>
      </c>
      <c r="V301" s="167"/>
      <c r="W301" s="167"/>
      <c r="X301" s="166" t="str">
        <f t="shared" si="50"/>
        <v/>
      </c>
      <c r="Y301" s="166" t="str">
        <f t="shared" si="49"/>
        <v>只</v>
      </c>
      <c r="Z301" s="167"/>
      <c r="AA301" s="167"/>
      <c r="AB301" s="167"/>
    </row>
    <row r="302" spans="1:28" s="175" customFormat="1" ht="19.899999999999999" customHeight="1" x14ac:dyDescent="0.15">
      <c r="A302" s="163">
        <v>299</v>
      </c>
      <c r="B302" s="178" t="s">
        <v>1420</v>
      </c>
      <c r="C302" s="165" t="s">
        <v>0</v>
      </c>
      <c r="D302" s="166" t="str">
        <f t="shared" si="45"/>
        <v>专用物耗</v>
      </c>
      <c r="E302" s="167"/>
      <c r="F302" s="178" t="s">
        <v>934</v>
      </c>
      <c r="G302" s="167"/>
      <c r="H302" s="167"/>
      <c r="I302" s="167" t="s">
        <v>1115</v>
      </c>
      <c r="J302" s="165" t="s">
        <v>821</v>
      </c>
      <c r="K302" s="167">
        <v>20</v>
      </c>
      <c r="L302" s="165" t="s">
        <v>841</v>
      </c>
      <c r="M302" s="166" t="str">
        <f t="shared" si="46"/>
        <v>常规</v>
      </c>
      <c r="N302" s="167"/>
      <c r="O302" s="180" t="s">
        <v>2260</v>
      </c>
      <c r="P302" s="169" t="s">
        <v>1314</v>
      </c>
      <c r="Q302" s="169"/>
      <c r="R302" s="167"/>
      <c r="S302" s="167" t="s">
        <v>1421</v>
      </c>
      <c r="T302" s="167">
        <v>20</v>
      </c>
      <c r="U302" s="166" t="str">
        <f t="shared" si="47"/>
        <v>箱</v>
      </c>
      <c r="V302" s="167"/>
      <c r="W302" s="167"/>
      <c r="X302" s="166" t="str">
        <f t="shared" si="50"/>
        <v/>
      </c>
      <c r="Y302" s="166" t="str">
        <f t="shared" si="49"/>
        <v>箱</v>
      </c>
      <c r="Z302" s="167"/>
      <c r="AA302" s="167"/>
      <c r="AB302" s="167"/>
    </row>
    <row r="303" spans="1:28" s="46" customFormat="1" ht="19.899999999999999" customHeight="1" x14ac:dyDescent="0.15">
      <c r="A303" s="34">
        <v>300</v>
      </c>
      <c r="B303" s="48" t="s">
        <v>1422</v>
      </c>
      <c r="C303" s="29" t="s">
        <v>0</v>
      </c>
      <c r="D303" s="32" t="str">
        <f t="shared" si="45"/>
        <v>专用物耗</v>
      </c>
      <c r="E303" s="15"/>
      <c r="F303" s="48" t="s">
        <v>1423</v>
      </c>
      <c r="G303" s="15"/>
      <c r="H303" s="15"/>
      <c r="I303" s="15" t="s">
        <v>1116</v>
      </c>
      <c r="J303" s="29" t="s">
        <v>821</v>
      </c>
      <c r="K303" s="15">
        <v>10</v>
      </c>
      <c r="L303" s="29" t="s">
        <v>826</v>
      </c>
      <c r="M303" s="32" t="str">
        <f t="shared" si="46"/>
        <v>常规</v>
      </c>
      <c r="N303" s="15"/>
      <c r="O303" s="137" t="s">
        <v>2259</v>
      </c>
      <c r="P303" s="134" t="s">
        <v>2238</v>
      </c>
      <c r="Q303" s="137"/>
      <c r="R303" s="15"/>
      <c r="S303" s="15" t="s">
        <v>2223</v>
      </c>
      <c r="T303" s="15">
        <v>7</v>
      </c>
      <c r="U303" s="32" t="str">
        <f t="shared" si="47"/>
        <v>盒</v>
      </c>
      <c r="V303" s="15"/>
      <c r="W303" s="15"/>
      <c r="X303" s="32">
        <f t="shared" si="50"/>
        <v>3</v>
      </c>
      <c r="Y303" s="32" t="str">
        <f t="shared" si="49"/>
        <v>盒</v>
      </c>
      <c r="Z303" s="15"/>
      <c r="AA303" s="15"/>
      <c r="AB303" s="15"/>
    </row>
    <row r="304" spans="1:28" s="175" customFormat="1" ht="19.899999999999999" customHeight="1" x14ac:dyDescent="0.15">
      <c r="A304" s="163">
        <v>301</v>
      </c>
      <c r="B304" s="178" t="s">
        <v>1424</v>
      </c>
      <c r="C304" s="165" t="s">
        <v>0</v>
      </c>
      <c r="D304" s="166" t="str">
        <f t="shared" si="45"/>
        <v>专用物耗</v>
      </c>
      <c r="E304" s="167"/>
      <c r="F304" s="178" t="s">
        <v>1425</v>
      </c>
      <c r="G304" s="167"/>
      <c r="H304" s="167"/>
      <c r="I304" s="167" t="s">
        <v>1117</v>
      </c>
      <c r="J304" s="165" t="s">
        <v>821</v>
      </c>
      <c r="K304" s="167">
        <v>1</v>
      </c>
      <c r="L304" s="165" t="s">
        <v>833</v>
      </c>
      <c r="M304" s="166" t="str">
        <f t="shared" si="46"/>
        <v>常规</v>
      </c>
      <c r="N304" s="167"/>
      <c r="O304" s="169"/>
      <c r="P304" s="170"/>
      <c r="Q304" s="169"/>
      <c r="R304" s="167"/>
      <c r="S304" s="167" t="s">
        <v>938</v>
      </c>
      <c r="T304" s="167">
        <v>1</v>
      </c>
      <c r="U304" s="166" t="str">
        <f t="shared" si="47"/>
        <v>张</v>
      </c>
      <c r="V304" s="167"/>
      <c r="W304" s="167"/>
      <c r="X304" s="166" t="str">
        <f t="shared" si="50"/>
        <v/>
      </c>
      <c r="Y304" s="166" t="str">
        <f t="shared" si="49"/>
        <v>张</v>
      </c>
      <c r="Z304" s="167"/>
      <c r="AA304" s="167"/>
      <c r="AB304" s="167"/>
    </row>
    <row r="305" spans="1:28" s="175" customFormat="1" ht="19.899999999999999" customHeight="1" x14ac:dyDescent="0.15">
      <c r="A305" s="163">
        <v>302</v>
      </c>
      <c r="B305" s="176" t="s">
        <v>1426</v>
      </c>
      <c r="C305" s="165" t="s">
        <v>0</v>
      </c>
      <c r="D305" s="166" t="str">
        <f t="shared" si="45"/>
        <v>专用物耗</v>
      </c>
      <c r="E305" s="167" t="s">
        <v>1415</v>
      </c>
      <c r="F305" s="176" t="s">
        <v>1427</v>
      </c>
      <c r="G305" s="167"/>
      <c r="H305" s="167"/>
      <c r="I305" s="167" t="s">
        <v>1118</v>
      </c>
      <c r="J305" s="165" t="s">
        <v>821</v>
      </c>
      <c r="K305" s="167">
        <v>20</v>
      </c>
      <c r="L305" s="165" t="s">
        <v>824</v>
      </c>
      <c r="M305" s="166" t="str">
        <f t="shared" si="46"/>
        <v>常规</v>
      </c>
      <c r="N305" s="167"/>
      <c r="O305" s="169" t="s">
        <v>2259</v>
      </c>
      <c r="P305" s="170" t="s">
        <v>2236</v>
      </c>
      <c r="Q305" s="169"/>
      <c r="R305" s="167"/>
      <c r="S305" s="167" t="s">
        <v>947</v>
      </c>
      <c r="T305" s="167">
        <v>20</v>
      </c>
      <c r="U305" s="166" t="str">
        <f t="shared" si="47"/>
        <v>支</v>
      </c>
      <c r="V305" s="167"/>
      <c r="W305" s="167"/>
      <c r="X305" s="166" t="str">
        <f t="shared" si="50"/>
        <v/>
      </c>
      <c r="Y305" s="166" t="str">
        <f t="shared" si="49"/>
        <v>支</v>
      </c>
      <c r="Z305" s="167"/>
      <c r="AA305" s="167"/>
      <c r="AB305" s="167"/>
    </row>
    <row r="306" spans="1:28" s="46" customFormat="1" ht="19.899999999999999" customHeight="1" x14ac:dyDescent="0.15">
      <c r="A306" s="34">
        <v>303</v>
      </c>
      <c r="B306" s="52" t="s">
        <v>1428</v>
      </c>
      <c r="C306" s="29" t="s">
        <v>0</v>
      </c>
      <c r="D306" s="32" t="str">
        <f t="shared" si="45"/>
        <v>专用物耗</v>
      </c>
      <c r="E306" s="15" t="s">
        <v>1415</v>
      </c>
      <c r="F306" s="15">
        <v>40</v>
      </c>
      <c r="G306" s="15"/>
      <c r="H306" s="15"/>
      <c r="I306" s="15" t="s">
        <v>1119</v>
      </c>
      <c r="J306" s="29" t="s">
        <v>821</v>
      </c>
      <c r="K306" s="15">
        <v>4</v>
      </c>
      <c r="L306" s="29" t="s">
        <v>826</v>
      </c>
      <c r="M306" s="32" t="str">
        <f t="shared" si="46"/>
        <v>常规</v>
      </c>
      <c r="N306" s="15"/>
      <c r="O306" s="137" t="s">
        <v>2259</v>
      </c>
      <c r="P306" s="134" t="s">
        <v>2238</v>
      </c>
      <c r="Q306" s="137"/>
      <c r="R306" s="15"/>
      <c r="S306" s="15"/>
      <c r="T306" s="15"/>
      <c r="U306" s="32" t="str">
        <f t="shared" si="47"/>
        <v>盒</v>
      </c>
      <c r="V306" s="15"/>
      <c r="W306" s="15"/>
      <c r="X306" s="32">
        <f t="shared" si="50"/>
        <v>4</v>
      </c>
      <c r="Y306" s="32" t="str">
        <f t="shared" si="49"/>
        <v>盒</v>
      </c>
      <c r="Z306" s="15"/>
      <c r="AA306" s="15"/>
      <c r="AB306" s="15"/>
    </row>
    <row r="307" spans="1:28" s="46" customFormat="1" ht="19.899999999999999" customHeight="1" x14ac:dyDescent="0.15">
      <c r="A307" s="34">
        <v>304</v>
      </c>
      <c r="B307" s="52" t="s">
        <v>1429</v>
      </c>
      <c r="C307" s="29" t="s">
        <v>0</v>
      </c>
      <c r="D307" s="32" t="str">
        <f t="shared" si="45"/>
        <v>专用物耗</v>
      </c>
      <c r="E307" s="15" t="s">
        <v>1415</v>
      </c>
      <c r="F307" s="52" t="s">
        <v>1430</v>
      </c>
      <c r="G307" s="15"/>
      <c r="H307" s="15"/>
      <c r="I307" s="15" t="s">
        <v>1120</v>
      </c>
      <c r="J307" s="29" t="s">
        <v>821</v>
      </c>
      <c r="K307" s="15">
        <v>2</v>
      </c>
      <c r="L307" s="29" t="s">
        <v>826</v>
      </c>
      <c r="M307" s="32" t="str">
        <f t="shared" si="46"/>
        <v>常规</v>
      </c>
      <c r="N307" s="15"/>
      <c r="O307" s="137" t="s">
        <v>2259</v>
      </c>
      <c r="P307" s="134" t="s">
        <v>2238</v>
      </c>
      <c r="Q307" s="137"/>
      <c r="R307" s="15"/>
      <c r="S307" s="15" t="s">
        <v>951</v>
      </c>
      <c r="T307" s="15">
        <v>1</v>
      </c>
      <c r="U307" s="32" t="str">
        <f t="shared" si="47"/>
        <v>盒</v>
      </c>
      <c r="V307" s="15"/>
      <c r="W307" s="15"/>
      <c r="X307" s="32">
        <f t="shared" si="50"/>
        <v>1</v>
      </c>
      <c r="Y307" s="32" t="str">
        <f t="shared" si="49"/>
        <v>盒</v>
      </c>
      <c r="Z307" s="15"/>
      <c r="AA307" s="15"/>
      <c r="AB307" s="15"/>
    </row>
    <row r="308" spans="1:28" s="46" customFormat="1" ht="19.899999999999999" customHeight="1" x14ac:dyDescent="0.15">
      <c r="A308" s="34">
        <v>305</v>
      </c>
      <c r="B308" s="15" t="s">
        <v>1431</v>
      </c>
      <c r="C308" s="29" t="s">
        <v>0</v>
      </c>
      <c r="D308" s="32" t="str">
        <f t="shared" si="45"/>
        <v>专用物耗</v>
      </c>
      <c r="E308" s="15" t="s">
        <v>1415</v>
      </c>
      <c r="F308" s="15" t="s">
        <v>941</v>
      </c>
      <c r="G308" s="15"/>
      <c r="H308" s="15"/>
      <c r="I308" s="15" t="s">
        <v>1121</v>
      </c>
      <c r="J308" s="29" t="s">
        <v>821</v>
      </c>
      <c r="K308" s="15">
        <v>50</v>
      </c>
      <c r="L308" s="29" t="s">
        <v>823</v>
      </c>
      <c r="M308" s="32" t="str">
        <f t="shared" si="46"/>
        <v>常规</v>
      </c>
      <c r="N308" s="15"/>
      <c r="O308" s="137" t="s">
        <v>2259</v>
      </c>
      <c r="P308" s="134" t="s">
        <v>2237</v>
      </c>
      <c r="Q308" s="137"/>
      <c r="R308" s="15"/>
      <c r="S308" s="15" t="s">
        <v>1432</v>
      </c>
      <c r="T308" s="15">
        <v>36</v>
      </c>
      <c r="U308" s="32" t="str">
        <f t="shared" si="47"/>
        <v>个</v>
      </c>
      <c r="V308" s="15"/>
      <c r="W308" s="15"/>
      <c r="X308" s="32">
        <f t="shared" si="50"/>
        <v>14</v>
      </c>
      <c r="Y308" s="32" t="str">
        <f t="shared" si="49"/>
        <v>个</v>
      </c>
      <c r="Z308" s="15"/>
      <c r="AA308" s="15"/>
      <c r="AB308" s="15"/>
    </row>
    <row r="309" spans="1:28" s="46" customFormat="1" ht="19.899999999999999" customHeight="1" x14ac:dyDescent="0.15">
      <c r="A309" s="34">
        <v>306</v>
      </c>
      <c r="B309" s="15" t="s">
        <v>1433</v>
      </c>
      <c r="C309" s="29" t="s">
        <v>0</v>
      </c>
      <c r="D309" s="32" t="str">
        <f t="shared" si="45"/>
        <v>专用物耗</v>
      </c>
      <c r="E309" s="15" t="s">
        <v>1415</v>
      </c>
      <c r="F309" s="15" t="s">
        <v>1434</v>
      </c>
      <c r="G309" s="15"/>
      <c r="H309" s="15"/>
      <c r="I309" s="15" t="s">
        <v>1122</v>
      </c>
      <c r="J309" s="29" t="s">
        <v>821</v>
      </c>
      <c r="K309" s="15">
        <v>3</v>
      </c>
      <c r="L309" s="29" t="s">
        <v>826</v>
      </c>
      <c r="M309" s="32" t="str">
        <f t="shared" si="46"/>
        <v>常规</v>
      </c>
      <c r="N309" s="15"/>
      <c r="O309" s="137" t="s">
        <v>2259</v>
      </c>
      <c r="P309" s="134" t="s">
        <v>2236</v>
      </c>
      <c r="Q309" s="137"/>
      <c r="R309" s="15"/>
      <c r="S309" s="15"/>
      <c r="T309" s="15"/>
      <c r="U309" s="32" t="str">
        <f t="shared" si="47"/>
        <v>盒</v>
      </c>
      <c r="V309" s="15"/>
      <c r="W309" s="15"/>
      <c r="X309" s="32">
        <f t="shared" si="50"/>
        <v>3</v>
      </c>
      <c r="Y309" s="32" t="str">
        <f t="shared" si="49"/>
        <v>盒</v>
      </c>
      <c r="Z309" s="15"/>
      <c r="AA309" s="15"/>
      <c r="AB309" s="15"/>
    </row>
    <row r="310" spans="1:28" s="175" customFormat="1" ht="19.899999999999999" customHeight="1" x14ac:dyDescent="0.15">
      <c r="A310" s="163">
        <v>307</v>
      </c>
      <c r="B310" s="167" t="s">
        <v>1388</v>
      </c>
      <c r="C310" s="165" t="s">
        <v>0</v>
      </c>
      <c r="D310" s="166" t="str">
        <f t="shared" si="45"/>
        <v>专用物耗</v>
      </c>
      <c r="E310" s="167" t="s">
        <v>1415</v>
      </c>
      <c r="F310" s="167" t="s">
        <v>1389</v>
      </c>
      <c r="G310" s="167"/>
      <c r="H310" s="167"/>
      <c r="I310" s="167" t="s">
        <v>1123</v>
      </c>
      <c r="J310" s="165" t="s">
        <v>821</v>
      </c>
      <c r="K310" s="167">
        <v>5</v>
      </c>
      <c r="L310" s="165" t="s">
        <v>825</v>
      </c>
      <c r="M310" s="166" t="str">
        <f t="shared" si="46"/>
        <v>常规</v>
      </c>
      <c r="N310" s="167"/>
      <c r="O310" s="169" t="s">
        <v>2259</v>
      </c>
      <c r="P310" s="170" t="s">
        <v>2236</v>
      </c>
      <c r="Q310" s="169"/>
      <c r="R310" s="167"/>
      <c r="S310" s="167" t="s">
        <v>1613</v>
      </c>
      <c r="T310" s="167">
        <v>5</v>
      </c>
      <c r="U310" s="166" t="str">
        <f t="shared" si="47"/>
        <v>袋</v>
      </c>
      <c r="V310" s="167"/>
      <c r="W310" s="167"/>
      <c r="X310" s="166" t="str">
        <f t="shared" si="50"/>
        <v/>
      </c>
      <c r="Y310" s="166" t="str">
        <f t="shared" si="49"/>
        <v>袋</v>
      </c>
      <c r="Z310" s="167"/>
      <c r="AA310" s="167"/>
      <c r="AB310" s="167"/>
    </row>
    <row r="311" spans="1:28" s="46" customFormat="1" ht="19.899999999999999" customHeight="1" x14ac:dyDescent="0.15">
      <c r="A311" s="34">
        <v>308</v>
      </c>
      <c r="B311" s="52" t="s">
        <v>1436</v>
      </c>
      <c r="C311" s="29" t="s">
        <v>0</v>
      </c>
      <c r="D311" s="32" t="str">
        <f t="shared" si="45"/>
        <v>专用物耗</v>
      </c>
      <c r="E311" s="15"/>
      <c r="F311" s="52" t="s">
        <v>1437</v>
      </c>
      <c r="G311" s="15"/>
      <c r="H311" s="15"/>
      <c r="I311" s="15" t="s">
        <v>1125</v>
      </c>
      <c r="J311" s="29" t="s">
        <v>821</v>
      </c>
      <c r="K311" s="15">
        <v>20</v>
      </c>
      <c r="L311" s="29" t="s">
        <v>884</v>
      </c>
      <c r="M311" s="32" t="str">
        <f t="shared" si="46"/>
        <v>常规</v>
      </c>
      <c r="N311" s="15"/>
      <c r="O311" s="137" t="s">
        <v>2259</v>
      </c>
      <c r="P311" s="134" t="s">
        <v>2239</v>
      </c>
      <c r="Q311" s="137" t="s">
        <v>2534</v>
      </c>
      <c r="R311" s="15"/>
      <c r="S311" s="15" t="s">
        <v>1044</v>
      </c>
      <c r="T311" s="15">
        <v>8</v>
      </c>
      <c r="U311" s="32" t="str">
        <f t="shared" si="47"/>
        <v>m</v>
      </c>
      <c r="V311" s="15"/>
      <c r="W311" s="15"/>
      <c r="X311" s="32">
        <f t="shared" si="50"/>
        <v>12</v>
      </c>
      <c r="Y311" s="32" t="str">
        <f t="shared" si="49"/>
        <v>m</v>
      </c>
      <c r="Z311" s="15"/>
      <c r="AA311" s="15"/>
      <c r="AB311" s="15"/>
    </row>
    <row r="312" spans="1:28" s="175" customFormat="1" ht="19.899999999999999" customHeight="1" x14ac:dyDescent="0.15">
      <c r="A312" s="163">
        <v>309</v>
      </c>
      <c r="B312" s="176" t="s">
        <v>1438</v>
      </c>
      <c r="C312" s="165" t="s">
        <v>0</v>
      </c>
      <c r="D312" s="166" t="str">
        <f t="shared" si="45"/>
        <v>专用物耗</v>
      </c>
      <c r="E312" s="167"/>
      <c r="F312" s="167"/>
      <c r="G312" s="167"/>
      <c r="H312" s="167"/>
      <c r="I312" s="167" t="s">
        <v>1126</v>
      </c>
      <c r="J312" s="165" t="s">
        <v>821</v>
      </c>
      <c r="K312" s="167">
        <v>1</v>
      </c>
      <c r="L312" s="165" t="s">
        <v>822</v>
      </c>
      <c r="M312" s="166" t="str">
        <f t="shared" si="46"/>
        <v>常规</v>
      </c>
      <c r="N312" s="167"/>
      <c r="O312" s="169"/>
      <c r="P312" s="170"/>
      <c r="Q312" s="169"/>
      <c r="R312" s="167"/>
      <c r="S312" s="167" t="s">
        <v>948</v>
      </c>
      <c r="T312" s="167">
        <v>1</v>
      </c>
      <c r="U312" s="166" t="str">
        <f t="shared" si="47"/>
        <v>只</v>
      </c>
      <c r="V312" s="167"/>
      <c r="W312" s="167"/>
      <c r="X312" s="166" t="str">
        <f t="shared" si="50"/>
        <v/>
      </c>
      <c r="Y312" s="166" t="str">
        <f t="shared" si="49"/>
        <v>只</v>
      </c>
      <c r="Z312" s="167"/>
      <c r="AA312" s="167"/>
      <c r="AB312" s="167"/>
    </row>
    <row r="313" spans="1:28" s="175" customFormat="1" ht="19.899999999999999" customHeight="1" x14ac:dyDescent="0.15">
      <c r="A313" s="163">
        <v>310</v>
      </c>
      <c r="B313" s="176" t="s">
        <v>1439</v>
      </c>
      <c r="C313" s="165" t="s">
        <v>0</v>
      </c>
      <c r="D313" s="166" t="str">
        <f t="shared" si="45"/>
        <v>专用物耗</v>
      </c>
      <c r="E313" s="167"/>
      <c r="F313" s="176" t="s">
        <v>1440</v>
      </c>
      <c r="G313" s="167"/>
      <c r="H313" s="167"/>
      <c r="I313" s="167" t="s">
        <v>1127</v>
      </c>
      <c r="J313" s="165" t="s">
        <v>821</v>
      </c>
      <c r="K313" s="167">
        <v>1</v>
      </c>
      <c r="L313" s="165" t="s">
        <v>2481</v>
      </c>
      <c r="M313" s="166" t="str">
        <f t="shared" si="46"/>
        <v>常规</v>
      </c>
      <c r="N313" s="167"/>
      <c r="O313" s="169"/>
      <c r="P313" s="170"/>
      <c r="Q313" s="169"/>
      <c r="R313" s="167"/>
      <c r="S313" s="167" t="s">
        <v>949</v>
      </c>
      <c r="T313" s="167">
        <v>1</v>
      </c>
      <c r="U313" s="166" t="str">
        <f t="shared" si="47"/>
        <v>卷</v>
      </c>
      <c r="V313" s="167"/>
      <c r="W313" s="167"/>
      <c r="X313" s="166" t="str">
        <f t="shared" si="50"/>
        <v/>
      </c>
      <c r="Y313" s="166" t="str">
        <f t="shared" si="49"/>
        <v>卷</v>
      </c>
      <c r="Z313" s="167"/>
      <c r="AA313" s="167"/>
      <c r="AB313" s="167"/>
    </row>
    <row r="314" spans="1:28" s="175" customFormat="1" ht="19.899999999999999" customHeight="1" x14ac:dyDescent="0.15">
      <c r="A314" s="163">
        <v>311</v>
      </c>
      <c r="B314" s="176" t="s">
        <v>1441</v>
      </c>
      <c r="C314" s="165" t="s">
        <v>0</v>
      </c>
      <c r="D314" s="166" t="str">
        <f t="shared" si="45"/>
        <v>专用物耗</v>
      </c>
      <c r="E314" s="167"/>
      <c r="F314" s="176" t="s">
        <v>1442</v>
      </c>
      <c r="G314" s="167"/>
      <c r="H314" s="167"/>
      <c r="I314" s="167" t="s">
        <v>1128</v>
      </c>
      <c r="J314" s="165" t="s">
        <v>821</v>
      </c>
      <c r="K314" s="167">
        <v>1</v>
      </c>
      <c r="L314" s="165" t="s">
        <v>822</v>
      </c>
      <c r="M314" s="166" t="str">
        <f t="shared" si="46"/>
        <v>常规</v>
      </c>
      <c r="N314" s="167"/>
      <c r="O314" s="169"/>
      <c r="P314" s="170"/>
      <c r="Q314" s="169"/>
      <c r="R314" s="167"/>
      <c r="S314" s="167" t="s">
        <v>953</v>
      </c>
      <c r="T314" s="167">
        <v>1</v>
      </c>
      <c r="U314" s="166" t="str">
        <f t="shared" si="47"/>
        <v>只</v>
      </c>
      <c r="V314" s="167"/>
      <c r="W314" s="167"/>
      <c r="X314" s="166" t="str">
        <f t="shared" si="50"/>
        <v/>
      </c>
      <c r="Y314" s="166" t="str">
        <f t="shared" si="49"/>
        <v>只</v>
      </c>
      <c r="Z314" s="167"/>
      <c r="AA314" s="167"/>
      <c r="AB314" s="167"/>
    </row>
    <row r="315" spans="1:28" s="175" customFormat="1" ht="19.899999999999999" customHeight="1" x14ac:dyDescent="0.15">
      <c r="A315" s="163">
        <v>312</v>
      </c>
      <c r="B315" s="176" t="s">
        <v>1301</v>
      </c>
      <c r="C315" s="165" t="s">
        <v>0</v>
      </c>
      <c r="D315" s="166" t="str">
        <f t="shared" si="45"/>
        <v>专用物耗</v>
      </c>
      <c r="E315" s="167"/>
      <c r="F315" s="176" t="s">
        <v>1443</v>
      </c>
      <c r="G315" s="167"/>
      <c r="H315" s="167"/>
      <c r="I315" s="167" t="s">
        <v>1129</v>
      </c>
      <c r="J315" s="165" t="s">
        <v>821</v>
      </c>
      <c r="K315" s="167">
        <v>10</v>
      </c>
      <c r="L315" s="165" t="s">
        <v>826</v>
      </c>
      <c r="M315" s="166" t="str">
        <f t="shared" si="46"/>
        <v>常规</v>
      </c>
      <c r="N315" s="167"/>
      <c r="O315" s="169" t="s">
        <v>2248</v>
      </c>
      <c r="P315" s="170" t="s">
        <v>2239</v>
      </c>
      <c r="Q315" s="169"/>
      <c r="R315" s="167"/>
      <c r="S315" s="167" t="s">
        <v>2073</v>
      </c>
      <c r="T315" s="167">
        <v>10</v>
      </c>
      <c r="U315" s="166" t="str">
        <f t="shared" si="47"/>
        <v>盒</v>
      </c>
      <c r="V315" s="167"/>
      <c r="W315" s="167"/>
      <c r="X315" s="166" t="str">
        <f t="shared" si="50"/>
        <v/>
      </c>
      <c r="Y315" s="166" t="str">
        <f t="shared" si="49"/>
        <v>盒</v>
      </c>
      <c r="Z315" s="167"/>
      <c r="AA315" s="167"/>
      <c r="AB315" s="167"/>
    </row>
    <row r="316" spans="1:28" s="46" customFormat="1" ht="19.899999999999999" customHeight="1" x14ac:dyDescent="0.15">
      <c r="A316" s="34">
        <v>313</v>
      </c>
      <c r="B316" s="52" t="s">
        <v>1444</v>
      </c>
      <c r="C316" s="29" t="s">
        <v>0</v>
      </c>
      <c r="D316" s="32" t="str">
        <f t="shared" si="45"/>
        <v>专用物耗</v>
      </c>
      <c r="E316" s="15"/>
      <c r="F316" s="15"/>
      <c r="G316" s="15"/>
      <c r="H316" s="15"/>
      <c r="I316" s="15" t="s">
        <v>1130</v>
      </c>
      <c r="J316" s="29" t="s">
        <v>821</v>
      </c>
      <c r="K316" s="15">
        <v>25</v>
      </c>
      <c r="L316" s="29" t="s">
        <v>72</v>
      </c>
      <c r="M316" s="32" t="str">
        <f t="shared" si="46"/>
        <v>常规</v>
      </c>
      <c r="N316" s="15"/>
      <c r="O316" s="135" t="s">
        <v>2260</v>
      </c>
      <c r="P316" s="137" t="s">
        <v>1445</v>
      </c>
      <c r="Q316" s="137"/>
      <c r="R316" s="15"/>
      <c r="S316" s="15"/>
      <c r="T316" s="15"/>
      <c r="U316" s="32" t="str">
        <f t="shared" si="47"/>
        <v>kg</v>
      </c>
      <c r="V316" s="15"/>
      <c r="W316" s="15"/>
      <c r="X316" s="32">
        <f t="shared" si="50"/>
        <v>25</v>
      </c>
      <c r="Y316" s="32" t="str">
        <f t="shared" si="49"/>
        <v>kg</v>
      </c>
      <c r="Z316" s="15"/>
      <c r="AA316" s="15"/>
      <c r="AB316" s="15"/>
    </row>
    <row r="317" spans="1:28" s="175" customFormat="1" ht="19.899999999999999" customHeight="1" x14ac:dyDescent="0.15">
      <c r="A317" s="163">
        <v>314</v>
      </c>
      <c r="B317" s="176" t="s">
        <v>1319</v>
      </c>
      <c r="C317" s="165" t="s">
        <v>0</v>
      </c>
      <c r="D317" s="166" t="str">
        <f t="shared" si="45"/>
        <v>专用物耗</v>
      </c>
      <c r="E317" s="167"/>
      <c r="F317" s="167" t="s">
        <v>954</v>
      </c>
      <c r="G317" s="167"/>
      <c r="H317" s="167"/>
      <c r="I317" s="167" t="s">
        <v>1131</v>
      </c>
      <c r="J317" s="165" t="s">
        <v>821</v>
      </c>
      <c r="K317" s="167">
        <v>4</v>
      </c>
      <c r="L317" s="165" t="s">
        <v>822</v>
      </c>
      <c r="M317" s="166" t="str">
        <f t="shared" si="46"/>
        <v>常规</v>
      </c>
      <c r="N317" s="167"/>
      <c r="O317" s="180" t="s">
        <v>2260</v>
      </c>
      <c r="P317" s="169" t="s">
        <v>1445</v>
      </c>
      <c r="Q317" s="169"/>
      <c r="R317" s="167"/>
      <c r="S317" s="167" t="s">
        <v>1642</v>
      </c>
      <c r="T317" s="167">
        <v>4</v>
      </c>
      <c r="U317" s="166" t="str">
        <f t="shared" si="47"/>
        <v>只</v>
      </c>
      <c r="V317" s="167"/>
      <c r="W317" s="167"/>
      <c r="X317" s="166" t="str">
        <f t="shared" si="50"/>
        <v/>
      </c>
      <c r="Y317" s="166" t="str">
        <f t="shared" si="49"/>
        <v>只</v>
      </c>
      <c r="Z317" s="167"/>
      <c r="AA317" s="167"/>
      <c r="AB317" s="167"/>
    </row>
    <row r="318" spans="1:28" s="46" customFormat="1" ht="19.899999999999999" customHeight="1" x14ac:dyDescent="0.15">
      <c r="A318" s="34">
        <v>315</v>
      </c>
      <c r="B318" s="52" t="s">
        <v>1417</v>
      </c>
      <c r="C318" s="29" t="s">
        <v>0</v>
      </c>
      <c r="D318" s="32" t="str">
        <f t="shared" si="45"/>
        <v>专用物耗</v>
      </c>
      <c r="E318" s="15"/>
      <c r="F318" s="15"/>
      <c r="G318" s="15"/>
      <c r="H318" s="15"/>
      <c r="I318" s="15" t="s">
        <v>2037</v>
      </c>
      <c r="J318" s="29" t="s">
        <v>821</v>
      </c>
      <c r="K318" s="15">
        <v>1000</v>
      </c>
      <c r="L318" s="29" t="s">
        <v>134</v>
      </c>
      <c r="M318" s="32" t="str">
        <f t="shared" si="46"/>
        <v>常规</v>
      </c>
      <c r="N318" s="15"/>
      <c r="O318" s="137" t="s">
        <v>2259</v>
      </c>
      <c r="P318" s="134" t="s">
        <v>2236</v>
      </c>
      <c r="Q318" s="137"/>
      <c r="R318" s="15"/>
      <c r="S318" s="15" t="s">
        <v>2479</v>
      </c>
      <c r="T318" s="15">
        <v>427</v>
      </c>
      <c r="U318" s="32" t="str">
        <f t="shared" si="47"/>
        <v>个</v>
      </c>
      <c r="V318" s="15"/>
      <c r="W318" s="15"/>
      <c r="X318" s="32">
        <f t="shared" si="50"/>
        <v>573</v>
      </c>
      <c r="Y318" s="32" t="str">
        <f t="shared" si="49"/>
        <v>个</v>
      </c>
      <c r="Z318" s="15"/>
      <c r="AA318" s="15"/>
      <c r="AB318" s="15"/>
    </row>
    <row r="319" spans="1:28" s="46" customFormat="1" ht="19.899999999999999" customHeight="1" x14ac:dyDescent="0.15">
      <c r="A319" s="34">
        <v>316</v>
      </c>
      <c r="B319" s="52" t="s">
        <v>1448</v>
      </c>
      <c r="C319" s="29" t="s">
        <v>0</v>
      </c>
      <c r="D319" s="32" t="str">
        <f t="shared" si="45"/>
        <v>专用物耗</v>
      </c>
      <c r="E319" s="15"/>
      <c r="F319" s="15" t="s">
        <v>1641</v>
      </c>
      <c r="G319" s="15"/>
      <c r="H319" s="15"/>
      <c r="I319" s="15" t="s">
        <v>1133</v>
      </c>
      <c r="J319" s="29" t="s">
        <v>821</v>
      </c>
      <c r="K319" s="15">
        <v>4</v>
      </c>
      <c r="L319" s="29" t="s">
        <v>822</v>
      </c>
      <c r="M319" s="32" t="str">
        <f t="shared" si="46"/>
        <v>常规</v>
      </c>
      <c r="N319" s="15"/>
      <c r="O319" s="137" t="s">
        <v>2247</v>
      </c>
      <c r="P319" s="134" t="s">
        <v>2236</v>
      </c>
      <c r="Q319" s="137"/>
      <c r="R319" s="15"/>
      <c r="S319" s="15" t="s">
        <v>955</v>
      </c>
      <c r="T319" s="15">
        <v>2</v>
      </c>
      <c r="U319" s="32" t="str">
        <f t="shared" si="47"/>
        <v>只</v>
      </c>
      <c r="V319" s="15"/>
      <c r="W319" s="15"/>
      <c r="X319" s="32">
        <f t="shared" si="50"/>
        <v>2</v>
      </c>
      <c r="Y319" s="32" t="str">
        <f t="shared" si="49"/>
        <v>只</v>
      </c>
      <c r="Z319" s="15"/>
      <c r="AA319" s="15"/>
      <c r="AB319" s="15"/>
    </row>
    <row r="320" spans="1:28" s="175" customFormat="1" ht="19.899999999999999" customHeight="1" x14ac:dyDescent="0.15">
      <c r="A320" s="163">
        <v>317</v>
      </c>
      <c r="B320" s="176" t="s">
        <v>1301</v>
      </c>
      <c r="C320" s="165" t="s">
        <v>0</v>
      </c>
      <c r="D320" s="166" t="str">
        <f t="shared" si="45"/>
        <v>专用物耗</v>
      </c>
      <c r="E320" s="167"/>
      <c r="F320" s="167" t="s">
        <v>1449</v>
      </c>
      <c r="G320" s="167"/>
      <c r="H320" s="167"/>
      <c r="I320" s="167" t="s">
        <v>1134</v>
      </c>
      <c r="J320" s="165" t="s">
        <v>821</v>
      </c>
      <c r="K320" s="167">
        <v>5</v>
      </c>
      <c r="L320" s="165" t="s">
        <v>826</v>
      </c>
      <c r="M320" s="166" t="str">
        <f t="shared" si="46"/>
        <v>常规</v>
      </c>
      <c r="N320" s="167"/>
      <c r="O320" s="169" t="s">
        <v>2248</v>
      </c>
      <c r="P320" s="170" t="s">
        <v>2239</v>
      </c>
      <c r="Q320" s="169"/>
      <c r="R320" s="167"/>
      <c r="S320" s="167" t="s">
        <v>1450</v>
      </c>
      <c r="T320" s="167">
        <v>5</v>
      </c>
      <c r="U320" s="166" t="str">
        <f t="shared" si="47"/>
        <v>盒</v>
      </c>
      <c r="V320" s="167"/>
      <c r="W320" s="167"/>
      <c r="X320" s="166" t="str">
        <f t="shared" si="50"/>
        <v/>
      </c>
      <c r="Y320" s="166" t="str">
        <f t="shared" si="49"/>
        <v>盒</v>
      </c>
      <c r="Z320" s="167"/>
      <c r="AA320" s="167"/>
      <c r="AB320" s="167"/>
    </row>
    <row r="321" spans="1:28" s="175" customFormat="1" ht="19.899999999999999" customHeight="1" x14ac:dyDescent="0.15">
      <c r="A321" s="163">
        <v>318</v>
      </c>
      <c r="B321" s="176" t="s">
        <v>1451</v>
      </c>
      <c r="C321" s="165" t="s">
        <v>0</v>
      </c>
      <c r="D321" s="166" t="str">
        <f t="shared" si="45"/>
        <v>专用物耗</v>
      </c>
      <c r="E321" s="167"/>
      <c r="F321" s="167" t="s">
        <v>958</v>
      </c>
      <c r="G321" s="167"/>
      <c r="H321" s="167"/>
      <c r="I321" s="167" t="s">
        <v>1135</v>
      </c>
      <c r="J321" s="165" t="s">
        <v>821</v>
      </c>
      <c r="K321" s="167">
        <v>2</v>
      </c>
      <c r="L321" s="165" t="s">
        <v>840</v>
      </c>
      <c r="M321" s="166" t="str">
        <f t="shared" si="46"/>
        <v>常规</v>
      </c>
      <c r="N321" s="167"/>
      <c r="O321" s="169"/>
      <c r="P321" s="170"/>
      <c r="Q321" s="169"/>
      <c r="R321" s="167"/>
      <c r="S321" s="167" t="s">
        <v>960</v>
      </c>
      <c r="T321" s="167">
        <v>2</v>
      </c>
      <c r="U321" s="166" t="str">
        <f>IF(L321="","",L321)</f>
        <v>件</v>
      </c>
      <c r="V321" s="167"/>
      <c r="W321" s="167"/>
      <c r="X321" s="166" t="str">
        <f t="shared" si="50"/>
        <v/>
      </c>
      <c r="Y321" s="166" t="str">
        <f t="shared" si="49"/>
        <v>件</v>
      </c>
      <c r="Z321" s="167"/>
      <c r="AA321" s="167"/>
      <c r="AB321" s="167"/>
    </row>
    <row r="322" spans="1:28" s="175" customFormat="1" ht="19.899999999999999" customHeight="1" x14ac:dyDescent="0.15">
      <c r="A322" s="163">
        <v>319</v>
      </c>
      <c r="B322" s="176" t="s">
        <v>1452</v>
      </c>
      <c r="C322" s="165" t="s">
        <v>0</v>
      </c>
      <c r="D322" s="166" t="str">
        <f t="shared" ref="D322:D377" si="56">IF(C322="J1","常规化学品",IF(C322="J2","危险化学品",IF(C322="J3","标准物质",IF(C322="J4","玻璃仪器",IF(C322="J5","实验气体",IF(C322="J6","专用物耗",IF(C322="J7","备品配件",IF(C322="J8","专用工具",IF(C322="Z1","劳保物资",IF(C322="Z2","办公耗材",IF(C322="Z3","食品饮料",IF(C322="Z4","特殊物耗",IF(C322="Z5","通用物耗",IF(C322="Z6","通用工具",""))))))))))))))</f>
        <v>专用物耗</v>
      </c>
      <c r="E322" s="167"/>
      <c r="F322" s="167" t="s">
        <v>959</v>
      </c>
      <c r="G322" s="167"/>
      <c r="H322" s="167"/>
      <c r="I322" s="167" t="s">
        <v>1136</v>
      </c>
      <c r="J322" s="165" t="s">
        <v>821</v>
      </c>
      <c r="K322" s="167">
        <v>1</v>
      </c>
      <c r="L322" s="165" t="s">
        <v>840</v>
      </c>
      <c r="M322" s="166" t="str">
        <f t="shared" ref="M322:M377" si="57">IF(D322="危险化学品","五双",IF(D322="标准物资","严控",IF(D322&lt;&gt;"","常规","")))</f>
        <v>常规</v>
      </c>
      <c r="N322" s="167"/>
      <c r="O322" s="169"/>
      <c r="P322" s="170"/>
      <c r="Q322" s="169"/>
      <c r="R322" s="167"/>
      <c r="S322" s="167" t="s">
        <v>961</v>
      </c>
      <c r="T322" s="167">
        <v>1</v>
      </c>
      <c r="U322" s="166" t="str">
        <f t="shared" ref="U322:U377" si="58">IF(L322="","",L322)</f>
        <v>件</v>
      </c>
      <c r="V322" s="167"/>
      <c r="W322" s="167"/>
      <c r="X322" s="166" t="str">
        <f t="shared" ref="X322:X325" si="59">IF((K322-T322)&lt;=0,"",K322-T322)</f>
        <v/>
      </c>
      <c r="Y322" s="166" t="str">
        <f t="shared" ref="Y322:Y377" si="60">IF(L322="","",L322)</f>
        <v>件</v>
      </c>
      <c r="Z322" s="167"/>
      <c r="AA322" s="167"/>
      <c r="AB322" s="167"/>
    </row>
    <row r="323" spans="1:28" s="175" customFormat="1" ht="19.899999999999999" customHeight="1" x14ac:dyDescent="0.15">
      <c r="A323" s="163">
        <v>320</v>
      </c>
      <c r="B323" s="176" t="s">
        <v>1453</v>
      </c>
      <c r="C323" s="165" t="s">
        <v>0</v>
      </c>
      <c r="D323" s="166" t="str">
        <f t="shared" si="56"/>
        <v>专用物耗</v>
      </c>
      <c r="E323" s="167"/>
      <c r="F323" s="167"/>
      <c r="G323" s="167"/>
      <c r="H323" s="167"/>
      <c r="I323" s="167" t="s">
        <v>1137</v>
      </c>
      <c r="J323" s="165" t="s">
        <v>821</v>
      </c>
      <c r="K323" s="167">
        <v>1</v>
      </c>
      <c r="L323" s="165" t="s">
        <v>840</v>
      </c>
      <c r="M323" s="166" t="str">
        <f t="shared" si="57"/>
        <v>常规</v>
      </c>
      <c r="N323" s="167"/>
      <c r="O323" s="169"/>
      <c r="P323" s="170"/>
      <c r="Q323" s="169"/>
      <c r="R323" s="167"/>
      <c r="S323" s="167" t="s">
        <v>962</v>
      </c>
      <c r="T323" s="167">
        <v>1</v>
      </c>
      <c r="U323" s="166" t="str">
        <f t="shared" si="58"/>
        <v>件</v>
      </c>
      <c r="V323" s="167"/>
      <c r="W323" s="167"/>
      <c r="X323" s="166" t="str">
        <f t="shared" si="59"/>
        <v/>
      </c>
      <c r="Y323" s="166" t="str">
        <f t="shared" si="60"/>
        <v>件</v>
      </c>
      <c r="Z323" s="167"/>
      <c r="AA323" s="167"/>
      <c r="AB323" s="167"/>
    </row>
    <row r="324" spans="1:28" s="46" customFormat="1" ht="19.899999999999999" customHeight="1" x14ac:dyDescent="0.15">
      <c r="A324" s="34">
        <v>321</v>
      </c>
      <c r="B324" s="52" t="s">
        <v>1455</v>
      </c>
      <c r="C324" s="29" t="s">
        <v>0</v>
      </c>
      <c r="D324" s="32" t="str">
        <f t="shared" si="56"/>
        <v>专用物耗</v>
      </c>
      <c r="E324" s="15"/>
      <c r="F324" s="15"/>
      <c r="G324" s="15"/>
      <c r="H324" s="15"/>
      <c r="I324" s="15" t="s">
        <v>1139</v>
      </c>
      <c r="J324" s="29" t="s">
        <v>821</v>
      </c>
      <c r="K324" s="15">
        <v>40</v>
      </c>
      <c r="L324" s="29" t="s">
        <v>822</v>
      </c>
      <c r="M324" s="32" t="str">
        <f t="shared" si="57"/>
        <v>常规</v>
      </c>
      <c r="N324" s="15"/>
      <c r="O324" s="137" t="s">
        <v>2257</v>
      </c>
      <c r="P324" s="134" t="s">
        <v>2253</v>
      </c>
      <c r="Q324" s="137"/>
      <c r="R324" s="15"/>
      <c r="S324" s="15" t="s">
        <v>3107</v>
      </c>
      <c r="T324" s="15">
        <v>13</v>
      </c>
      <c r="U324" s="32" t="str">
        <f t="shared" si="58"/>
        <v>只</v>
      </c>
      <c r="V324" s="15" t="s">
        <v>2177</v>
      </c>
      <c r="W324" s="15"/>
      <c r="X324" s="32">
        <f t="shared" si="59"/>
        <v>27</v>
      </c>
      <c r="Y324" s="32" t="str">
        <f t="shared" si="60"/>
        <v>只</v>
      </c>
      <c r="Z324" s="15" t="s">
        <v>2177</v>
      </c>
      <c r="AA324" s="15"/>
      <c r="AB324" s="15"/>
    </row>
    <row r="325" spans="1:28" s="175" customFormat="1" ht="19.899999999999999" customHeight="1" x14ac:dyDescent="0.15">
      <c r="A325" s="163">
        <v>322</v>
      </c>
      <c r="B325" s="176" t="s">
        <v>1410</v>
      </c>
      <c r="C325" s="165" t="s">
        <v>0</v>
      </c>
      <c r="D325" s="166" t="str">
        <f t="shared" si="56"/>
        <v>专用物耗</v>
      </c>
      <c r="E325" s="167"/>
      <c r="F325" s="167"/>
      <c r="G325" s="167"/>
      <c r="H325" s="167"/>
      <c r="I325" s="167" t="s">
        <v>1143</v>
      </c>
      <c r="J325" s="165" t="s">
        <v>821</v>
      </c>
      <c r="K325" s="167">
        <v>2</v>
      </c>
      <c r="L325" s="165" t="s">
        <v>828</v>
      </c>
      <c r="M325" s="166" t="str">
        <f t="shared" si="57"/>
        <v>常规</v>
      </c>
      <c r="N325" s="167"/>
      <c r="O325" s="169"/>
      <c r="P325" s="170"/>
      <c r="Q325" s="169"/>
      <c r="R325" s="167"/>
      <c r="S325" s="167" t="s">
        <v>1458</v>
      </c>
      <c r="T325" s="167">
        <v>2</v>
      </c>
      <c r="U325" s="166" t="str">
        <f t="shared" si="58"/>
        <v>包</v>
      </c>
      <c r="V325" s="167"/>
      <c r="W325" s="167"/>
      <c r="X325" s="166" t="str">
        <f t="shared" si="59"/>
        <v/>
      </c>
      <c r="Y325" s="166" t="str">
        <f t="shared" si="60"/>
        <v>包</v>
      </c>
      <c r="Z325" s="167"/>
      <c r="AA325" s="167"/>
      <c r="AB325" s="167"/>
    </row>
    <row r="326" spans="1:28" s="175" customFormat="1" ht="19.899999999999999" customHeight="1" x14ac:dyDescent="0.15">
      <c r="A326" s="163">
        <v>323</v>
      </c>
      <c r="B326" s="176" t="s">
        <v>1459</v>
      </c>
      <c r="C326" s="165" t="s">
        <v>0</v>
      </c>
      <c r="D326" s="166" t="str">
        <f t="shared" si="56"/>
        <v>专用物耗</v>
      </c>
      <c r="E326" s="167"/>
      <c r="F326" s="167" t="s">
        <v>1460</v>
      </c>
      <c r="G326" s="167"/>
      <c r="H326" s="167"/>
      <c r="I326" s="167" t="s">
        <v>1144</v>
      </c>
      <c r="J326" s="165" t="s">
        <v>821</v>
      </c>
      <c r="K326" s="167">
        <v>20</v>
      </c>
      <c r="L326" s="165" t="s">
        <v>841</v>
      </c>
      <c r="M326" s="166" t="str">
        <f t="shared" si="57"/>
        <v>常规</v>
      </c>
      <c r="N326" s="167"/>
      <c r="O326" s="169"/>
      <c r="P326" s="170"/>
      <c r="Q326" s="169"/>
      <c r="R326" s="167"/>
      <c r="S326" s="167" t="s">
        <v>2207</v>
      </c>
      <c r="T326" s="167">
        <v>20</v>
      </c>
      <c r="U326" s="166" t="str">
        <f t="shared" si="58"/>
        <v>箱</v>
      </c>
      <c r="V326" s="167"/>
      <c r="W326" s="167"/>
      <c r="X326" s="166" t="str">
        <f t="shared" ref="X326:X377" si="61">IF((K326-T326)&lt;=0,"",K326-T326)</f>
        <v/>
      </c>
      <c r="Y326" s="166" t="str">
        <f t="shared" si="60"/>
        <v>箱</v>
      </c>
      <c r="Z326" s="167"/>
      <c r="AA326" s="167"/>
      <c r="AB326" s="172"/>
    </row>
    <row r="327" spans="1:28" s="175" customFormat="1" ht="19.899999999999999" customHeight="1" x14ac:dyDescent="0.15">
      <c r="A327" s="163">
        <v>324</v>
      </c>
      <c r="B327" s="176" t="s">
        <v>1459</v>
      </c>
      <c r="C327" s="165" t="s">
        <v>0</v>
      </c>
      <c r="D327" s="166" t="str">
        <f t="shared" si="56"/>
        <v>专用物耗</v>
      </c>
      <c r="E327" s="167"/>
      <c r="F327" s="167" t="s">
        <v>1461</v>
      </c>
      <c r="G327" s="167"/>
      <c r="H327" s="167"/>
      <c r="I327" s="167" t="s">
        <v>1145</v>
      </c>
      <c r="J327" s="165" t="s">
        <v>821</v>
      </c>
      <c r="K327" s="167">
        <v>4</v>
      </c>
      <c r="L327" s="165" t="s">
        <v>841</v>
      </c>
      <c r="M327" s="166" t="str">
        <f t="shared" si="57"/>
        <v>常规</v>
      </c>
      <c r="N327" s="167"/>
      <c r="O327" s="169"/>
      <c r="P327" s="170"/>
      <c r="Q327" s="169"/>
      <c r="R327" s="167"/>
      <c r="S327" s="167" t="s">
        <v>969</v>
      </c>
      <c r="T327" s="167">
        <v>4</v>
      </c>
      <c r="U327" s="166" t="str">
        <f t="shared" si="58"/>
        <v>箱</v>
      </c>
      <c r="V327" s="167"/>
      <c r="W327" s="167"/>
      <c r="X327" s="166" t="str">
        <f t="shared" si="61"/>
        <v/>
      </c>
      <c r="Y327" s="166" t="str">
        <f t="shared" si="60"/>
        <v>箱</v>
      </c>
      <c r="Z327" s="167"/>
      <c r="AA327" s="167"/>
      <c r="AB327" s="167"/>
    </row>
    <row r="328" spans="1:28" s="175" customFormat="1" ht="19.899999999999999" customHeight="1" x14ac:dyDescent="0.15">
      <c r="A328" s="163">
        <v>325</v>
      </c>
      <c r="B328" s="176" t="s">
        <v>1462</v>
      </c>
      <c r="C328" s="165" t="s">
        <v>0</v>
      </c>
      <c r="D328" s="166" t="str">
        <f t="shared" si="56"/>
        <v>专用物耗</v>
      </c>
      <c r="E328" s="167"/>
      <c r="F328" s="167"/>
      <c r="G328" s="167"/>
      <c r="H328" s="167"/>
      <c r="I328" s="167" t="s">
        <v>1146</v>
      </c>
      <c r="J328" s="165" t="s">
        <v>821</v>
      </c>
      <c r="K328" s="167">
        <v>60</v>
      </c>
      <c r="L328" s="165" t="s">
        <v>834</v>
      </c>
      <c r="M328" s="166" t="str">
        <f t="shared" si="57"/>
        <v>常规</v>
      </c>
      <c r="N328" s="167"/>
      <c r="O328" s="169" t="s">
        <v>2248</v>
      </c>
      <c r="P328" s="170" t="s">
        <v>2239</v>
      </c>
      <c r="Q328" s="169"/>
      <c r="R328" s="167"/>
      <c r="S328" s="167" t="s">
        <v>1463</v>
      </c>
      <c r="T328" s="167">
        <v>60</v>
      </c>
      <c r="U328" s="166" t="str">
        <f t="shared" si="58"/>
        <v>副</v>
      </c>
      <c r="V328" s="167"/>
      <c r="W328" s="167"/>
      <c r="X328" s="166" t="str">
        <f t="shared" si="61"/>
        <v/>
      </c>
      <c r="Y328" s="166" t="str">
        <f t="shared" si="60"/>
        <v>副</v>
      </c>
      <c r="Z328" s="167"/>
      <c r="AA328" s="167"/>
      <c r="AB328" s="167"/>
    </row>
    <row r="329" spans="1:28" s="175" customFormat="1" ht="19.899999999999999" customHeight="1" x14ac:dyDescent="0.15">
      <c r="A329" s="163">
        <v>326</v>
      </c>
      <c r="B329" s="176" t="s">
        <v>1464</v>
      </c>
      <c r="C329" s="165" t="s">
        <v>0</v>
      </c>
      <c r="D329" s="166" t="str">
        <f t="shared" si="56"/>
        <v>专用物耗</v>
      </c>
      <c r="E329" s="167"/>
      <c r="F329" s="167" t="s">
        <v>967</v>
      </c>
      <c r="G329" s="167"/>
      <c r="H329" s="167"/>
      <c r="I329" s="167" t="s">
        <v>1147</v>
      </c>
      <c r="J329" s="165" t="s">
        <v>821</v>
      </c>
      <c r="K329" s="167">
        <v>1</v>
      </c>
      <c r="L329" s="165" t="s">
        <v>822</v>
      </c>
      <c r="M329" s="166" t="str">
        <f t="shared" si="57"/>
        <v>常规</v>
      </c>
      <c r="N329" s="167"/>
      <c r="O329" s="169"/>
      <c r="P329" s="170"/>
      <c r="Q329" s="169"/>
      <c r="R329" s="167"/>
      <c r="S329" s="167" t="s">
        <v>968</v>
      </c>
      <c r="T329" s="167">
        <v>1</v>
      </c>
      <c r="U329" s="166" t="str">
        <f t="shared" si="58"/>
        <v>只</v>
      </c>
      <c r="V329" s="167"/>
      <c r="W329" s="167"/>
      <c r="X329" s="166" t="str">
        <f t="shared" si="61"/>
        <v/>
      </c>
      <c r="Y329" s="166" t="str">
        <f t="shared" si="60"/>
        <v>只</v>
      </c>
      <c r="Z329" s="167"/>
      <c r="AA329" s="167"/>
      <c r="AB329" s="167"/>
    </row>
    <row r="330" spans="1:28" s="175" customFormat="1" ht="19.899999999999999" customHeight="1" x14ac:dyDescent="0.15">
      <c r="A330" s="163">
        <v>327</v>
      </c>
      <c r="B330" s="176" t="s">
        <v>1459</v>
      </c>
      <c r="C330" s="165" t="s">
        <v>0</v>
      </c>
      <c r="D330" s="166" t="str">
        <f t="shared" si="56"/>
        <v>专用物耗</v>
      </c>
      <c r="E330" s="167"/>
      <c r="F330" s="167" t="s">
        <v>1465</v>
      </c>
      <c r="G330" s="167"/>
      <c r="H330" s="167"/>
      <c r="I330" s="167" t="s">
        <v>1148</v>
      </c>
      <c r="J330" s="165" t="s">
        <v>821</v>
      </c>
      <c r="K330" s="167">
        <v>5</v>
      </c>
      <c r="L330" s="165" t="s">
        <v>841</v>
      </c>
      <c r="M330" s="166" t="str">
        <f t="shared" si="57"/>
        <v>常规</v>
      </c>
      <c r="N330" s="167"/>
      <c r="O330" s="169"/>
      <c r="P330" s="170"/>
      <c r="Q330" s="169"/>
      <c r="R330" s="167"/>
      <c r="S330" s="167" t="s">
        <v>971</v>
      </c>
      <c r="T330" s="167">
        <v>5</v>
      </c>
      <c r="U330" s="166" t="str">
        <f t="shared" si="58"/>
        <v>箱</v>
      </c>
      <c r="V330" s="167"/>
      <c r="W330" s="167"/>
      <c r="X330" s="166" t="str">
        <f t="shared" si="61"/>
        <v/>
      </c>
      <c r="Y330" s="166" t="str">
        <f t="shared" si="60"/>
        <v>箱</v>
      </c>
      <c r="Z330" s="167"/>
      <c r="AA330" s="167"/>
      <c r="AB330" s="167"/>
    </row>
    <row r="331" spans="1:28" s="175" customFormat="1" ht="19.899999999999999" customHeight="1" x14ac:dyDescent="0.15">
      <c r="A331" s="163">
        <v>328</v>
      </c>
      <c r="B331" s="176" t="s">
        <v>1466</v>
      </c>
      <c r="C331" s="165" t="s">
        <v>0</v>
      </c>
      <c r="D331" s="166" t="str">
        <f t="shared" si="56"/>
        <v>专用物耗</v>
      </c>
      <c r="E331" s="167"/>
      <c r="F331" s="167"/>
      <c r="G331" s="167"/>
      <c r="H331" s="167"/>
      <c r="I331" s="167" t="s">
        <v>1149</v>
      </c>
      <c r="J331" s="165" t="s">
        <v>821</v>
      </c>
      <c r="K331" s="167">
        <v>1</v>
      </c>
      <c r="L331" s="165" t="s">
        <v>836</v>
      </c>
      <c r="M331" s="166" t="str">
        <f t="shared" si="57"/>
        <v>常规</v>
      </c>
      <c r="N331" s="167"/>
      <c r="O331" s="169"/>
      <c r="P331" s="170"/>
      <c r="Q331" s="169"/>
      <c r="R331" s="167"/>
      <c r="S331" s="167" t="s">
        <v>979</v>
      </c>
      <c r="T331" s="167">
        <v>1</v>
      </c>
      <c r="U331" s="166" t="str">
        <f t="shared" si="58"/>
        <v>把</v>
      </c>
      <c r="V331" s="167"/>
      <c r="W331" s="167"/>
      <c r="X331" s="166" t="str">
        <f t="shared" si="61"/>
        <v/>
      </c>
      <c r="Y331" s="166" t="str">
        <f t="shared" si="60"/>
        <v>把</v>
      </c>
      <c r="Z331" s="167"/>
      <c r="AA331" s="167"/>
      <c r="AB331" s="167"/>
    </row>
    <row r="332" spans="1:28" s="175" customFormat="1" ht="19.899999999999999" customHeight="1" x14ac:dyDescent="0.15">
      <c r="A332" s="163">
        <v>329</v>
      </c>
      <c r="B332" s="176" t="s">
        <v>1301</v>
      </c>
      <c r="C332" s="165" t="s">
        <v>0</v>
      </c>
      <c r="D332" s="166" t="str">
        <f t="shared" si="56"/>
        <v>专用物耗</v>
      </c>
      <c r="E332" s="167" t="s">
        <v>1467</v>
      </c>
      <c r="F332" s="167" t="s">
        <v>1449</v>
      </c>
      <c r="G332" s="167"/>
      <c r="H332" s="167"/>
      <c r="I332" s="167" t="s">
        <v>1150</v>
      </c>
      <c r="J332" s="165" t="s">
        <v>821</v>
      </c>
      <c r="K332" s="167">
        <v>5</v>
      </c>
      <c r="L332" s="165" t="s">
        <v>826</v>
      </c>
      <c r="M332" s="166" t="str">
        <f t="shared" si="57"/>
        <v>常规</v>
      </c>
      <c r="N332" s="167"/>
      <c r="O332" s="169"/>
      <c r="P332" s="170"/>
      <c r="Q332" s="169"/>
      <c r="R332" s="167"/>
      <c r="S332" s="167" t="s">
        <v>1468</v>
      </c>
      <c r="T332" s="167">
        <v>5</v>
      </c>
      <c r="U332" s="166" t="str">
        <f t="shared" si="58"/>
        <v>盒</v>
      </c>
      <c r="V332" s="167"/>
      <c r="W332" s="167"/>
      <c r="X332" s="166" t="str">
        <f t="shared" si="61"/>
        <v/>
      </c>
      <c r="Y332" s="166" t="str">
        <f t="shared" si="60"/>
        <v>盒</v>
      </c>
      <c r="Z332" s="167"/>
      <c r="AA332" s="167"/>
      <c r="AB332" s="167"/>
    </row>
    <row r="333" spans="1:28" s="175" customFormat="1" ht="19.899999999999999" customHeight="1" x14ac:dyDescent="0.15">
      <c r="A333" s="163">
        <v>330</v>
      </c>
      <c r="B333" s="176" t="s">
        <v>1469</v>
      </c>
      <c r="C333" s="165" t="s">
        <v>0</v>
      </c>
      <c r="D333" s="166" t="str">
        <f t="shared" si="56"/>
        <v>专用物耗</v>
      </c>
      <c r="E333" s="167"/>
      <c r="F333" s="167"/>
      <c r="G333" s="167"/>
      <c r="H333" s="167"/>
      <c r="I333" s="167" t="s">
        <v>1151</v>
      </c>
      <c r="J333" s="165" t="s">
        <v>821</v>
      </c>
      <c r="K333" s="167">
        <v>1</v>
      </c>
      <c r="L333" s="165" t="s">
        <v>822</v>
      </c>
      <c r="M333" s="166" t="str">
        <f t="shared" si="57"/>
        <v>常规</v>
      </c>
      <c r="N333" s="167"/>
      <c r="O333" s="169"/>
      <c r="P333" s="170"/>
      <c r="Q333" s="169"/>
      <c r="R333" s="167"/>
      <c r="S333" s="167" t="s">
        <v>980</v>
      </c>
      <c r="T333" s="167">
        <v>1</v>
      </c>
      <c r="U333" s="166" t="str">
        <f t="shared" si="58"/>
        <v>只</v>
      </c>
      <c r="V333" s="167"/>
      <c r="W333" s="167"/>
      <c r="X333" s="166" t="str">
        <f t="shared" si="61"/>
        <v/>
      </c>
      <c r="Y333" s="166" t="str">
        <f t="shared" si="60"/>
        <v>只</v>
      </c>
      <c r="Z333" s="167"/>
      <c r="AA333" s="167"/>
      <c r="AB333" s="167"/>
    </row>
    <row r="334" spans="1:28" s="175" customFormat="1" ht="19.899999999999999" customHeight="1" x14ac:dyDescent="0.15">
      <c r="A334" s="163">
        <v>331</v>
      </c>
      <c r="B334" s="176" t="s">
        <v>1470</v>
      </c>
      <c r="C334" s="165" t="s">
        <v>0</v>
      </c>
      <c r="D334" s="166" t="str">
        <f t="shared" si="56"/>
        <v>专用物耗</v>
      </c>
      <c r="E334" s="167"/>
      <c r="F334" s="176" t="s">
        <v>983</v>
      </c>
      <c r="G334" s="167"/>
      <c r="H334" s="167"/>
      <c r="I334" s="167" t="s">
        <v>1152</v>
      </c>
      <c r="J334" s="165" t="s">
        <v>821</v>
      </c>
      <c r="K334" s="167">
        <v>5</v>
      </c>
      <c r="L334" s="165" t="s">
        <v>822</v>
      </c>
      <c r="M334" s="166" t="str">
        <f t="shared" si="57"/>
        <v>常规</v>
      </c>
      <c r="N334" s="167"/>
      <c r="O334" s="169"/>
      <c r="P334" s="170"/>
      <c r="Q334" s="169"/>
      <c r="R334" s="167"/>
      <c r="S334" s="167" t="s">
        <v>989</v>
      </c>
      <c r="T334" s="167">
        <v>5</v>
      </c>
      <c r="U334" s="166" t="str">
        <f t="shared" si="58"/>
        <v>只</v>
      </c>
      <c r="V334" s="167"/>
      <c r="W334" s="167"/>
      <c r="X334" s="166" t="str">
        <f t="shared" si="61"/>
        <v/>
      </c>
      <c r="Y334" s="166" t="str">
        <f t="shared" si="60"/>
        <v>只</v>
      </c>
      <c r="Z334" s="167"/>
      <c r="AA334" s="167"/>
      <c r="AB334" s="167"/>
    </row>
    <row r="335" spans="1:28" s="46" customFormat="1" ht="19.899999999999999" customHeight="1" x14ac:dyDescent="0.15">
      <c r="A335" s="34">
        <v>332</v>
      </c>
      <c r="B335" s="52" t="s">
        <v>1471</v>
      </c>
      <c r="C335" s="29" t="s">
        <v>0</v>
      </c>
      <c r="D335" s="32" t="str">
        <f t="shared" si="56"/>
        <v>专用物耗</v>
      </c>
      <c r="E335" s="15"/>
      <c r="F335" s="52" t="s">
        <v>984</v>
      </c>
      <c r="G335" s="15"/>
      <c r="H335" s="15"/>
      <c r="I335" s="15" t="s">
        <v>1153</v>
      </c>
      <c r="J335" s="29" t="s">
        <v>821</v>
      </c>
      <c r="K335" s="15">
        <v>10</v>
      </c>
      <c r="L335" s="29" t="s">
        <v>822</v>
      </c>
      <c r="M335" s="32" t="str">
        <f t="shared" si="57"/>
        <v>常规</v>
      </c>
      <c r="N335" s="15"/>
      <c r="O335" s="137" t="s">
        <v>2259</v>
      </c>
      <c r="P335" s="134" t="s">
        <v>2237</v>
      </c>
      <c r="Q335" s="137"/>
      <c r="R335" s="15"/>
      <c r="S335" s="46" t="s">
        <v>990</v>
      </c>
      <c r="T335" s="15">
        <v>5</v>
      </c>
      <c r="U335" s="32" t="str">
        <f t="shared" si="58"/>
        <v>只</v>
      </c>
      <c r="V335" s="15"/>
      <c r="W335" s="15"/>
      <c r="X335" s="32">
        <f t="shared" si="61"/>
        <v>5</v>
      </c>
      <c r="Y335" s="32" t="str">
        <f t="shared" si="60"/>
        <v>只</v>
      </c>
      <c r="Z335" s="15"/>
      <c r="AA335" s="15"/>
      <c r="AB335" s="15"/>
    </row>
    <row r="336" spans="1:28" s="175" customFormat="1" ht="19.899999999999999" customHeight="1" x14ac:dyDescent="0.15">
      <c r="A336" s="163">
        <v>333</v>
      </c>
      <c r="B336" s="176" t="s">
        <v>1472</v>
      </c>
      <c r="C336" s="165" t="s">
        <v>0</v>
      </c>
      <c r="D336" s="166" t="str">
        <f t="shared" si="56"/>
        <v>专用物耗</v>
      </c>
      <c r="E336" s="167"/>
      <c r="F336" s="176"/>
      <c r="G336" s="167"/>
      <c r="H336" s="167"/>
      <c r="I336" s="167" t="s">
        <v>1154</v>
      </c>
      <c r="J336" s="165" t="s">
        <v>821</v>
      </c>
      <c r="K336" s="167">
        <v>3</v>
      </c>
      <c r="L336" s="165" t="s">
        <v>822</v>
      </c>
      <c r="M336" s="166" t="str">
        <f t="shared" si="57"/>
        <v>常规</v>
      </c>
      <c r="N336" s="167"/>
      <c r="O336" s="169"/>
      <c r="P336" s="170"/>
      <c r="Q336" s="169"/>
      <c r="R336" s="167"/>
      <c r="S336" s="167" t="s">
        <v>991</v>
      </c>
      <c r="T336" s="167">
        <v>3</v>
      </c>
      <c r="U336" s="166" t="str">
        <f t="shared" si="58"/>
        <v>只</v>
      </c>
      <c r="V336" s="167"/>
      <c r="W336" s="167"/>
      <c r="X336" s="166" t="str">
        <f t="shared" si="61"/>
        <v/>
      </c>
      <c r="Y336" s="166" t="str">
        <f t="shared" si="60"/>
        <v>只</v>
      </c>
      <c r="Z336" s="167"/>
      <c r="AA336" s="167"/>
      <c r="AB336" s="167"/>
    </row>
    <row r="337" spans="1:28" s="175" customFormat="1" ht="19.899999999999999" customHeight="1" x14ac:dyDescent="0.15">
      <c r="A337" s="163">
        <v>334</v>
      </c>
      <c r="B337" s="176" t="s">
        <v>1473</v>
      </c>
      <c r="C337" s="165" t="s">
        <v>0</v>
      </c>
      <c r="D337" s="166" t="str">
        <f t="shared" si="56"/>
        <v>专用物耗</v>
      </c>
      <c r="E337" s="167"/>
      <c r="F337" s="176" t="s">
        <v>985</v>
      </c>
      <c r="G337" s="167"/>
      <c r="H337" s="167"/>
      <c r="I337" s="167" t="s">
        <v>1155</v>
      </c>
      <c r="J337" s="165" t="s">
        <v>821</v>
      </c>
      <c r="K337" s="167">
        <v>5</v>
      </c>
      <c r="L337" s="165" t="s">
        <v>822</v>
      </c>
      <c r="M337" s="166" t="str">
        <f t="shared" si="57"/>
        <v>常规</v>
      </c>
      <c r="N337" s="167"/>
      <c r="O337" s="169"/>
      <c r="P337" s="170"/>
      <c r="Q337" s="169"/>
      <c r="R337" s="167"/>
      <c r="S337" s="167" t="s">
        <v>994</v>
      </c>
      <c r="T337" s="167">
        <v>5</v>
      </c>
      <c r="U337" s="166" t="str">
        <f t="shared" si="58"/>
        <v>只</v>
      </c>
      <c r="V337" s="167"/>
      <c r="W337" s="167"/>
      <c r="X337" s="166" t="str">
        <f t="shared" si="61"/>
        <v/>
      </c>
      <c r="Y337" s="166" t="str">
        <f t="shared" si="60"/>
        <v>只</v>
      </c>
      <c r="Z337" s="167"/>
      <c r="AA337" s="167"/>
      <c r="AB337" s="167"/>
    </row>
    <row r="338" spans="1:28" s="175" customFormat="1" ht="19.899999999999999" customHeight="1" x14ac:dyDescent="0.15">
      <c r="A338" s="163">
        <v>335</v>
      </c>
      <c r="B338" s="176" t="s">
        <v>1473</v>
      </c>
      <c r="C338" s="165" t="s">
        <v>0</v>
      </c>
      <c r="D338" s="166" t="str">
        <f t="shared" si="56"/>
        <v>专用物耗</v>
      </c>
      <c r="E338" s="167"/>
      <c r="F338" s="176" t="s">
        <v>986</v>
      </c>
      <c r="G338" s="167"/>
      <c r="H338" s="167"/>
      <c r="I338" s="167" t="s">
        <v>1156</v>
      </c>
      <c r="J338" s="165" t="s">
        <v>821</v>
      </c>
      <c r="K338" s="167">
        <v>7</v>
      </c>
      <c r="L338" s="165" t="s">
        <v>822</v>
      </c>
      <c r="M338" s="166" t="str">
        <f t="shared" si="57"/>
        <v>常规</v>
      </c>
      <c r="N338" s="167"/>
      <c r="O338" s="169"/>
      <c r="P338" s="170"/>
      <c r="Q338" s="169"/>
      <c r="R338" s="167"/>
      <c r="S338" s="167" t="s">
        <v>995</v>
      </c>
      <c r="T338" s="167">
        <v>7</v>
      </c>
      <c r="U338" s="166" t="str">
        <f t="shared" si="58"/>
        <v>只</v>
      </c>
      <c r="V338" s="167"/>
      <c r="W338" s="167"/>
      <c r="X338" s="166" t="str">
        <f t="shared" si="61"/>
        <v/>
      </c>
      <c r="Y338" s="166" t="str">
        <f t="shared" si="60"/>
        <v>只</v>
      </c>
      <c r="Z338" s="167"/>
      <c r="AA338" s="167"/>
      <c r="AB338" s="167"/>
    </row>
    <row r="339" spans="1:28" s="175" customFormat="1" ht="19.899999999999999" customHeight="1" x14ac:dyDescent="0.15">
      <c r="A339" s="163">
        <v>336</v>
      </c>
      <c r="B339" s="176" t="s">
        <v>1474</v>
      </c>
      <c r="C339" s="165" t="s">
        <v>0</v>
      </c>
      <c r="D339" s="166" t="str">
        <f t="shared" si="56"/>
        <v>专用物耗</v>
      </c>
      <c r="E339" s="167"/>
      <c r="F339" s="176" t="s">
        <v>987</v>
      </c>
      <c r="G339" s="167"/>
      <c r="H339" s="167"/>
      <c r="I339" s="167" t="s">
        <v>1614</v>
      </c>
      <c r="J339" s="165" t="s">
        <v>821</v>
      </c>
      <c r="K339" s="167">
        <v>5</v>
      </c>
      <c r="L339" s="165" t="s">
        <v>828</v>
      </c>
      <c r="M339" s="166" t="str">
        <f t="shared" si="57"/>
        <v>常规</v>
      </c>
      <c r="N339" s="167"/>
      <c r="O339" s="169"/>
      <c r="P339" s="170"/>
      <c r="Q339" s="169"/>
      <c r="R339" s="167"/>
      <c r="S339" s="167" t="s">
        <v>1615</v>
      </c>
      <c r="T339" s="167">
        <v>5</v>
      </c>
      <c r="U339" s="166" t="str">
        <f t="shared" si="58"/>
        <v>包</v>
      </c>
      <c r="V339" s="167"/>
      <c r="W339" s="167"/>
      <c r="X339" s="166" t="str">
        <f t="shared" si="61"/>
        <v/>
      </c>
      <c r="Y339" s="166" t="str">
        <f t="shared" si="60"/>
        <v>包</v>
      </c>
      <c r="Z339" s="167"/>
      <c r="AA339" s="167"/>
      <c r="AB339" s="167"/>
    </row>
    <row r="340" spans="1:28" s="175" customFormat="1" ht="19.899999999999999" customHeight="1" x14ac:dyDescent="0.15">
      <c r="A340" s="163">
        <v>337</v>
      </c>
      <c r="B340" s="176" t="s">
        <v>1475</v>
      </c>
      <c r="C340" s="165" t="s">
        <v>0</v>
      </c>
      <c r="D340" s="166" t="str">
        <f t="shared" si="56"/>
        <v>专用物耗</v>
      </c>
      <c r="E340" s="167"/>
      <c r="F340" s="167" t="s">
        <v>988</v>
      </c>
      <c r="G340" s="167"/>
      <c r="H340" s="167"/>
      <c r="I340" s="167" t="s">
        <v>1157</v>
      </c>
      <c r="J340" s="165" t="s">
        <v>821</v>
      </c>
      <c r="K340" s="167">
        <v>100</v>
      </c>
      <c r="L340" s="165" t="s">
        <v>822</v>
      </c>
      <c r="M340" s="166" t="str">
        <f t="shared" si="57"/>
        <v>常规</v>
      </c>
      <c r="N340" s="167"/>
      <c r="O340" s="169"/>
      <c r="P340" s="170"/>
      <c r="Q340" s="169"/>
      <c r="R340" s="167"/>
      <c r="S340" s="167" t="s">
        <v>1015</v>
      </c>
      <c r="T340" s="167">
        <v>100</v>
      </c>
      <c r="U340" s="166" t="str">
        <f t="shared" si="58"/>
        <v>只</v>
      </c>
      <c r="V340" s="167"/>
      <c r="W340" s="167"/>
      <c r="X340" s="166" t="str">
        <f t="shared" si="61"/>
        <v/>
      </c>
      <c r="Y340" s="166" t="str">
        <f t="shared" si="60"/>
        <v>只</v>
      </c>
      <c r="Z340" s="167"/>
      <c r="AA340" s="167"/>
      <c r="AB340" s="167"/>
    </row>
    <row r="341" spans="1:28" s="175" customFormat="1" ht="19.899999999999999" customHeight="1" x14ac:dyDescent="0.15">
      <c r="A341" s="163">
        <v>338</v>
      </c>
      <c r="B341" s="176" t="s">
        <v>1476</v>
      </c>
      <c r="C341" s="165" t="s">
        <v>0</v>
      </c>
      <c r="D341" s="166" t="str">
        <f t="shared" si="56"/>
        <v>专用物耗</v>
      </c>
      <c r="E341" s="167"/>
      <c r="F341" s="176"/>
      <c r="G341" s="167"/>
      <c r="H341" s="167"/>
      <c r="I341" s="167" t="s">
        <v>1158</v>
      </c>
      <c r="J341" s="165" t="s">
        <v>821</v>
      </c>
      <c r="K341" s="167">
        <v>1</v>
      </c>
      <c r="L341" s="240" t="s">
        <v>1305</v>
      </c>
      <c r="M341" s="166" t="str">
        <f t="shared" si="57"/>
        <v>常规</v>
      </c>
      <c r="N341" s="167"/>
      <c r="O341" s="169"/>
      <c r="P341" s="170"/>
      <c r="Q341" s="169"/>
      <c r="R341" s="167"/>
      <c r="S341" s="167" t="s">
        <v>1029</v>
      </c>
      <c r="T341" s="167">
        <v>1</v>
      </c>
      <c r="U341" s="166" t="str">
        <f t="shared" si="58"/>
        <v>根</v>
      </c>
      <c r="V341" s="167"/>
      <c r="W341" s="167"/>
      <c r="X341" s="166" t="str">
        <f t="shared" si="61"/>
        <v/>
      </c>
      <c r="Y341" s="166" t="str">
        <f t="shared" si="60"/>
        <v>根</v>
      </c>
      <c r="Z341" s="167"/>
      <c r="AA341" s="167"/>
      <c r="AB341" s="167"/>
    </row>
    <row r="342" spans="1:28" s="175" customFormat="1" ht="19.899999999999999" customHeight="1" x14ac:dyDescent="0.15">
      <c r="A342" s="163">
        <v>339</v>
      </c>
      <c r="B342" s="178" t="s">
        <v>1477</v>
      </c>
      <c r="C342" s="165" t="s">
        <v>0</v>
      </c>
      <c r="D342" s="166" t="str">
        <f t="shared" si="56"/>
        <v>专用物耗</v>
      </c>
      <c r="E342" s="167"/>
      <c r="F342" s="167" t="s">
        <v>1478</v>
      </c>
      <c r="G342" s="167"/>
      <c r="H342" s="167"/>
      <c r="I342" s="167" t="s">
        <v>1159</v>
      </c>
      <c r="J342" s="165" t="s">
        <v>821</v>
      </c>
      <c r="K342" s="178">
        <v>4</v>
      </c>
      <c r="L342" s="179" t="s">
        <v>1538</v>
      </c>
      <c r="M342" s="166" t="str">
        <f t="shared" si="57"/>
        <v>常规</v>
      </c>
      <c r="N342" s="167"/>
      <c r="O342" s="169"/>
      <c r="P342" s="170"/>
      <c r="Q342" s="169"/>
      <c r="R342" s="167"/>
      <c r="S342" s="167" t="s">
        <v>1030</v>
      </c>
      <c r="T342" s="178">
        <v>4</v>
      </c>
      <c r="U342" s="166" t="str">
        <f t="shared" si="58"/>
        <v>个</v>
      </c>
      <c r="V342" s="167"/>
      <c r="W342" s="167"/>
      <c r="X342" s="166" t="str">
        <f t="shared" si="61"/>
        <v/>
      </c>
      <c r="Y342" s="166" t="str">
        <f t="shared" si="60"/>
        <v>个</v>
      </c>
      <c r="Z342" s="167"/>
      <c r="AA342" s="167"/>
      <c r="AB342" s="167"/>
    </row>
    <row r="343" spans="1:28" s="175" customFormat="1" ht="19.899999999999999" customHeight="1" x14ac:dyDescent="0.15">
      <c r="A343" s="163">
        <v>340</v>
      </c>
      <c r="B343" s="178" t="s">
        <v>1479</v>
      </c>
      <c r="C343" s="165" t="s">
        <v>0</v>
      </c>
      <c r="D343" s="166" t="str">
        <f t="shared" si="56"/>
        <v>专用物耗</v>
      </c>
      <c r="E343" s="167"/>
      <c r="F343" s="167" t="s">
        <v>1478</v>
      </c>
      <c r="G343" s="167"/>
      <c r="H343" s="167"/>
      <c r="I343" s="167" t="s">
        <v>1160</v>
      </c>
      <c r="J343" s="165" t="s">
        <v>821</v>
      </c>
      <c r="K343" s="178">
        <v>50</v>
      </c>
      <c r="L343" s="179" t="s">
        <v>1539</v>
      </c>
      <c r="M343" s="166" t="str">
        <f t="shared" si="57"/>
        <v>常规</v>
      </c>
      <c r="N343" s="167"/>
      <c r="O343" s="169"/>
      <c r="P343" s="170"/>
      <c r="Q343" s="169"/>
      <c r="R343" s="167"/>
      <c r="S343" s="167" t="s">
        <v>1031</v>
      </c>
      <c r="T343" s="178">
        <v>50</v>
      </c>
      <c r="U343" s="166" t="str">
        <f t="shared" si="58"/>
        <v>张</v>
      </c>
      <c r="V343" s="167"/>
      <c r="W343" s="167"/>
      <c r="X343" s="166" t="str">
        <f t="shared" si="61"/>
        <v/>
      </c>
      <c r="Y343" s="166" t="str">
        <f t="shared" si="60"/>
        <v>张</v>
      </c>
      <c r="Z343" s="167"/>
      <c r="AA343" s="167"/>
      <c r="AB343" s="167"/>
    </row>
    <row r="344" spans="1:28" s="46" customFormat="1" ht="19.899999999999999" customHeight="1" x14ac:dyDescent="0.15">
      <c r="A344" s="34">
        <v>341</v>
      </c>
      <c r="B344" s="48" t="s">
        <v>1540</v>
      </c>
      <c r="C344" s="29" t="s">
        <v>0</v>
      </c>
      <c r="D344" s="32" t="str">
        <f t="shared" si="56"/>
        <v>专用物耗</v>
      </c>
      <c r="E344" s="15"/>
      <c r="F344" s="15" t="s">
        <v>1541</v>
      </c>
      <c r="G344" s="15"/>
      <c r="H344" s="15"/>
      <c r="I344" s="15" t="s">
        <v>1161</v>
      </c>
      <c r="J344" s="29" t="s">
        <v>821</v>
      </c>
      <c r="K344" s="48">
        <v>10</v>
      </c>
      <c r="L344" s="61" t="s">
        <v>1538</v>
      </c>
      <c r="M344" s="32" t="str">
        <f t="shared" si="57"/>
        <v>常规</v>
      </c>
      <c r="N344" s="15"/>
      <c r="O344" s="137" t="s">
        <v>2248</v>
      </c>
      <c r="P344" s="134" t="s">
        <v>2236</v>
      </c>
      <c r="Q344" s="137"/>
      <c r="R344" s="15"/>
      <c r="S344" s="15" t="s">
        <v>1032</v>
      </c>
      <c r="T344" s="48">
        <v>2</v>
      </c>
      <c r="U344" s="32" t="str">
        <f t="shared" si="58"/>
        <v>个</v>
      </c>
      <c r="V344" s="15"/>
      <c r="W344" s="15"/>
      <c r="X344" s="32">
        <f t="shared" si="61"/>
        <v>8</v>
      </c>
      <c r="Y344" s="32" t="str">
        <f t="shared" si="60"/>
        <v>个</v>
      </c>
      <c r="Z344" s="15"/>
      <c r="AA344" s="15"/>
      <c r="AB344" s="15"/>
    </row>
    <row r="345" spans="1:28" s="175" customFormat="1" ht="19.899999999999999" customHeight="1" x14ac:dyDescent="0.15">
      <c r="A345" s="163">
        <v>342</v>
      </c>
      <c r="B345" s="178" t="s">
        <v>1480</v>
      </c>
      <c r="C345" s="165" t="s">
        <v>0</v>
      </c>
      <c r="D345" s="166" t="str">
        <f t="shared" si="56"/>
        <v>专用物耗</v>
      </c>
      <c r="E345" s="167"/>
      <c r="F345" s="167" t="s">
        <v>1481</v>
      </c>
      <c r="G345" s="167"/>
      <c r="H345" s="167"/>
      <c r="I345" s="167" t="s">
        <v>1162</v>
      </c>
      <c r="J345" s="165" t="s">
        <v>821</v>
      </c>
      <c r="K345" s="178">
        <v>2</v>
      </c>
      <c r="L345" s="179" t="s">
        <v>1538</v>
      </c>
      <c r="M345" s="166" t="str">
        <f t="shared" si="57"/>
        <v>常规</v>
      </c>
      <c r="N345" s="167"/>
      <c r="O345" s="169"/>
      <c r="P345" s="170"/>
      <c r="Q345" s="169"/>
      <c r="R345" s="167"/>
      <c r="S345" s="167" t="s">
        <v>1033</v>
      </c>
      <c r="T345" s="178">
        <v>2</v>
      </c>
      <c r="U345" s="166" t="str">
        <f t="shared" si="58"/>
        <v>个</v>
      </c>
      <c r="V345" s="167"/>
      <c r="W345" s="167"/>
      <c r="X345" s="166" t="str">
        <f t="shared" si="61"/>
        <v/>
      </c>
      <c r="Y345" s="166" t="str">
        <f t="shared" si="60"/>
        <v>个</v>
      </c>
      <c r="Z345" s="167"/>
      <c r="AA345" s="167"/>
      <c r="AB345" s="167"/>
    </row>
    <row r="346" spans="1:28" s="175" customFormat="1" ht="19.899999999999999" customHeight="1" x14ac:dyDescent="0.15">
      <c r="A346" s="163">
        <v>343</v>
      </c>
      <c r="B346" s="178" t="s">
        <v>1482</v>
      </c>
      <c r="C346" s="165" t="s">
        <v>0</v>
      </c>
      <c r="D346" s="166" t="str">
        <f t="shared" si="56"/>
        <v>专用物耗</v>
      </c>
      <c r="E346" s="167"/>
      <c r="F346" s="167" t="s">
        <v>1016</v>
      </c>
      <c r="G346" s="167"/>
      <c r="H346" s="167"/>
      <c r="I346" s="167" t="s">
        <v>1163</v>
      </c>
      <c r="J346" s="165" t="s">
        <v>821</v>
      </c>
      <c r="K346" s="178">
        <v>2</v>
      </c>
      <c r="L346" s="179" t="s">
        <v>1538</v>
      </c>
      <c r="M346" s="166" t="str">
        <f t="shared" si="57"/>
        <v>常规</v>
      </c>
      <c r="N346" s="167"/>
      <c r="O346" s="169"/>
      <c r="P346" s="170"/>
      <c r="Q346" s="169"/>
      <c r="R346" s="167"/>
      <c r="S346" s="167" t="s">
        <v>1034</v>
      </c>
      <c r="T346" s="178">
        <v>2</v>
      </c>
      <c r="U346" s="166" t="str">
        <f t="shared" si="58"/>
        <v>个</v>
      </c>
      <c r="V346" s="167"/>
      <c r="W346" s="167"/>
      <c r="X346" s="166" t="str">
        <f t="shared" si="61"/>
        <v/>
      </c>
      <c r="Y346" s="166" t="str">
        <f t="shared" si="60"/>
        <v>个</v>
      </c>
      <c r="Z346" s="167"/>
      <c r="AA346" s="167"/>
      <c r="AB346" s="167"/>
    </row>
    <row r="347" spans="1:28" s="175" customFormat="1" ht="19.899999999999999" customHeight="1" x14ac:dyDescent="0.15">
      <c r="A347" s="163">
        <v>344</v>
      </c>
      <c r="B347" s="178" t="s">
        <v>1483</v>
      </c>
      <c r="C347" s="165" t="s">
        <v>0</v>
      </c>
      <c r="D347" s="166" t="str">
        <f t="shared" si="56"/>
        <v>专用物耗</v>
      </c>
      <c r="E347" s="167"/>
      <c r="F347" s="167" t="s">
        <v>1484</v>
      </c>
      <c r="G347" s="167"/>
      <c r="H347" s="167"/>
      <c r="I347" s="167" t="s">
        <v>1164</v>
      </c>
      <c r="J347" s="165" t="s">
        <v>821</v>
      </c>
      <c r="K347" s="178">
        <v>2</v>
      </c>
      <c r="L347" s="179" t="s">
        <v>1538</v>
      </c>
      <c r="M347" s="166" t="str">
        <f t="shared" si="57"/>
        <v>常规</v>
      </c>
      <c r="N347" s="167"/>
      <c r="O347" s="169"/>
      <c r="P347" s="170"/>
      <c r="Q347" s="169"/>
      <c r="R347" s="167"/>
      <c r="S347" s="167" t="s">
        <v>1035</v>
      </c>
      <c r="T347" s="178">
        <v>2</v>
      </c>
      <c r="U347" s="166" t="str">
        <f t="shared" si="58"/>
        <v>个</v>
      </c>
      <c r="V347" s="167"/>
      <c r="W347" s="167"/>
      <c r="X347" s="166" t="str">
        <f t="shared" si="61"/>
        <v/>
      </c>
      <c r="Y347" s="166" t="str">
        <f t="shared" si="60"/>
        <v>个</v>
      </c>
      <c r="Z347" s="167"/>
      <c r="AA347" s="167"/>
      <c r="AB347" s="167"/>
    </row>
    <row r="348" spans="1:28" s="175" customFormat="1" ht="19.899999999999999" customHeight="1" x14ac:dyDescent="0.15">
      <c r="A348" s="163">
        <v>345</v>
      </c>
      <c r="B348" s="176" t="s">
        <v>1485</v>
      </c>
      <c r="C348" s="165" t="s">
        <v>0</v>
      </c>
      <c r="D348" s="166" t="str">
        <f t="shared" si="56"/>
        <v>专用物耗</v>
      </c>
      <c r="E348" s="167"/>
      <c r="F348" s="167"/>
      <c r="G348" s="167"/>
      <c r="H348" s="167"/>
      <c r="I348" s="167" t="s">
        <v>1165</v>
      </c>
      <c r="J348" s="165" t="s">
        <v>821</v>
      </c>
      <c r="K348" s="167">
        <v>2</v>
      </c>
      <c r="L348" s="165" t="s">
        <v>823</v>
      </c>
      <c r="M348" s="166" t="str">
        <f t="shared" si="57"/>
        <v>常规</v>
      </c>
      <c r="N348" s="167"/>
      <c r="O348" s="169"/>
      <c r="P348" s="170"/>
      <c r="Q348" s="169"/>
      <c r="R348" s="167"/>
      <c r="S348" s="167" t="s">
        <v>1039</v>
      </c>
      <c r="T348" s="167">
        <v>2</v>
      </c>
      <c r="U348" s="166" t="str">
        <f t="shared" si="58"/>
        <v>个</v>
      </c>
      <c r="V348" s="167"/>
      <c r="W348" s="167"/>
      <c r="X348" s="166" t="str">
        <f t="shared" si="61"/>
        <v/>
      </c>
      <c r="Y348" s="166" t="str">
        <f t="shared" si="60"/>
        <v>个</v>
      </c>
      <c r="Z348" s="167"/>
      <c r="AA348" s="167"/>
      <c r="AB348" s="167"/>
    </row>
    <row r="349" spans="1:28" s="175" customFormat="1" ht="19.899999999999999" customHeight="1" x14ac:dyDescent="0.15">
      <c r="A349" s="163">
        <v>346</v>
      </c>
      <c r="B349" s="176" t="s">
        <v>1366</v>
      </c>
      <c r="C349" s="165" t="s">
        <v>0</v>
      </c>
      <c r="D349" s="166" t="str">
        <f t="shared" si="56"/>
        <v>专用物耗</v>
      </c>
      <c r="E349" s="167"/>
      <c r="F349" s="167" t="s">
        <v>1028</v>
      </c>
      <c r="G349" s="167"/>
      <c r="H349" s="167"/>
      <c r="I349" s="167" t="s">
        <v>2018</v>
      </c>
      <c r="J349" s="165" t="s">
        <v>821</v>
      </c>
      <c r="K349" s="167">
        <v>3</v>
      </c>
      <c r="L349" s="165" t="s">
        <v>828</v>
      </c>
      <c r="M349" s="166" t="str">
        <f t="shared" si="57"/>
        <v>常规</v>
      </c>
      <c r="N349" s="167"/>
      <c r="O349" s="169" t="s">
        <v>2259</v>
      </c>
      <c r="P349" s="170" t="s">
        <v>2236</v>
      </c>
      <c r="Q349" s="169"/>
      <c r="R349" s="167"/>
      <c r="S349" s="167" t="s">
        <v>2019</v>
      </c>
      <c r="T349" s="167">
        <v>3</v>
      </c>
      <c r="U349" s="166" t="str">
        <f t="shared" si="58"/>
        <v>包</v>
      </c>
      <c r="V349" s="167"/>
      <c r="W349" s="167"/>
      <c r="X349" s="166" t="str">
        <f t="shared" si="61"/>
        <v/>
      </c>
      <c r="Y349" s="166" t="str">
        <f t="shared" si="60"/>
        <v>包</v>
      </c>
      <c r="Z349" s="167"/>
      <c r="AA349" s="167"/>
      <c r="AB349" s="167"/>
    </row>
    <row r="350" spans="1:28" s="46" customFormat="1" ht="19.899999999999999" customHeight="1" x14ac:dyDescent="0.15">
      <c r="A350" s="34">
        <v>347</v>
      </c>
      <c r="B350" s="52" t="s">
        <v>1487</v>
      </c>
      <c r="C350" s="29" t="s">
        <v>0</v>
      </c>
      <c r="D350" s="32" t="str">
        <f t="shared" si="56"/>
        <v>专用物耗</v>
      </c>
      <c r="E350" s="15" t="s">
        <v>1415</v>
      </c>
      <c r="F350" s="15" t="s">
        <v>1488</v>
      </c>
      <c r="G350" s="15"/>
      <c r="H350" s="15"/>
      <c r="I350" s="15" t="s">
        <v>1167</v>
      </c>
      <c r="J350" s="29" t="s">
        <v>821</v>
      </c>
      <c r="K350" s="15">
        <v>10</v>
      </c>
      <c r="L350" s="29" t="s">
        <v>826</v>
      </c>
      <c r="M350" s="32" t="str">
        <f t="shared" si="57"/>
        <v>常规</v>
      </c>
      <c r="N350" s="15"/>
      <c r="O350" s="137" t="s">
        <v>2259</v>
      </c>
      <c r="P350" s="134" t="s">
        <v>2238</v>
      </c>
      <c r="Q350" s="137"/>
      <c r="R350" s="15"/>
      <c r="S350" s="15" t="s">
        <v>1489</v>
      </c>
      <c r="T350" s="15">
        <v>5</v>
      </c>
      <c r="U350" s="32" t="str">
        <f t="shared" si="58"/>
        <v>盒</v>
      </c>
      <c r="V350" s="15"/>
      <c r="W350" s="15"/>
      <c r="X350" s="32">
        <f t="shared" si="61"/>
        <v>5</v>
      </c>
      <c r="Y350" s="32" t="str">
        <f t="shared" si="60"/>
        <v>盒</v>
      </c>
      <c r="Z350" s="15"/>
      <c r="AA350" s="15"/>
      <c r="AB350" s="15"/>
    </row>
    <row r="351" spans="1:28" s="175" customFormat="1" ht="19.899999999999999" customHeight="1" x14ac:dyDescent="0.15">
      <c r="A351" s="163">
        <v>348</v>
      </c>
      <c r="B351" s="176" t="s">
        <v>1410</v>
      </c>
      <c r="C351" s="165" t="s">
        <v>0</v>
      </c>
      <c r="D351" s="166" t="str">
        <f t="shared" si="56"/>
        <v>专用物耗</v>
      </c>
      <c r="E351" s="167"/>
      <c r="F351" s="167"/>
      <c r="G351" s="167"/>
      <c r="H351" s="167"/>
      <c r="I351" s="167" t="s">
        <v>1168</v>
      </c>
      <c r="J351" s="165" t="s">
        <v>821</v>
      </c>
      <c r="K351" s="167">
        <v>2</v>
      </c>
      <c r="L351" s="165" t="s">
        <v>825</v>
      </c>
      <c r="M351" s="166" t="str">
        <f t="shared" si="57"/>
        <v>常规</v>
      </c>
      <c r="N351" s="167"/>
      <c r="O351" s="169"/>
      <c r="P351" s="170"/>
      <c r="Q351" s="169"/>
      <c r="R351" s="167"/>
      <c r="S351" s="167" t="s">
        <v>1038</v>
      </c>
      <c r="T351" s="167">
        <v>2</v>
      </c>
      <c r="U351" s="166" t="str">
        <f t="shared" si="58"/>
        <v>袋</v>
      </c>
      <c r="V351" s="167"/>
      <c r="W351" s="167"/>
      <c r="X351" s="166" t="str">
        <f t="shared" si="61"/>
        <v/>
      </c>
      <c r="Y351" s="166" t="str">
        <f t="shared" si="60"/>
        <v>袋</v>
      </c>
      <c r="Z351" s="167"/>
      <c r="AA351" s="167"/>
      <c r="AB351" s="167"/>
    </row>
    <row r="352" spans="1:28" s="175" customFormat="1" ht="19.899999999999999" customHeight="1" x14ac:dyDescent="0.15">
      <c r="A352" s="163">
        <v>349</v>
      </c>
      <c r="B352" s="176" t="s">
        <v>1490</v>
      </c>
      <c r="C352" s="165" t="s">
        <v>0</v>
      </c>
      <c r="D352" s="166" t="str">
        <f t="shared" si="56"/>
        <v>专用物耗</v>
      </c>
      <c r="E352" s="167"/>
      <c r="F352" s="167" t="s">
        <v>1491</v>
      </c>
      <c r="G352" s="167"/>
      <c r="H352" s="167"/>
      <c r="I352" s="167" t="s">
        <v>1169</v>
      </c>
      <c r="J352" s="165" t="s">
        <v>821</v>
      </c>
      <c r="K352" s="167">
        <v>1</v>
      </c>
      <c r="L352" s="165" t="s">
        <v>827</v>
      </c>
      <c r="M352" s="166" t="str">
        <f t="shared" si="57"/>
        <v>常规</v>
      </c>
      <c r="N352" s="167"/>
      <c r="O352" s="169"/>
      <c r="P352" s="170"/>
      <c r="Q352" s="169"/>
      <c r="R352" s="167"/>
      <c r="S352" s="167" t="s">
        <v>1041</v>
      </c>
      <c r="T352" s="167">
        <v>1</v>
      </c>
      <c r="U352" s="166" t="str">
        <f t="shared" si="58"/>
        <v>套</v>
      </c>
      <c r="V352" s="167"/>
      <c r="W352" s="167"/>
      <c r="X352" s="166" t="str">
        <f t="shared" si="61"/>
        <v/>
      </c>
      <c r="Y352" s="166" t="str">
        <f t="shared" si="60"/>
        <v>套</v>
      </c>
      <c r="Z352" s="167"/>
      <c r="AA352" s="167"/>
      <c r="AB352" s="167"/>
    </row>
    <row r="353" spans="1:28" s="175" customFormat="1" ht="19.899999999999999" customHeight="1" x14ac:dyDescent="0.15">
      <c r="A353" s="163">
        <v>350</v>
      </c>
      <c r="B353" s="176" t="s">
        <v>1492</v>
      </c>
      <c r="C353" s="165" t="s">
        <v>0</v>
      </c>
      <c r="D353" s="166" t="str">
        <f t="shared" si="56"/>
        <v>专用物耗</v>
      </c>
      <c r="E353" s="167"/>
      <c r="F353" s="167" t="s">
        <v>1037</v>
      </c>
      <c r="G353" s="167"/>
      <c r="H353" s="167"/>
      <c r="I353" s="167" t="s">
        <v>1170</v>
      </c>
      <c r="J353" s="165" t="s">
        <v>821</v>
      </c>
      <c r="K353" s="167">
        <v>1</v>
      </c>
      <c r="L353" s="165" t="s">
        <v>823</v>
      </c>
      <c r="M353" s="166" t="str">
        <f t="shared" si="57"/>
        <v>常规</v>
      </c>
      <c r="N353" s="167"/>
      <c r="O353" s="169"/>
      <c r="P353" s="170"/>
      <c r="Q353" s="169"/>
      <c r="R353" s="167"/>
      <c r="S353" s="167" t="s">
        <v>1042</v>
      </c>
      <c r="T353" s="167">
        <v>1</v>
      </c>
      <c r="U353" s="166" t="str">
        <f t="shared" si="58"/>
        <v>个</v>
      </c>
      <c r="V353" s="167"/>
      <c r="W353" s="167"/>
      <c r="X353" s="166" t="str">
        <f t="shared" si="61"/>
        <v/>
      </c>
      <c r="Y353" s="166" t="str">
        <f t="shared" si="60"/>
        <v>个</v>
      </c>
      <c r="Z353" s="167"/>
      <c r="AA353" s="167"/>
      <c r="AB353" s="167"/>
    </row>
    <row r="354" spans="1:28" s="175" customFormat="1" ht="19.899999999999999" customHeight="1" x14ac:dyDescent="0.15">
      <c r="A354" s="163">
        <v>351</v>
      </c>
      <c r="B354" s="176" t="s">
        <v>1493</v>
      </c>
      <c r="C354" s="165" t="s">
        <v>0</v>
      </c>
      <c r="D354" s="166" t="str">
        <f t="shared" si="56"/>
        <v>专用物耗</v>
      </c>
      <c r="E354" s="167"/>
      <c r="F354" s="167"/>
      <c r="G354" s="167"/>
      <c r="H354" s="167"/>
      <c r="I354" s="167" t="s">
        <v>1171</v>
      </c>
      <c r="J354" s="165" t="s">
        <v>821</v>
      </c>
      <c r="K354" s="167">
        <v>6</v>
      </c>
      <c r="L354" s="165" t="s">
        <v>826</v>
      </c>
      <c r="M354" s="166" t="str">
        <f t="shared" si="57"/>
        <v>常规</v>
      </c>
      <c r="N354" s="167"/>
      <c r="O354" s="169" t="s">
        <v>2248</v>
      </c>
      <c r="P354" s="170" t="s">
        <v>2239</v>
      </c>
      <c r="Q354" s="169"/>
      <c r="R354" s="167"/>
      <c r="S354" s="167" t="s">
        <v>2072</v>
      </c>
      <c r="T354" s="167">
        <v>6</v>
      </c>
      <c r="U354" s="166" t="str">
        <f t="shared" si="58"/>
        <v>盒</v>
      </c>
      <c r="V354" s="167"/>
      <c r="W354" s="167"/>
      <c r="X354" s="166" t="str">
        <f t="shared" si="61"/>
        <v/>
      </c>
      <c r="Y354" s="166" t="str">
        <f t="shared" si="60"/>
        <v>盒</v>
      </c>
      <c r="Z354" s="167"/>
      <c r="AA354" s="167"/>
      <c r="AB354" s="167"/>
    </row>
    <row r="355" spans="1:28" s="175" customFormat="1" ht="19.899999999999999" customHeight="1" x14ac:dyDescent="0.15">
      <c r="A355" s="163">
        <v>352</v>
      </c>
      <c r="B355" s="176" t="s">
        <v>1301</v>
      </c>
      <c r="C355" s="165" t="s">
        <v>0</v>
      </c>
      <c r="D355" s="166" t="str">
        <f t="shared" si="56"/>
        <v>专用物耗</v>
      </c>
      <c r="E355" s="167"/>
      <c r="F355" s="167" t="s">
        <v>1494</v>
      </c>
      <c r="G355" s="167"/>
      <c r="H355" s="167"/>
      <c r="I355" s="167" t="s">
        <v>1172</v>
      </c>
      <c r="J355" s="165" t="s">
        <v>821</v>
      </c>
      <c r="K355" s="167">
        <v>8</v>
      </c>
      <c r="L355" s="165" t="s">
        <v>826</v>
      </c>
      <c r="M355" s="166" t="str">
        <f t="shared" si="57"/>
        <v>常规</v>
      </c>
      <c r="N355" s="167"/>
      <c r="O355" s="169" t="s">
        <v>2248</v>
      </c>
      <c r="P355" s="170" t="s">
        <v>2239</v>
      </c>
      <c r="Q355" s="169"/>
      <c r="R355" s="167"/>
      <c r="S355" s="167" t="s">
        <v>2066</v>
      </c>
      <c r="T355" s="167">
        <v>8</v>
      </c>
      <c r="U355" s="166" t="str">
        <f t="shared" si="58"/>
        <v>盒</v>
      </c>
      <c r="V355" s="167"/>
      <c r="W355" s="167"/>
      <c r="X355" s="166" t="str">
        <f t="shared" si="61"/>
        <v/>
      </c>
      <c r="Y355" s="166" t="str">
        <f t="shared" si="60"/>
        <v>盒</v>
      </c>
      <c r="Z355" s="167"/>
      <c r="AA355" s="167"/>
      <c r="AB355" s="167"/>
    </row>
    <row r="356" spans="1:28" s="175" customFormat="1" ht="19.899999999999999" customHeight="1" x14ac:dyDescent="0.15">
      <c r="A356" s="163">
        <v>353</v>
      </c>
      <c r="B356" s="176" t="s">
        <v>1311</v>
      </c>
      <c r="C356" s="165" t="s">
        <v>0</v>
      </c>
      <c r="D356" s="166" t="str">
        <f t="shared" si="56"/>
        <v>专用物耗</v>
      </c>
      <c r="E356" s="167"/>
      <c r="F356" s="167" t="s">
        <v>1043</v>
      </c>
      <c r="G356" s="167"/>
      <c r="H356" s="167"/>
      <c r="I356" s="167" t="s">
        <v>1173</v>
      </c>
      <c r="J356" s="165" t="s">
        <v>821</v>
      </c>
      <c r="K356" s="167">
        <v>10</v>
      </c>
      <c r="L356" s="165" t="s">
        <v>841</v>
      </c>
      <c r="M356" s="166" t="str">
        <f t="shared" si="57"/>
        <v>常规</v>
      </c>
      <c r="N356" s="167"/>
      <c r="O356" s="180" t="s">
        <v>2260</v>
      </c>
      <c r="P356" s="169" t="s">
        <v>2535</v>
      </c>
      <c r="Q356" s="169"/>
      <c r="R356" s="167"/>
      <c r="S356" s="167" t="s">
        <v>2208</v>
      </c>
      <c r="T356" s="167">
        <v>10</v>
      </c>
      <c r="U356" s="166" t="str">
        <f t="shared" si="58"/>
        <v>箱</v>
      </c>
      <c r="V356" s="167"/>
      <c r="W356" s="167"/>
      <c r="X356" s="166" t="str">
        <f t="shared" si="61"/>
        <v/>
      </c>
      <c r="Y356" s="166" t="str">
        <f t="shared" si="60"/>
        <v>箱</v>
      </c>
      <c r="Z356" s="167"/>
      <c r="AA356" s="167"/>
      <c r="AB356" s="172"/>
    </row>
    <row r="357" spans="1:28" s="175" customFormat="1" ht="19.899999999999999" customHeight="1" x14ac:dyDescent="0.15">
      <c r="A357" s="163">
        <v>354</v>
      </c>
      <c r="B357" s="176" t="s">
        <v>1495</v>
      </c>
      <c r="C357" s="165" t="s">
        <v>0</v>
      </c>
      <c r="D357" s="166" t="str">
        <f t="shared" si="56"/>
        <v>专用物耗</v>
      </c>
      <c r="E357" s="167"/>
      <c r="F357" s="167" t="s">
        <v>1496</v>
      </c>
      <c r="G357" s="167"/>
      <c r="H357" s="167"/>
      <c r="I357" s="167" t="s">
        <v>1175</v>
      </c>
      <c r="J357" s="165" t="s">
        <v>821</v>
      </c>
      <c r="K357" s="167">
        <v>1</v>
      </c>
      <c r="L357" s="165" t="s">
        <v>824</v>
      </c>
      <c r="M357" s="166" t="str">
        <f t="shared" si="57"/>
        <v>常规</v>
      </c>
      <c r="N357" s="167"/>
      <c r="O357" s="169"/>
      <c r="P357" s="170"/>
      <c r="Q357" s="169"/>
      <c r="R357" s="167"/>
      <c r="S357" s="167" t="s">
        <v>1047</v>
      </c>
      <c r="T357" s="167">
        <v>1</v>
      </c>
      <c r="U357" s="166" t="str">
        <f t="shared" si="58"/>
        <v>支</v>
      </c>
      <c r="V357" s="167"/>
      <c r="W357" s="167"/>
      <c r="X357" s="166" t="str">
        <f t="shared" si="61"/>
        <v/>
      </c>
      <c r="Y357" s="166" t="str">
        <f t="shared" si="60"/>
        <v>支</v>
      </c>
      <c r="Z357" s="167"/>
      <c r="AA357" s="167"/>
      <c r="AB357" s="167"/>
    </row>
    <row r="358" spans="1:28" s="175" customFormat="1" ht="19.899999999999999" customHeight="1" x14ac:dyDescent="0.15">
      <c r="A358" s="163">
        <v>355</v>
      </c>
      <c r="B358" s="176" t="s">
        <v>1497</v>
      </c>
      <c r="C358" s="165" t="s">
        <v>0</v>
      </c>
      <c r="D358" s="166" t="str">
        <f t="shared" si="56"/>
        <v>专用物耗</v>
      </c>
      <c r="E358" s="167"/>
      <c r="F358" s="167"/>
      <c r="G358" s="167"/>
      <c r="H358" s="167"/>
      <c r="I358" s="167" t="s">
        <v>1176</v>
      </c>
      <c r="J358" s="165" t="s">
        <v>821</v>
      </c>
      <c r="K358" s="167">
        <v>1</v>
      </c>
      <c r="L358" s="165" t="s">
        <v>824</v>
      </c>
      <c r="M358" s="166" t="str">
        <f t="shared" si="57"/>
        <v>常规</v>
      </c>
      <c r="N358" s="167"/>
      <c r="O358" s="169"/>
      <c r="P358" s="170"/>
      <c r="Q358" s="169"/>
      <c r="R358" s="167"/>
      <c r="S358" s="167" t="s">
        <v>1046</v>
      </c>
      <c r="T358" s="167">
        <v>1</v>
      </c>
      <c r="U358" s="166" t="str">
        <f t="shared" si="58"/>
        <v>支</v>
      </c>
      <c r="V358" s="167"/>
      <c r="W358" s="167"/>
      <c r="X358" s="166" t="str">
        <f t="shared" si="61"/>
        <v/>
      </c>
      <c r="Y358" s="166" t="str">
        <f t="shared" si="60"/>
        <v>支</v>
      </c>
      <c r="Z358" s="167"/>
      <c r="AA358" s="167"/>
      <c r="AB358" s="167"/>
    </row>
    <row r="359" spans="1:28" s="175" customFormat="1" ht="19.899999999999999" customHeight="1" x14ac:dyDescent="0.15">
      <c r="A359" s="163">
        <v>356</v>
      </c>
      <c r="B359" s="176" t="s">
        <v>1498</v>
      </c>
      <c r="C359" s="165" t="s">
        <v>0</v>
      </c>
      <c r="D359" s="166" t="str">
        <f t="shared" si="56"/>
        <v>专用物耗</v>
      </c>
      <c r="E359" s="167"/>
      <c r="F359" s="167"/>
      <c r="G359" s="167"/>
      <c r="H359" s="167"/>
      <c r="I359" s="167" t="s">
        <v>1177</v>
      </c>
      <c r="J359" s="165" t="s">
        <v>821</v>
      </c>
      <c r="K359" s="167">
        <v>2</v>
      </c>
      <c r="L359" s="165" t="s">
        <v>824</v>
      </c>
      <c r="M359" s="166" t="str">
        <f t="shared" si="57"/>
        <v>常规</v>
      </c>
      <c r="N359" s="167"/>
      <c r="O359" s="169"/>
      <c r="P359" s="170"/>
      <c r="Q359" s="169"/>
      <c r="R359" s="167"/>
      <c r="S359" s="167" t="s">
        <v>1048</v>
      </c>
      <c r="T359" s="167">
        <v>2</v>
      </c>
      <c r="U359" s="166" t="str">
        <f t="shared" si="58"/>
        <v>支</v>
      </c>
      <c r="V359" s="167"/>
      <c r="W359" s="167"/>
      <c r="X359" s="166" t="str">
        <f t="shared" si="61"/>
        <v/>
      </c>
      <c r="Y359" s="166" t="str">
        <f t="shared" si="60"/>
        <v>支</v>
      </c>
      <c r="Z359" s="167"/>
      <c r="AA359" s="167"/>
      <c r="AB359" s="167"/>
    </row>
    <row r="360" spans="1:28" s="175" customFormat="1" ht="19.899999999999999" customHeight="1" x14ac:dyDescent="0.15">
      <c r="A360" s="163">
        <v>357</v>
      </c>
      <c r="B360" s="176" t="s">
        <v>1499</v>
      </c>
      <c r="C360" s="165" t="s">
        <v>0</v>
      </c>
      <c r="D360" s="166" t="str">
        <f t="shared" si="56"/>
        <v>专用物耗</v>
      </c>
      <c r="E360" s="167"/>
      <c r="F360" s="167" t="s">
        <v>1045</v>
      </c>
      <c r="G360" s="167"/>
      <c r="H360" s="167"/>
      <c r="I360" s="167" t="s">
        <v>1178</v>
      </c>
      <c r="J360" s="165" t="s">
        <v>821</v>
      </c>
      <c r="K360" s="167">
        <v>1</v>
      </c>
      <c r="L360" s="165" t="s">
        <v>822</v>
      </c>
      <c r="M360" s="166" t="str">
        <f t="shared" si="57"/>
        <v>常规</v>
      </c>
      <c r="N360" s="167"/>
      <c r="O360" s="169"/>
      <c r="P360" s="170"/>
      <c r="Q360" s="169"/>
      <c r="R360" s="167"/>
      <c r="S360" s="167" t="s">
        <v>1049</v>
      </c>
      <c r="T360" s="167">
        <v>1</v>
      </c>
      <c r="U360" s="166" t="str">
        <f t="shared" si="58"/>
        <v>只</v>
      </c>
      <c r="V360" s="167"/>
      <c r="W360" s="167"/>
      <c r="X360" s="166" t="str">
        <f t="shared" si="61"/>
        <v/>
      </c>
      <c r="Y360" s="166" t="str">
        <f t="shared" si="60"/>
        <v>只</v>
      </c>
      <c r="Z360" s="167"/>
      <c r="AA360" s="167"/>
      <c r="AB360" s="167"/>
    </row>
    <row r="361" spans="1:28" s="175" customFormat="1" ht="19.899999999999999" customHeight="1" x14ac:dyDescent="0.15">
      <c r="A361" s="163">
        <v>358</v>
      </c>
      <c r="B361" s="176" t="s">
        <v>1500</v>
      </c>
      <c r="C361" s="165" t="s">
        <v>0</v>
      </c>
      <c r="D361" s="166" t="str">
        <f t="shared" si="56"/>
        <v>专用物耗</v>
      </c>
      <c r="E361" s="167"/>
      <c r="F361" s="167"/>
      <c r="G361" s="167"/>
      <c r="H361" s="167"/>
      <c r="I361" s="167" t="s">
        <v>1179</v>
      </c>
      <c r="J361" s="165" t="s">
        <v>821</v>
      </c>
      <c r="K361" s="167">
        <v>3</v>
      </c>
      <c r="L361" s="165" t="s">
        <v>832</v>
      </c>
      <c r="M361" s="166" t="str">
        <f t="shared" si="57"/>
        <v>常规</v>
      </c>
      <c r="N361" s="167"/>
      <c r="O361" s="169"/>
      <c r="P361" s="170"/>
      <c r="Q361" s="169"/>
      <c r="R361" s="167"/>
      <c r="S361" s="167" t="s">
        <v>1050</v>
      </c>
      <c r="T361" s="167">
        <v>3</v>
      </c>
      <c r="U361" s="166" t="str">
        <f t="shared" si="58"/>
        <v>瓶</v>
      </c>
      <c r="V361" s="167"/>
      <c r="W361" s="167"/>
      <c r="X361" s="166" t="str">
        <f t="shared" si="61"/>
        <v/>
      </c>
      <c r="Y361" s="166" t="str">
        <f t="shared" si="60"/>
        <v>瓶</v>
      </c>
      <c r="Z361" s="167"/>
      <c r="AA361" s="167"/>
      <c r="AB361" s="167"/>
    </row>
    <row r="362" spans="1:28" s="46" customFormat="1" ht="19.899999999999999" customHeight="1" x14ac:dyDescent="0.15">
      <c r="A362" s="34">
        <v>359</v>
      </c>
      <c r="B362" s="262" t="s">
        <v>1501</v>
      </c>
      <c r="C362" s="29" t="s">
        <v>0</v>
      </c>
      <c r="D362" s="32" t="str">
        <f t="shared" si="56"/>
        <v>专用物耗</v>
      </c>
      <c r="E362" s="15"/>
      <c r="F362" s="52" t="s">
        <v>1542</v>
      </c>
      <c r="G362" s="15"/>
      <c r="H362" s="15"/>
      <c r="I362" s="52" t="s">
        <v>1180</v>
      </c>
      <c r="J362" s="29" t="s">
        <v>821</v>
      </c>
      <c r="K362" s="15">
        <v>2</v>
      </c>
      <c r="L362" s="29" t="s">
        <v>1303</v>
      </c>
      <c r="M362" s="32" t="str">
        <f t="shared" si="57"/>
        <v>常规</v>
      </c>
      <c r="N362" s="15"/>
      <c r="O362" s="137" t="s">
        <v>2259</v>
      </c>
      <c r="P362" s="134" t="s">
        <v>2238</v>
      </c>
      <c r="Q362" s="137"/>
      <c r="R362" s="15"/>
      <c r="S362" s="15" t="s">
        <v>1079</v>
      </c>
      <c r="T362" s="15">
        <v>1</v>
      </c>
      <c r="U362" s="32" t="str">
        <f t="shared" si="58"/>
        <v>盒</v>
      </c>
      <c r="V362" s="15"/>
      <c r="W362" s="15"/>
      <c r="X362" s="32">
        <f t="shared" si="61"/>
        <v>1</v>
      </c>
      <c r="Y362" s="32" t="str">
        <f t="shared" si="60"/>
        <v>盒</v>
      </c>
      <c r="Z362" s="15"/>
      <c r="AA362" s="15"/>
      <c r="AB362" s="15"/>
    </row>
    <row r="363" spans="1:28" s="175" customFormat="1" ht="19.899999999999999" customHeight="1" x14ac:dyDescent="0.15">
      <c r="A363" s="163">
        <v>360</v>
      </c>
      <c r="B363" s="176" t="s">
        <v>1502</v>
      </c>
      <c r="C363" s="165" t="s">
        <v>0</v>
      </c>
      <c r="D363" s="166" t="str">
        <f t="shared" si="56"/>
        <v>专用物耗</v>
      </c>
      <c r="E363" s="167"/>
      <c r="F363" s="176" t="s">
        <v>1503</v>
      </c>
      <c r="G363" s="167"/>
      <c r="H363" s="167"/>
      <c r="I363" s="176" t="s">
        <v>1181</v>
      </c>
      <c r="J363" s="165" t="s">
        <v>821</v>
      </c>
      <c r="K363" s="167">
        <v>30</v>
      </c>
      <c r="L363" s="165" t="s">
        <v>1543</v>
      </c>
      <c r="M363" s="166" t="str">
        <f t="shared" si="57"/>
        <v>常规</v>
      </c>
      <c r="N363" s="167"/>
      <c r="O363" s="169"/>
      <c r="P363" s="170"/>
      <c r="Q363" s="169"/>
      <c r="R363" s="167"/>
      <c r="S363" s="167" t="s">
        <v>1053</v>
      </c>
      <c r="T363" s="167">
        <v>30</v>
      </c>
      <c r="U363" s="166" t="str">
        <f t="shared" si="58"/>
        <v>个</v>
      </c>
      <c r="V363" s="167"/>
      <c r="W363" s="167"/>
      <c r="X363" s="166" t="str">
        <f t="shared" si="61"/>
        <v/>
      </c>
      <c r="Y363" s="166" t="str">
        <f t="shared" si="60"/>
        <v>个</v>
      </c>
      <c r="Z363" s="167"/>
      <c r="AA363" s="167"/>
      <c r="AB363" s="167"/>
    </row>
    <row r="364" spans="1:28" s="175" customFormat="1" ht="19.899999999999999" customHeight="1" x14ac:dyDescent="0.15">
      <c r="A364" s="163">
        <v>361</v>
      </c>
      <c r="B364" s="176" t="s">
        <v>1459</v>
      </c>
      <c r="C364" s="165" t="s">
        <v>0</v>
      </c>
      <c r="D364" s="166" t="str">
        <f t="shared" si="56"/>
        <v>专用物耗</v>
      </c>
      <c r="E364" s="167"/>
      <c r="F364" s="176" t="s">
        <v>1504</v>
      </c>
      <c r="G364" s="167"/>
      <c r="H364" s="167"/>
      <c r="I364" s="176" t="s">
        <v>1182</v>
      </c>
      <c r="J364" s="165" t="s">
        <v>821</v>
      </c>
      <c r="K364" s="167">
        <v>1</v>
      </c>
      <c r="L364" s="165" t="s">
        <v>1313</v>
      </c>
      <c r="M364" s="166" t="str">
        <f t="shared" si="57"/>
        <v>常规</v>
      </c>
      <c r="N364" s="167"/>
      <c r="O364" s="169"/>
      <c r="P364" s="170"/>
      <c r="Q364" s="169"/>
      <c r="R364" s="167"/>
      <c r="S364" s="167" t="s">
        <v>1054</v>
      </c>
      <c r="T364" s="167">
        <v>1</v>
      </c>
      <c r="U364" s="166" t="str">
        <f t="shared" si="58"/>
        <v>箱</v>
      </c>
      <c r="V364" s="167"/>
      <c r="W364" s="167"/>
      <c r="X364" s="166" t="str">
        <f t="shared" si="61"/>
        <v/>
      </c>
      <c r="Y364" s="166" t="str">
        <f t="shared" si="60"/>
        <v>箱</v>
      </c>
      <c r="Z364" s="167"/>
      <c r="AA364" s="167"/>
      <c r="AB364" s="167"/>
    </row>
    <row r="365" spans="1:28" s="175" customFormat="1" ht="19.899999999999999" customHeight="1" x14ac:dyDescent="0.15">
      <c r="A365" s="163">
        <v>362</v>
      </c>
      <c r="B365" s="176" t="s">
        <v>1459</v>
      </c>
      <c r="C365" s="165" t="s">
        <v>0</v>
      </c>
      <c r="D365" s="166" t="str">
        <f t="shared" si="56"/>
        <v>专用物耗</v>
      </c>
      <c r="E365" s="167"/>
      <c r="F365" s="176" t="s">
        <v>1505</v>
      </c>
      <c r="G365" s="167"/>
      <c r="H365" s="167"/>
      <c r="I365" s="176" t="s">
        <v>1183</v>
      </c>
      <c r="J365" s="165" t="s">
        <v>821</v>
      </c>
      <c r="K365" s="167">
        <v>1</v>
      </c>
      <c r="L365" s="165" t="s">
        <v>1313</v>
      </c>
      <c r="M365" s="166" t="str">
        <f t="shared" si="57"/>
        <v>常规</v>
      </c>
      <c r="N365" s="167"/>
      <c r="O365" s="169"/>
      <c r="P365" s="170"/>
      <c r="Q365" s="169"/>
      <c r="R365" s="167"/>
      <c r="S365" s="167" t="s">
        <v>1055</v>
      </c>
      <c r="T365" s="167">
        <v>1</v>
      </c>
      <c r="U365" s="166" t="str">
        <f t="shared" si="58"/>
        <v>箱</v>
      </c>
      <c r="V365" s="167"/>
      <c r="W365" s="167"/>
      <c r="X365" s="166" t="str">
        <f t="shared" si="61"/>
        <v/>
      </c>
      <c r="Y365" s="166" t="str">
        <f t="shared" si="60"/>
        <v>箱</v>
      </c>
      <c r="Z365" s="167"/>
      <c r="AA365" s="167"/>
      <c r="AB365" s="167"/>
    </row>
    <row r="366" spans="1:28" s="46" customFormat="1" ht="19.899999999999999" customHeight="1" x14ac:dyDescent="0.15">
      <c r="A366" s="34">
        <v>363</v>
      </c>
      <c r="B366" s="52" t="s">
        <v>2536</v>
      </c>
      <c r="C366" s="29" t="s">
        <v>0</v>
      </c>
      <c r="D366" s="32" t="str">
        <f t="shared" si="56"/>
        <v>专用物耗</v>
      </c>
      <c r="E366" s="15"/>
      <c r="F366" s="52" t="s">
        <v>1052</v>
      </c>
      <c r="G366" s="15"/>
      <c r="H366" s="15"/>
      <c r="I366" s="52" t="s">
        <v>1184</v>
      </c>
      <c r="J366" s="29" t="s">
        <v>821</v>
      </c>
      <c r="K366" s="15">
        <v>200</v>
      </c>
      <c r="L366" s="29" t="s">
        <v>1543</v>
      </c>
      <c r="M366" s="32" t="str">
        <f t="shared" si="57"/>
        <v>常规</v>
      </c>
      <c r="N366" s="15"/>
      <c r="O366" s="137" t="s">
        <v>2259</v>
      </c>
      <c r="P366" s="134" t="s">
        <v>2235</v>
      </c>
      <c r="Q366" s="137"/>
      <c r="R366" s="15"/>
      <c r="S366" s="15"/>
      <c r="T366" s="15"/>
      <c r="U366" s="32" t="str">
        <f t="shared" si="58"/>
        <v>个</v>
      </c>
      <c r="V366" s="15"/>
      <c r="W366" s="15"/>
      <c r="X366" s="32">
        <f t="shared" si="61"/>
        <v>200</v>
      </c>
      <c r="Y366" s="32" t="str">
        <f t="shared" si="60"/>
        <v>个</v>
      </c>
      <c r="Z366" s="15"/>
      <c r="AA366" s="15"/>
      <c r="AB366" s="15"/>
    </row>
    <row r="367" spans="1:28" s="46" customFormat="1" ht="19.899999999999999" customHeight="1" x14ac:dyDescent="0.15">
      <c r="A367" s="34">
        <v>364</v>
      </c>
      <c r="B367" s="52" t="s">
        <v>1459</v>
      </c>
      <c r="C367" s="29" t="s">
        <v>0</v>
      </c>
      <c r="D367" s="32" t="str">
        <f t="shared" si="56"/>
        <v>专用物耗</v>
      </c>
      <c r="E367" s="15"/>
      <c r="F367" s="52" t="s">
        <v>2031</v>
      </c>
      <c r="G367" s="15"/>
      <c r="H367" s="15"/>
      <c r="I367" s="15" t="s">
        <v>2033</v>
      </c>
      <c r="J367" s="29" t="s">
        <v>821</v>
      </c>
      <c r="K367" s="15">
        <v>2</v>
      </c>
      <c r="L367" s="29" t="s">
        <v>841</v>
      </c>
      <c r="M367" s="32" t="str">
        <f t="shared" si="57"/>
        <v>常规</v>
      </c>
      <c r="N367" s="15"/>
      <c r="O367" s="135" t="s">
        <v>2260</v>
      </c>
      <c r="P367" s="137" t="s">
        <v>2535</v>
      </c>
      <c r="Q367" s="137"/>
      <c r="R367" s="15"/>
      <c r="S367" s="15" t="s">
        <v>2032</v>
      </c>
      <c r="T367" s="15">
        <v>1.1359999999999999</v>
      </c>
      <c r="U367" s="32" t="str">
        <f t="shared" si="58"/>
        <v>箱</v>
      </c>
      <c r="V367" s="15"/>
      <c r="W367" s="15"/>
      <c r="X367" s="32">
        <f t="shared" si="61"/>
        <v>0.8640000000000001</v>
      </c>
      <c r="Y367" s="32" t="str">
        <f t="shared" si="60"/>
        <v>箱</v>
      </c>
      <c r="Z367" s="15"/>
      <c r="AA367" s="15"/>
      <c r="AB367" s="35"/>
    </row>
    <row r="368" spans="1:28" s="46" customFormat="1" ht="19.899999999999999" customHeight="1" x14ac:dyDescent="0.15">
      <c r="A368" s="34">
        <v>365</v>
      </c>
      <c r="B368" s="52" t="s">
        <v>1459</v>
      </c>
      <c r="C368" s="29" t="s">
        <v>0</v>
      </c>
      <c r="D368" s="32" t="str">
        <f t="shared" ref="D368" si="62">IF(C368="J1","常规化学品",IF(C368="J2","危险化学品",IF(C368="J3","标准物质",IF(C368="J4","玻璃仪器",IF(C368="J5","实验气体",IF(C368="J6","专用物耗",IF(C368="J7","备品配件",IF(C368="J8","专用工具",IF(C368="Z1","劳保物资",IF(C368="Z2","办公耗材",IF(C368="Z3","食品饮料",IF(C368="Z4","特殊物耗",IF(C368="Z5","通用物耗",IF(C368="Z6","通用工具",""))))))))))))))</f>
        <v>专用物耗</v>
      </c>
      <c r="E368" s="15"/>
      <c r="F368" s="52" t="s">
        <v>2031</v>
      </c>
      <c r="G368" s="15"/>
      <c r="H368" s="15"/>
      <c r="I368" s="15" t="s">
        <v>2209</v>
      </c>
      <c r="J368" s="29" t="s">
        <v>821</v>
      </c>
      <c r="K368" s="15">
        <v>0.13600000000000001</v>
      </c>
      <c r="L368" s="29" t="s">
        <v>841</v>
      </c>
      <c r="M368" s="32" t="str">
        <f t="shared" ref="M368" si="63">IF(D368="危险化学品","五双",IF(D368="标准物资","严控",IF(D368&lt;&gt;"","常规","")))</f>
        <v>常规</v>
      </c>
      <c r="N368" s="15"/>
      <c r="O368" s="137"/>
      <c r="P368" s="134"/>
      <c r="Q368" s="137"/>
      <c r="R368" s="15"/>
      <c r="S368" s="15"/>
      <c r="T368" s="15"/>
      <c r="U368" s="32" t="str">
        <f t="shared" ref="U368" si="64">IF(L368="","",L368)</f>
        <v>箱</v>
      </c>
      <c r="V368" s="15"/>
      <c r="W368" s="15"/>
      <c r="X368" s="32">
        <f t="shared" ref="X368" si="65">IF((K368-T368)&lt;=0,"",K368-T368)</f>
        <v>0.13600000000000001</v>
      </c>
      <c r="Y368" s="32" t="str">
        <f t="shared" ref="Y368" si="66">IF(L368="","",L368)</f>
        <v>箱</v>
      </c>
      <c r="Z368" s="15"/>
      <c r="AA368" s="15"/>
      <c r="AB368" s="35"/>
    </row>
    <row r="369" spans="1:28" s="175" customFormat="1" ht="19.899999999999999" customHeight="1" x14ac:dyDescent="0.15">
      <c r="A369" s="163">
        <v>366</v>
      </c>
      <c r="B369" s="176" t="s">
        <v>1544</v>
      </c>
      <c r="C369" s="165" t="s">
        <v>0</v>
      </c>
      <c r="D369" s="166" t="str">
        <f t="shared" si="56"/>
        <v>专用物耗</v>
      </c>
      <c r="E369" s="167"/>
      <c r="F369" s="176"/>
      <c r="G369" s="167"/>
      <c r="H369" s="167"/>
      <c r="I369" s="167" t="s">
        <v>1186</v>
      </c>
      <c r="J369" s="165" t="s">
        <v>821</v>
      </c>
      <c r="K369" s="167">
        <v>1</v>
      </c>
      <c r="L369" s="165" t="s">
        <v>827</v>
      </c>
      <c r="M369" s="166" t="str">
        <f t="shared" si="57"/>
        <v>常规</v>
      </c>
      <c r="N369" s="167"/>
      <c r="O369" s="169"/>
      <c r="P369" s="170"/>
      <c r="Q369" s="169"/>
      <c r="R369" s="167"/>
      <c r="S369" s="167" t="s">
        <v>1060</v>
      </c>
      <c r="T369" s="167">
        <v>1</v>
      </c>
      <c r="U369" s="166" t="str">
        <f t="shared" si="58"/>
        <v>套</v>
      </c>
      <c r="V369" s="167"/>
      <c r="W369" s="167"/>
      <c r="X369" s="166" t="str">
        <f t="shared" si="61"/>
        <v/>
      </c>
      <c r="Y369" s="166" t="str">
        <f t="shared" si="60"/>
        <v>套</v>
      </c>
      <c r="Z369" s="167"/>
      <c r="AA369" s="167"/>
      <c r="AB369" s="167"/>
    </row>
    <row r="370" spans="1:28" s="46" customFormat="1" ht="19.899999999999999" customHeight="1" x14ac:dyDescent="0.15">
      <c r="A370" s="34">
        <v>367</v>
      </c>
      <c r="B370" s="52" t="s">
        <v>1545</v>
      </c>
      <c r="C370" s="29" t="s">
        <v>0</v>
      </c>
      <c r="D370" s="32" t="str">
        <f t="shared" si="56"/>
        <v>专用物耗</v>
      </c>
      <c r="E370" s="15" t="s">
        <v>1546</v>
      </c>
      <c r="F370" s="59" t="s">
        <v>1058</v>
      </c>
      <c r="G370" s="15"/>
      <c r="H370" s="15"/>
      <c r="I370" s="15" t="s">
        <v>1187</v>
      </c>
      <c r="J370" s="29" t="s">
        <v>821</v>
      </c>
      <c r="K370" s="15">
        <v>20</v>
      </c>
      <c r="L370" s="29" t="s">
        <v>829</v>
      </c>
      <c r="M370" s="32" t="str">
        <f t="shared" si="57"/>
        <v>常规</v>
      </c>
      <c r="N370" s="15"/>
      <c r="O370" s="137" t="s">
        <v>2259</v>
      </c>
      <c r="P370" s="134" t="s">
        <v>2238</v>
      </c>
      <c r="Q370" s="137"/>
      <c r="R370" s="15"/>
      <c r="S370" s="15" t="s">
        <v>2107</v>
      </c>
      <c r="T370" s="15">
        <v>8</v>
      </c>
      <c r="U370" s="32" t="str">
        <f t="shared" si="58"/>
        <v>本</v>
      </c>
      <c r="V370" s="15"/>
      <c r="W370" s="15"/>
      <c r="X370" s="32">
        <f t="shared" si="61"/>
        <v>12</v>
      </c>
      <c r="Y370" s="32" t="str">
        <f t="shared" si="60"/>
        <v>本</v>
      </c>
      <c r="Z370" s="15"/>
      <c r="AA370" s="15"/>
      <c r="AB370" s="15"/>
    </row>
    <row r="371" spans="1:28" s="46" customFormat="1" ht="19.899999999999999" customHeight="1" x14ac:dyDescent="0.15">
      <c r="A371" s="34">
        <v>368</v>
      </c>
      <c r="B371" s="52" t="s">
        <v>1547</v>
      </c>
      <c r="C371" s="29" t="s">
        <v>0</v>
      </c>
      <c r="D371" s="32" t="str">
        <f t="shared" si="56"/>
        <v>专用物耗</v>
      </c>
      <c r="E371" s="15" t="s">
        <v>1546</v>
      </c>
      <c r="F371" s="52" t="s">
        <v>1059</v>
      </c>
      <c r="G371" s="15"/>
      <c r="H371" s="15"/>
      <c r="I371" s="15" t="s">
        <v>1188</v>
      </c>
      <c r="J371" s="29" t="s">
        <v>821</v>
      </c>
      <c r="K371" s="15">
        <v>20</v>
      </c>
      <c r="L371" s="29" t="s">
        <v>829</v>
      </c>
      <c r="M371" s="32" t="str">
        <f t="shared" si="57"/>
        <v>常规</v>
      </c>
      <c r="N371" s="15"/>
      <c r="O371" s="137" t="s">
        <v>2259</v>
      </c>
      <c r="P371" s="134" t="s">
        <v>2238</v>
      </c>
      <c r="Q371" s="137"/>
      <c r="R371" s="15"/>
      <c r="S371" s="15"/>
      <c r="T371" s="15"/>
      <c r="U371" s="32" t="str">
        <f t="shared" si="58"/>
        <v>本</v>
      </c>
      <c r="V371" s="15"/>
      <c r="W371" s="15"/>
      <c r="X371" s="32">
        <f t="shared" si="61"/>
        <v>20</v>
      </c>
      <c r="Y371" s="32" t="str">
        <f t="shared" si="60"/>
        <v>本</v>
      </c>
      <c r="Z371" s="15"/>
      <c r="AA371" s="15"/>
      <c r="AB371" s="15"/>
    </row>
    <row r="372" spans="1:28" s="175" customFormat="1" ht="19.899999999999999" customHeight="1" x14ac:dyDescent="0.15">
      <c r="A372" s="163">
        <v>369</v>
      </c>
      <c r="B372" s="176" t="s">
        <v>1548</v>
      </c>
      <c r="C372" s="165" t="s">
        <v>0</v>
      </c>
      <c r="D372" s="166" t="str">
        <f t="shared" si="56"/>
        <v>专用物耗</v>
      </c>
      <c r="E372" s="167"/>
      <c r="F372" s="176"/>
      <c r="G372" s="167"/>
      <c r="H372" s="167"/>
      <c r="I372" s="167" t="s">
        <v>1189</v>
      </c>
      <c r="J372" s="165" t="s">
        <v>821</v>
      </c>
      <c r="K372" s="167">
        <v>1</v>
      </c>
      <c r="L372" s="165" t="s">
        <v>822</v>
      </c>
      <c r="M372" s="166" t="str">
        <f t="shared" si="57"/>
        <v>常规</v>
      </c>
      <c r="N372" s="167"/>
      <c r="O372" s="169"/>
      <c r="P372" s="170"/>
      <c r="Q372" s="169"/>
      <c r="R372" s="167"/>
      <c r="S372" s="167" t="s">
        <v>1062</v>
      </c>
      <c r="T372" s="167">
        <v>1</v>
      </c>
      <c r="U372" s="166" t="str">
        <f t="shared" si="58"/>
        <v>只</v>
      </c>
      <c r="V372" s="167"/>
      <c r="W372" s="167"/>
      <c r="X372" s="166" t="str">
        <f t="shared" si="61"/>
        <v/>
      </c>
      <c r="Y372" s="166" t="str">
        <f t="shared" si="60"/>
        <v>只</v>
      </c>
      <c r="Z372" s="167"/>
      <c r="AA372" s="167"/>
      <c r="AB372" s="167"/>
    </row>
    <row r="373" spans="1:28" s="175" customFormat="1" ht="19.899999999999999" customHeight="1" x14ac:dyDescent="0.15">
      <c r="A373" s="163">
        <v>370</v>
      </c>
      <c r="B373" s="176" t="s">
        <v>1549</v>
      </c>
      <c r="C373" s="165" t="s">
        <v>0</v>
      </c>
      <c r="D373" s="166" t="str">
        <f t="shared" si="56"/>
        <v>专用物耗</v>
      </c>
      <c r="E373" s="167"/>
      <c r="F373" s="176"/>
      <c r="G373" s="167"/>
      <c r="H373" s="167"/>
      <c r="I373" s="167" t="s">
        <v>1190</v>
      </c>
      <c r="J373" s="165" t="s">
        <v>821</v>
      </c>
      <c r="K373" s="167">
        <v>10</v>
      </c>
      <c r="L373" s="165" t="s">
        <v>823</v>
      </c>
      <c r="M373" s="166" t="str">
        <f t="shared" si="57"/>
        <v>常规</v>
      </c>
      <c r="N373" s="167"/>
      <c r="O373" s="169"/>
      <c r="P373" s="170"/>
      <c r="Q373" s="169"/>
      <c r="R373" s="167"/>
      <c r="S373" s="167" t="s">
        <v>1061</v>
      </c>
      <c r="T373" s="167">
        <v>10</v>
      </c>
      <c r="U373" s="166" t="str">
        <f t="shared" si="58"/>
        <v>个</v>
      </c>
      <c r="V373" s="167"/>
      <c r="W373" s="167"/>
      <c r="X373" s="166" t="str">
        <f t="shared" si="61"/>
        <v/>
      </c>
      <c r="Y373" s="166" t="str">
        <f t="shared" si="60"/>
        <v>个</v>
      </c>
      <c r="Z373" s="167"/>
      <c r="AA373" s="167"/>
      <c r="AB373" s="167"/>
    </row>
    <row r="374" spans="1:28" s="175" customFormat="1" ht="19.899999999999999" customHeight="1" x14ac:dyDescent="0.15">
      <c r="A374" s="163">
        <v>371</v>
      </c>
      <c r="B374" s="176" t="s">
        <v>1301</v>
      </c>
      <c r="C374" s="165" t="s">
        <v>0</v>
      </c>
      <c r="D374" s="166" t="str">
        <f t="shared" si="56"/>
        <v>专用物耗</v>
      </c>
      <c r="E374" s="167" t="s">
        <v>1467</v>
      </c>
      <c r="F374" s="176" t="s">
        <v>1550</v>
      </c>
      <c r="G374" s="167"/>
      <c r="H374" s="167"/>
      <c r="I374" s="167" t="s">
        <v>1191</v>
      </c>
      <c r="J374" s="165" t="s">
        <v>821</v>
      </c>
      <c r="K374" s="167">
        <v>4</v>
      </c>
      <c r="L374" s="165" t="s">
        <v>826</v>
      </c>
      <c r="M374" s="166" t="str">
        <f t="shared" si="57"/>
        <v>常规</v>
      </c>
      <c r="N374" s="167"/>
      <c r="O374" s="169" t="s">
        <v>2248</v>
      </c>
      <c r="P374" s="170" t="s">
        <v>2239</v>
      </c>
      <c r="Q374" s="169"/>
      <c r="R374" s="167"/>
      <c r="S374" s="167" t="s">
        <v>2050</v>
      </c>
      <c r="T374" s="167">
        <v>4</v>
      </c>
      <c r="U374" s="166" t="str">
        <f t="shared" si="58"/>
        <v>盒</v>
      </c>
      <c r="V374" s="167"/>
      <c r="W374" s="167"/>
      <c r="X374" s="166" t="str">
        <f t="shared" si="61"/>
        <v/>
      </c>
      <c r="Y374" s="166" t="str">
        <f t="shared" si="60"/>
        <v>盒</v>
      </c>
      <c r="Z374" s="167"/>
      <c r="AA374" s="167"/>
      <c r="AB374" s="167"/>
    </row>
    <row r="375" spans="1:28" s="175" customFormat="1" ht="19.899999999999999" customHeight="1" x14ac:dyDescent="0.15">
      <c r="A375" s="163">
        <v>372</v>
      </c>
      <c r="B375" s="176" t="s">
        <v>1551</v>
      </c>
      <c r="C375" s="165" t="s">
        <v>0</v>
      </c>
      <c r="D375" s="166" t="str">
        <f t="shared" si="56"/>
        <v>专用物耗</v>
      </c>
      <c r="E375" s="167"/>
      <c r="F375" s="176"/>
      <c r="G375" s="167"/>
      <c r="H375" s="167"/>
      <c r="I375" s="167" t="s">
        <v>1192</v>
      </c>
      <c r="J375" s="165" t="s">
        <v>821</v>
      </c>
      <c r="K375" s="167">
        <v>1</v>
      </c>
      <c r="L375" s="165" t="s">
        <v>822</v>
      </c>
      <c r="M375" s="166" t="str">
        <f t="shared" si="57"/>
        <v>常规</v>
      </c>
      <c r="N375" s="167"/>
      <c r="O375" s="169"/>
      <c r="P375" s="170"/>
      <c r="Q375" s="169"/>
      <c r="R375" s="167"/>
      <c r="S375" s="167" t="s">
        <v>1076</v>
      </c>
      <c r="T375" s="167">
        <v>1</v>
      </c>
      <c r="U375" s="166" t="str">
        <f t="shared" si="58"/>
        <v>只</v>
      </c>
      <c r="V375" s="167"/>
      <c r="W375" s="167"/>
      <c r="X375" s="166" t="str">
        <f t="shared" si="61"/>
        <v/>
      </c>
      <c r="Y375" s="166" t="str">
        <f t="shared" si="60"/>
        <v>只</v>
      </c>
      <c r="Z375" s="167"/>
      <c r="AA375" s="167"/>
      <c r="AB375" s="167"/>
    </row>
    <row r="376" spans="1:28" s="175" customFormat="1" ht="19.899999999999999" customHeight="1" x14ac:dyDescent="0.15">
      <c r="A376" s="163">
        <v>373</v>
      </c>
      <c r="B376" s="176" t="s">
        <v>1552</v>
      </c>
      <c r="C376" s="165" t="s">
        <v>0</v>
      </c>
      <c r="D376" s="166" t="str">
        <f t="shared" si="56"/>
        <v>专用物耗</v>
      </c>
      <c r="E376" s="167"/>
      <c r="F376" s="176" t="s">
        <v>1083</v>
      </c>
      <c r="G376" s="167"/>
      <c r="H376" s="167"/>
      <c r="I376" s="167" t="s">
        <v>1193</v>
      </c>
      <c r="J376" s="165" t="s">
        <v>821</v>
      </c>
      <c r="K376" s="167">
        <v>1</v>
      </c>
      <c r="L376" s="165" t="s">
        <v>822</v>
      </c>
      <c r="M376" s="166" t="str">
        <f t="shared" si="57"/>
        <v>常规</v>
      </c>
      <c r="N376" s="167"/>
      <c r="O376" s="169"/>
      <c r="P376" s="170"/>
      <c r="Q376" s="169"/>
      <c r="R376" s="167"/>
      <c r="S376" s="167" t="s">
        <v>1085</v>
      </c>
      <c r="T376" s="167">
        <v>1</v>
      </c>
      <c r="U376" s="166" t="str">
        <f t="shared" si="58"/>
        <v>只</v>
      </c>
      <c r="V376" s="167"/>
      <c r="W376" s="167"/>
      <c r="X376" s="166" t="str">
        <f t="shared" si="61"/>
        <v/>
      </c>
      <c r="Y376" s="166" t="str">
        <f t="shared" si="60"/>
        <v>只</v>
      </c>
      <c r="Z376" s="167"/>
      <c r="AA376" s="167"/>
      <c r="AB376" s="167"/>
    </row>
    <row r="377" spans="1:28" s="175" customFormat="1" ht="19.899999999999999" customHeight="1" x14ac:dyDescent="0.15">
      <c r="A377" s="163">
        <v>374</v>
      </c>
      <c r="B377" s="176" t="s">
        <v>1552</v>
      </c>
      <c r="C377" s="165" t="s">
        <v>0</v>
      </c>
      <c r="D377" s="166" t="str">
        <f t="shared" si="56"/>
        <v>专用物耗</v>
      </c>
      <c r="E377" s="167"/>
      <c r="F377" s="176" t="s">
        <v>1084</v>
      </c>
      <c r="G377" s="167"/>
      <c r="H377" s="167"/>
      <c r="I377" s="167" t="s">
        <v>1194</v>
      </c>
      <c r="J377" s="165" t="s">
        <v>821</v>
      </c>
      <c r="K377" s="167">
        <v>1</v>
      </c>
      <c r="L377" s="165" t="s">
        <v>822</v>
      </c>
      <c r="M377" s="166" t="str">
        <f t="shared" si="57"/>
        <v>常规</v>
      </c>
      <c r="N377" s="167"/>
      <c r="O377" s="169"/>
      <c r="P377" s="170"/>
      <c r="Q377" s="169"/>
      <c r="R377" s="167"/>
      <c r="S377" s="167" t="s">
        <v>1086</v>
      </c>
      <c r="T377" s="167">
        <v>1</v>
      </c>
      <c r="U377" s="166" t="str">
        <f t="shared" si="58"/>
        <v>只</v>
      </c>
      <c r="V377" s="167"/>
      <c r="W377" s="167"/>
      <c r="X377" s="166" t="str">
        <f t="shared" si="61"/>
        <v/>
      </c>
      <c r="Y377" s="166" t="str">
        <f t="shared" si="60"/>
        <v>只</v>
      </c>
      <c r="Z377" s="167"/>
      <c r="AA377" s="167"/>
      <c r="AB377" s="167"/>
    </row>
    <row r="378" spans="1:28" s="46" customFormat="1" ht="19.899999999999999" customHeight="1" x14ac:dyDescent="0.15">
      <c r="A378" s="34">
        <v>375</v>
      </c>
      <c r="B378" s="52" t="s">
        <v>2537</v>
      </c>
      <c r="C378" s="29" t="s">
        <v>0</v>
      </c>
      <c r="D378" s="32" t="str">
        <f t="shared" ref="D378:D383" si="67">IF(C378="J1","常规化学品",IF(C378="J2","危险化学品",IF(C378="J3","标准物质",IF(C378="J4","玻璃仪器",IF(C378="J5","实验气体",IF(C378="J6","专用物耗",IF(C378="J7","备品配件",IF(C378="J8","专用工具",IF(C378="Z1","劳保物资",IF(C378="Z2","办公耗材",IF(C378="Z3","食品饮料",IF(C378="Z4","特殊物耗",IF(C378="Z5","通用物耗",IF(C378="Z6","通用工具",""))))))))))))))</f>
        <v>专用物耗</v>
      </c>
      <c r="E378" s="15" t="s">
        <v>2538</v>
      </c>
      <c r="F378" s="52" t="s">
        <v>1569</v>
      </c>
      <c r="G378" s="15"/>
      <c r="H378" s="15"/>
      <c r="I378" s="15" t="s">
        <v>1586</v>
      </c>
      <c r="J378" s="29" t="s">
        <v>1589</v>
      </c>
      <c r="K378" s="15">
        <v>3</v>
      </c>
      <c r="L378" s="29" t="s">
        <v>1590</v>
      </c>
      <c r="M378" s="32" t="str">
        <f t="shared" ref="M378:M398" si="68">IF(D378="危险化学品","五双",IF(D378="标准物资","严控",IF(D378&lt;&gt;"","常规","")))</f>
        <v>常规</v>
      </c>
      <c r="N378" s="15"/>
      <c r="O378" s="137" t="s">
        <v>2248</v>
      </c>
      <c r="P378" s="134" t="s">
        <v>2236</v>
      </c>
      <c r="Q378" s="137"/>
      <c r="R378" s="15"/>
      <c r="S378" s="15" t="s">
        <v>2495</v>
      </c>
      <c r="T378" s="15">
        <v>2</v>
      </c>
      <c r="U378" s="32" t="str">
        <f>IF(L378="","",L378)</f>
        <v>待定</v>
      </c>
      <c r="V378" s="15"/>
      <c r="W378" s="15"/>
      <c r="X378" s="32">
        <f t="shared" ref="X378:X388" si="69">IF((K378-T378)&lt;=0,"",K378-T378)</f>
        <v>1</v>
      </c>
      <c r="Y378" s="32" t="str">
        <f t="shared" ref="Y378:Y418" si="70">IF(L378="","",L378)</f>
        <v>待定</v>
      </c>
      <c r="Z378" s="15"/>
      <c r="AA378" s="15"/>
      <c r="AB378" s="15"/>
    </row>
    <row r="379" spans="1:28" s="175" customFormat="1" ht="19.899999999999999" customHeight="1" x14ac:dyDescent="0.15">
      <c r="A379" s="163">
        <v>376</v>
      </c>
      <c r="B379" s="176" t="s">
        <v>2537</v>
      </c>
      <c r="C379" s="165" t="s">
        <v>0</v>
      </c>
      <c r="D379" s="166" t="str">
        <f t="shared" si="67"/>
        <v>专用物耗</v>
      </c>
      <c r="E379" s="167" t="s">
        <v>2538</v>
      </c>
      <c r="F379" s="176" t="s">
        <v>1570</v>
      </c>
      <c r="G379" s="167"/>
      <c r="H379" s="167"/>
      <c r="I379" s="167" t="s">
        <v>1587</v>
      </c>
      <c r="J379" s="165" t="s">
        <v>1589</v>
      </c>
      <c r="K379" s="167">
        <v>2</v>
      </c>
      <c r="L379" s="165" t="s">
        <v>1590</v>
      </c>
      <c r="M379" s="166" t="str">
        <f t="shared" si="68"/>
        <v>常规</v>
      </c>
      <c r="N379" s="167"/>
      <c r="O379" s="169" t="s">
        <v>2248</v>
      </c>
      <c r="P379" s="170" t="s">
        <v>2237</v>
      </c>
      <c r="Q379" s="169" t="s">
        <v>2531</v>
      </c>
      <c r="R379" s="167"/>
      <c r="S379" s="167" t="s">
        <v>2128</v>
      </c>
      <c r="T379" s="167">
        <v>2</v>
      </c>
      <c r="U379" s="166" t="str">
        <f t="shared" ref="U379:U418" si="71">IF(L379="","",L379)</f>
        <v>待定</v>
      </c>
      <c r="V379" s="167"/>
      <c r="W379" s="167"/>
      <c r="X379" s="166" t="str">
        <f t="shared" si="69"/>
        <v/>
      </c>
      <c r="Y379" s="166" t="str">
        <f t="shared" si="70"/>
        <v>待定</v>
      </c>
      <c r="Z379" s="167"/>
      <c r="AA379" s="167"/>
      <c r="AB379" s="167"/>
    </row>
    <row r="380" spans="1:28" s="46" customFormat="1" ht="19.899999999999999" customHeight="1" x14ac:dyDescent="0.15">
      <c r="A380" s="34">
        <v>377</v>
      </c>
      <c r="B380" s="52" t="s">
        <v>2537</v>
      </c>
      <c r="C380" s="29" t="s">
        <v>0</v>
      </c>
      <c r="D380" s="32" t="str">
        <f t="shared" si="67"/>
        <v>专用物耗</v>
      </c>
      <c r="E380" s="15" t="s">
        <v>2538</v>
      </c>
      <c r="F380" s="52" t="s">
        <v>1571</v>
      </c>
      <c r="G380" s="15"/>
      <c r="H380" s="15"/>
      <c r="I380" s="15" t="s">
        <v>1588</v>
      </c>
      <c r="J380" s="29" t="s">
        <v>1589</v>
      </c>
      <c r="K380" s="15">
        <v>6</v>
      </c>
      <c r="L380" s="29" t="s">
        <v>1590</v>
      </c>
      <c r="M380" s="32" t="str">
        <f t="shared" si="68"/>
        <v>常规</v>
      </c>
      <c r="N380" s="15"/>
      <c r="O380" s="137" t="s">
        <v>2248</v>
      </c>
      <c r="P380" s="134" t="s">
        <v>2236</v>
      </c>
      <c r="Q380" s="137"/>
      <c r="R380" s="15"/>
      <c r="S380" s="15" t="s">
        <v>1612</v>
      </c>
      <c r="T380" s="15">
        <v>2</v>
      </c>
      <c r="U380" s="32" t="str">
        <f t="shared" si="71"/>
        <v>待定</v>
      </c>
      <c r="V380" s="15"/>
      <c r="W380" s="15"/>
      <c r="X380" s="32">
        <f t="shared" si="69"/>
        <v>4</v>
      </c>
      <c r="Y380" s="32" t="str">
        <f t="shared" si="70"/>
        <v>待定</v>
      </c>
      <c r="Z380" s="15"/>
      <c r="AA380" s="15"/>
      <c r="AB380" s="15"/>
    </row>
    <row r="381" spans="1:28" s="175" customFormat="1" ht="19.899999999999999" customHeight="1" x14ac:dyDescent="0.15">
      <c r="A381" s="163">
        <v>378</v>
      </c>
      <c r="B381" s="176" t="s">
        <v>1319</v>
      </c>
      <c r="C381" s="165" t="s">
        <v>0</v>
      </c>
      <c r="D381" s="166" t="str">
        <f t="shared" si="67"/>
        <v>专用物耗</v>
      </c>
      <c r="E381" s="167"/>
      <c r="F381" s="176" t="s">
        <v>1572</v>
      </c>
      <c r="G381" s="167"/>
      <c r="H381" s="167"/>
      <c r="I381" s="167" t="s">
        <v>2017</v>
      </c>
      <c r="J381" s="165" t="s">
        <v>1589</v>
      </c>
      <c r="K381" s="167">
        <v>5</v>
      </c>
      <c r="L381" s="165" t="s">
        <v>1591</v>
      </c>
      <c r="M381" s="166" t="str">
        <f t="shared" si="68"/>
        <v>常规</v>
      </c>
      <c r="N381" s="167"/>
      <c r="O381" s="180" t="s">
        <v>2260</v>
      </c>
      <c r="P381" s="169" t="s">
        <v>2535</v>
      </c>
      <c r="Q381" s="169"/>
      <c r="R381" s="167"/>
      <c r="S381" s="167" t="s">
        <v>2036</v>
      </c>
      <c r="T381" s="167">
        <v>5</v>
      </c>
      <c r="U381" s="166" t="str">
        <f t="shared" si="71"/>
        <v>只</v>
      </c>
      <c r="V381" s="167"/>
      <c r="W381" s="167"/>
      <c r="X381" s="166" t="str">
        <f t="shared" si="69"/>
        <v/>
      </c>
      <c r="Y381" s="166" t="str">
        <f t="shared" si="70"/>
        <v>只</v>
      </c>
      <c r="Z381" s="167"/>
      <c r="AA381" s="167"/>
      <c r="AB381" s="167"/>
    </row>
    <row r="382" spans="1:28" s="175" customFormat="1" ht="19.899999999999999" customHeight="1" x14ac:dyDescent="0.15">
      <c r="A382" s="163">
        <v>379</v>
      </c>
      <c r="B382" s="176" t="s">
        <v>2539</v>
      </c>
      <c r="C382" s="165" t="s">
        <v>0</v>
      </c>
      <c r="D382" s="166" t="str">
        <f t="shared" si="67"/>
        <v>专用物耗</v>
      </c>
      <c r="E382" s="167" t="s">
        <v>2540</v>
      </c>
      <c r="F382" s="176" t="s">
        <v>1573</v>
      </c>
      <c r="G382" s="167"/>
      <c r="H382" s="167"/>
      <c r="I382" s="167" t="s">
        <v>1592</v>
      </c>
      <c r="J382" s="165" t="s">
        <v>1608</v>
      </c>
      <c r="K382" s="167">
        <v>2</v>
      </c>
      <c r="L382" s="165" t="s">
        <v>134</v>
      </c>
      <c r="M382" s="166" t="str">
        <f t="shared" si="68"/>
        <v>常规</v>
      </c>
      <c r="N382" s="167"/>
      <c r="O382" s="169" t="s">
        <v>2243</v>
      </c>
      <c r="P382" s="170" t="s">
        <v>2235</v>
      </c>
      <c r="Q382" s="169" t="s">
        <v>2541</v>
      </c>
      <c r="R382" s="167"/>
      <c r="S382" s="167" t="s">
        <v>2020</v>
      </c>
      <c r="T382" s="167">
        <v>2</v>
      </c>
      <c r="U382" s="166" t="str">
        <f t="shared" si="71"/>
        <v>个</v>
      </c>
      <c r="V382" s="167"/>
      <c r="W382" s="167"/>
      <c r="X382" s="166" t="str">
        <f t="shared" si="69"/>
        <v/>
      </c>
      <c r="Y382" s="166" t="str">
        <f t="shared" si="70"/>
        <v>个</v>
      </c>
      <c r="Z382" s="167"/>
      <c r="AA382" s="167"/>
      <c r="AB382" s="172"/>
    </row>
    <row r="383" spans="1:28" s="175" customFormat="1" ht="19.899999999999999" customHeight="1" x14ac:dyDescent="0.15">
      <c r="A383" s="163">
        <v>380</v>
      </c>
      <c r="B383" s="175" t="s">
        <v>2542</v>
      </c>
      <c r="C383" s="165" t="s">
        <v>0</v>
      </c>
      <c r="D383" s="166" t="str">
        <f t="shared" si="67"/>
        <v>专用物耗</v>
      </c>
      <c r="E383" s="167" t="s">
        <v>2540</v>
      </c>
      <c r="F383" s="176" t="s">
        <v>1574</v>
      </c>
      <c r="G383" s="167"/>
      <c r="H383" s="167"/>
      <c r="I383" s="167" t="s">
        <v>1593</v>
      </c>
      <c r="J383" s="165" t="s">
        <v>1608</v>
      </c>
      <c r="K383" s="167">
        <v>2</v>
      </c>
      <c r="L383" s="165" t="s">
        <v>134</v>
      </c>
      <c r="M383" s="166" t="str">
        <f t="shared" si="68"/>
        <v>常规</v>
      </c>
      <c r="N383" s="167"/>
      <c r="O383" s="169" t="s">
        <v>2243</v>
      </c>
      <c r="P383" s="170" t="s">
        <v>2235</v>
      </c>
      <c r="Q383" s="169" t="s">
        <v>2541</v>
      </c>
      <c r="R383" s="167"/>
      <c r="S383" s="167" t="s">
        <v>2021</v>
      </c>
      <c r="T383" s="167">
        <v>2</v>
      </c>
      <c r="U383" s="166" t="str">
        <f t="shared" si="71"/>
        <v>个</v>
      </c>
      <c r="V383" s="167"/>
      <c r="W383" s="167"/>
      <c r="X383" s="166" t="str">
        <f t="shared" si="69"/>
        <v/>
      </c>
      <c r="Y383" s="166" t="str">
        <f t="shared" si="70"/>
        <v>个</v>
      </c>
      <c r="Z383" s="167"/>
      <c r="AA383" s="167"/>
      <c r="AB383" s="172"/>
    </row>
    <row r="384" spans="1:28" s="175" customFormat="1" ht="19.899999999999999" customHeight="1" x14ac:dyDescent="0.15">
      <c r="A384" s="163">
        <v>381</v>
      </c>
      <c r="B384" s="176" t="s">
        <v>2543</v>
      </c>
      <c r="C384" s="165" t="s">
        <v>0</v>
      </c>
      <c r="D384" s="166" t="str">
        <f t="shared" ref="D384:D418" si="72">IF(C384="J1","常规化学品",IF(C384="J2","危险化学品",IF(C384="J3","标准物质",IF(C384="J4","玻璃仪器",IF(C384="J5","实验气体",IF(C384="J6","专用物耗",IF(C384="J7","备品配件",IF(C384="J8","专用工具",IF(C384="Z1","劳保物资",IF(C384="Z2","办公耗材",IF(C384="Z3","食品饮料",IF(C384="Z4","特殊物耗",IF(C384="Z5","通用物耗",IF(C384="Z6","通用工具",""))))))))))))))</f>
        <v>专用物耗</v>
      </c>
      <c r="E384" s="167" t="s">
        <v>2540</v>
      </c>
      <c r="F384" s="167" t="s">
        <v>1575</v>
      </c>
      <c r="G384" s="167"/>
      <c r="H384" s="167"/>
      <c r="I384" s="167" t="s">
        <v>1594</v>
      </c>
      <c r="J384" s="165" t="s">
        <v>1608</v>
      </c>
      <c r="K384" s="167">
        <v>2</v>
      </c>
      <c r="L384" s="165" t="s">
        <v>134</v>
      </c>
      <c r="M384" s="166" t="str">
        <f t="shared" si="68"/>
        <v>常规</v>
      </c>
      <c r="N384" s="167"/>
      <c r="O384" s="169" t="s">
        <v>2243</v>
      </c>
      <c r="P384" s="170" t="s">
        <v>2235</v>
      </c>
      <c r="Q384" s="169" t="s">
        <v>2541</v>
      </c>
      <c r="R384" s="167"/>
      <c r="S384" s="167" t="s">
        <v>2022</v>
      </c>
      <c r="T384" s="167">
        <v>2</v>
      </c>
      <c r="U384" s="166" t="str">
        <f t="shared" si="71"/>
        <v>个</v>
      </c>
      <c r="V384" s="167"/>
      <c r="W384" s="167"/>
      <c r="X384" s="166" t="str">
        <f t="shared" si="69"/>
        <v/>
      </c>
      <c r="Y384" s="166" t="str">
        <f t="shared" si="70"/>
        <v>个</v>
      </c>
      <c r="Z384" s="167"/>
      <c r="AA384" s="167"/>
      <c r="AB384" s="172"/>
    </row>
    <row r="385" spans="1:28" s="175" customFormat="1" ht="19.899999999999999" customHeight="1" x14ac:dyDescent="0.15">
      <c r="A385" s="163">
        <v>382</v>
      </c>
      <c r="B385" s="176" t="s">
        <v>2544</v>
      </c>
      <c r="C385" s="165" t="s">
        <v>0</v>
      </c>
      <c r="D385" s="166" t="str">
        <f t="shared" si="72"/>
        <v>专用物耗</v>
      </c>
      <c r="E385" s="167" t="s">
        <v>2540</v>
      </c>
      <c r="F385" s="167" t="s">
        <v>1576</v>
      </c>
      <c r="G385" s="167"/>
      <c r="H385" s="167"/>
      <c r="I385" s="167" t="s">
        <v>1595</v>
      </c>
      <c r="J385" s="165" t="s">
        <v>1608</v>
      </c>
      <c r="K385" s="167">
        <v>2</v>
      </c>
      <c r="L385" s="165" t="s">
        <v>134</v>
      </c>
      <c r="M385" s="166" t="str">
        <f t="shared" si="68"/>
        <v>常规</v>
      </c>
      <c r="N385" s="167"/>
      <c r="O385" s="169" t="s">
        <v>2243</v>
      </c>
      <c r="P385" s="170" t="s">
        <v>2235</v>
      </c>
      <c r="Q385" s="169" t="s">
        <v>2541</v>
      </c>
      <c r="R385" s="167"/>
      <c r="S385" s="167" t="s">
        <v>2023</v>
      </c>
      <c r="T385" s="167">
        <v>2</v>
      </c>
      <c r="U385" s="166" t="str">
        <f t="shared" si="71"/>
        <v>个</v>
      </c>
      <c r="V385" s="167"/>
      <c r="W385" s="167"/>
      <c r="X385" s="166" t="str">
        <f t="shared" si="69"/>
        <v/>
      </c>
      <c r="Y385" s="166" t="str">
        <f t="shared" si="70"/>
        <v>个</v>
      </c>
      <c r="Z385" s="167"/>
      <c r="AA385" s="167"/>
      <c r="AB385" s="172"/>
    </row>
    <row r="386" spans="1:28" s="175" customFormat="1" ht="19.899999999999999" customHeight="1" x14ac:dyDescent="0.15">
      <c r="A386" s="163">
        <v>383</v>
      </c>
      <c r="B386" s="176" t="s">
        <v>2544</v>
      </c>
      <c r="C386" s="165" t="s">
        <v>0</v>
      </c>
      <c r="D386" s="166" t="str">
        <f t="shared" si="72"/>
        <v>专用物耗</v>
      </c>
      <c r="E386" s="167" t="s">
        <v>2540</v>
      </c>
      <c r="F386" s="167" t="s">
        <v>1577</v>
      </c>
      <c r="G386" s="167"/>
      <c r="H386" s="167"/>
      <c r="I386" s="167" t="s">
        <v>1596</v>
      </c>
      <c r="J386" s="165" t="s">
        <v>1608</v>
      </c>
      <c r="K386" s="167">
        <v>2</v>
      </c>
      <c r="L386" s="165" t="s">
        <v>134</v>
      </c>
      <c r="M386" s="166" t="str">
        <f t="shared" si="68"/>
        <v>常规</v>
      </c>
      <c r="N386" s="167"/>
      <c r="O386" s="169" t="s">
        <v>2243</v>
      </c>
      <c r="P386" s="170" t="s">
        <v>2235</v>
      </c>
      <c r="Q386" s="169" t="s">
        <v>2541</v>
      </c>
      <c r="R386" s="167"/>
      <c r="S386" s="167" t="s">
        <v>2024</v>
      </c>
      <c r="T386" s="167">
        <v>2</v>
      </c>
      <c r="U386" s="166" t="str">
        <f t="shared" si="71"/>
        <v>个</v>
      </c>
      <c r="V386" s="167"/>
      <c r="W386" s="167"/>
      <c r="X386" s="166" t="str">
        <f t="shared" si="69"/>
        <v/>
      </c>
      <c r="Y386" s="166" t="str">
        <f t="shared" si="70"/>
        <v>个</v>
      </c>
      <c r="Z386" s="167"/>
      <c r="AA386" s="167"/>
      <c r="AB386" s="172"/>
    </row>
    <row r="387" spans="1:28" s="175" customFormat="1" ht="19.899999999999999" customHeight="1" x14ac:dyDescent="0.15">
      <c r="A387" s="163">
        <v>384</v>
      </c>
      <c r="B387" s="176" t="s">
        <v>2544</v>
      </c>
      <c r="C387" s="165" t="s">
        <v>0</v>
      </c>
      <c r="D387" s="166" t="str">
        <f t="shared" si="72"/>
        <v>专用物耗</v>
      </c>
      <c r="E387" s="167" t="s">
        <v>2540</v>
      </c>
      <c r="F387" s="167" t="s">
        <v>1578</v>
      </c>
      <c r="G387" s="167"/>
      <c r="H387" s="167"/>
      <c r="I387" s="167" t="s">
        <v>1597</v>
      </c>
      <c r="J387" s="165" t="s">
        <v>1608</v>
      </c>
      <c r="K387" s="167">
        <v>2</v>
      </c>
      <c r="L387" s="165" t="s">
        <v>134</v>
      </c>
      <c r="M387" s="166" t="str">
        <f t="shared" si="68"/>
        <v>常规</v>
      </c>
      <c r="N387" s="167"/>
      <c r="O387" s="169" t="s">
        <v>2243</v>
      </c>
      <c r="P387" s="170" t="s">
        <v>2235</v>
      </c>
      <c r="Q387" s="169" t="s">
        <v>2541</v>
      </c>
      <c r="R387" s="167"/>
      <c r="S387" s="167" t="s">
        <v>2025</v>
      </c>
      <c r="T387" s="167">
        <v>2</v>
      </c>
      <c r="U387" s="166" t="str">
        <f t="shared" si="71"/>
        <v>个</v>
      </c>
      <c r="V387" s="167"/>
      <c r="W387" s="167"/>
      <c r="X387" s="166" t="str">
        <f t="shared" si="69"/>
        <v/>
      </c>
      <c r="Y387" s="166" t="str">
        <f t="shared" si="70"/>
        <v>个</v>
      </c>
      <c r="Z387" s="167"/>
      <c r="AA387" s="167"/>
      <c r="AB387" s="172"/>
    </row>
    <row r="388" spans="1:28" s="175" customFormat="1" ht="19.899999999999999" customHeight="1" x14ac:dyDescent="0.15">
      <c r="A388" s="163">
        <v>385</v>
      </c>
      <c r="B388" s="176" t="s">
        <v>2544</v>
      </c>
      <c r="C388" s="165" t="s">
        <v>0</v>
      </c>
      <c r="D388" s="166" t="str">
        <f t="shared" si="72"/>
        <v>专用物耗</v>
      </c>
      <c r="E388" s="167" t="s">
        <v>2540</v>
      </c>
      <c r="F388" s="167" t="s">
        <v>1579</v>
      </c>
      <c r="G388" s="167"/>
      <c r="H388" s="167"/>
      <c r="I388" s="167" t="s">
        <v>1598</v>
      </c>
      <c r="J388" s="165" t="s">
        <v>1608</v>
      </c>
      <c r="K388" s="167">
        <v>2</v>
      </c>
      <c r="L388" s="165" t="s">
        <v>134</v>
      </c>
      <c r="M388" s="166" t="str">
        <f t="shared" si="68"/>
        <v>常规</v>
      </c>
      <c r="N388" s="167"/>
      <c r="O388" s="169" t="s">
        <v>2243</v>
      </c>
      <c r="P388" s="170" t="s">
        <v>2235</v>
      </c>
      <c r="Q388" s="169" t="s">
        <v>2541</v>
      </c>
      <c r="R388" s="167"/>
      <c r="S388" s="167" t="s">
        <v>2026</v>
      </c>
      <c r="T388" s="167">
        <v>2</v>
      </c>
      <c r="U388" s="166" t="str">
        <f t="shared" si="71"/>
        <v>个</v>
      </c>
      <c r="V388" s="167"/>
      <c r="W388" s="167"/>
      <c r="X388" s="166" t="str">
        <f t="shared" si="69"/>
        <v/>
      </c>
      <c r="Y388" s="166" t="str">
        <f t="shared" si="70"/>
        <v>个</v>
      </c>
      <c r="Z388" s="167"/>
      <c r="AA388" s="167"/>
      <c r="AB388" s="172"/>
    </row>
    <row r="389" spans="1:28" s="175" customFormat="1" ht="19.899999999999999" customHeight="1" x14ac:dyDescent="0.15">
      <c r="A389" s="163">
        <v>386</v>
      </c>
      <c r="B389" s="176" t="s">
        <v>2544</v>
      </c>
      <c r="C389" s="165" t="s">
        <v>0</v>
      </c>
      <c r="D389" s="166" t="str">
        <f t="shared" si="72"/>
        <v>专用物耗</v>
      </c>
      <c r="E389" s="167" t="s">
        <v>2540</v>
      </c>
      <c r="F389" s="167" t="s">
        <v>1580</v>
      </c>
      <c r="G389" s="167"/>
      <c r="H389" s="167"/>
      <c r="I389" s="167" t="s">
        <v>1599</v>
      </c>
      <c r="J389" s="165" t="s">
        <v>1608</v>
      </c>
      <c r="K389" s="167">
        <v>2</v>
      </c>
      <c r="L389" s="165" t="s">
        <v>134</v>
      </c>
      <c r="M389" s="166" t="str">
        <f t="shared" si="68"/>
        <v>常规</v>
      </c>
      <c r="N389" s="167"/>
      <c r="O389" s="169" t="s">
        <v>2243</v>
      </c>
      <c r="P389" s="170" t="s">
        <v>2235</v>
      </c>
      <c r="Q389" s="169" t="s">
        <v>2541</v>
      </c>
      <c r="R389" s="167"/>
      <c r="S389" s="167" t="s">
        <v>2027</v>
      </c>
      <c r="T389" s="167">
        <v>2</v>
      </c>
      <c r="U389" s="166" t="str">
        <f t="shared" si="71"/>
        <v>个</v>
      </c>
      <c r="V389" s="167"/>
      <c r="W389" s="167"/>
      <c r="X389" s="166" t="str">
        <f t="shared" ref="X389:X420" si="73">IF((K389-T389)&lt;=0,"",K389-T389)</f>
        <v/>
      </c>
      <c r="Y389" s="166" t="str">
        <f t="shared" si="70"/>
        <v>个</v>
      </c>
      <c r="Z389" s="167"/>
      <c r="AA389" s="167"/>
      <c r="AB389" s="172"/>
    </row>
    <row r="390" spans="1:28" s="46" customFormat="1" ht="19.899999999999999" customHeight="1" x14ac:dyDescent="0.15">
      <c r="A390" s="34">
        <v>387</v>
      </c>
      <c r="B390" s="52" t="s">
        <v>2539</v>
      </c>
      <c r="C390" s="29" t="s">
        <v>0</v>
      </c>
      <c r="D390" s="32" t="str">
        <f t="shared" si="72"/>
        <v>专用物耗</v>
      </c>
      <c r="E390" s="15" t="s">
        <v>2540</v>
      </c>
      <c r="F390" s="52" t="s">
        <v>1573</v>
      </c>
      <c r="G390" s="15"/>
      <c r="H390" s="15"/>
      <c r="I390" s="15" t="s">
        <v>2210</v>
      </c>
      <c r="J390" s="29" t="s">
        <v>1608</v>
      </c>
      <c r="K390" s="15">
        <v>2</v>
      </c>
      <c r="L390" s="29" t="s">
        <v>134</v>
      </c>
      <c r="M390" s="32" t="str">
        <f t="shared" ref="M390:M397" si="74">IF(D390="危险化学品","五双",IF(D390="标准物资","严控",IF(D390&lt;&gt;"","常规","")))</f>
        <v>常规</v>
      </c>
      <c r="N390" s="15"/>
      <c r="O390" s="137" t="s">
        <v>2243</v>
      </c>
      <c r="P390" s="134" t="s">
        <v>2235</v>
      </c>
      <c r="Q390" s="137" t="s">
        <v>2541</v>
      </c>
      <c r="R390" s="15"/>
      <c r="S390" s="15"/>
      <c r="T390" s="15"/>
      <c r="U390" s="32" t="str">
        <f t="shared" ref="U390:U397" si="75">IF(L390="","",L390)</f>
        <v>个</v>
      </c>
      <c r="V390" s="15"/>
      <c r="W390" s="15"/>
      <c r="X390" s="32">
        <f t="shared" si="73"/>
        <v>2</v>
      </c>
      <c r="Y390" s="32" t="str">
        <f t="shared" ref="Y390:Y397" si="76">IF(L390="","",L390)</f>
        <v>个</v>
      </c>
      <c r="Z390" s="15"/>
      <c r="AA390" s="15"/>
      <c r="AB390" s="35"/>
    </row>
    <row r="391" spans="1:28" s="46" customFormat="1" ht="19.899999999999999" customHeight="1" x14ac:dyDescent="0.15">
      <c r="A391" s="34">
        <v>388</v>
      </c>
      <c r="B391" s="46" t="s">
        <v>2542</v>
      </c>
      <c r="C391" s="29" t="s">
        <v>0</v>
      </c>
      <c r="D391" s="32" t="str">
        <f t="shared" si="72"/>
        <v>专用物耗</v>
      </c>
      <c r="E391" s="15" t="s">
        <v>2540</v>
      </c>
      <c r="F391" s="52" t="s">
        <v>1574</v>
      </c>
      <c r="G391" s="15"/>
      <c r="H391" s="15"/>
      <c r="I391" s="15" t="s">
        <v>2211</v>
      </c>
      <c r="J391" s="29" t="s">
        <v>1608</v>
      </c>
      <c r="K391" s="15">
        <v>2</v>
      </c>
      <c r="L391" s="29" t="s">
        <v>134</v>
      </c>
      <c r="M391" s="32" t="str">
        <f t="shared" si="74"/>
        <v>常规</v>
      </c>
      <c r="N391" s="15"/>
      <c r="O391" s="137" t="s">
        <v>2243</v>
      </c>
      <c r="P391" s="134" t="s">
        <v>2235</v>
      </c>
      <c r="Q391" s="137" t="s">
        <v>2541</v>
      </c>
      <c r="R391" s="15"/>
      <c r="S391" s="15"/>
      <c r="T391" s="15"/>
      <c r="U391" s="32" t="str">
        <f t="shared" si="75"/>
        <v>个</v>
      </c>
      <c r="V391" s="15"/>
      <c r="W391" s="15"/>
      <c r="X391" s="32">
        <f t="shared" si="73"/>
        <v>2</v>
      </c>
      <c r="Y391" s="32" t="str">
        <f t="shared" si="76"/>
        <v>个</v>
      </c>
      <c r="Z391" s="15"/>
      <c r="AA391" s="15"/>
      <c r="AB391" s="35"/>
    </row>
    <row r="392" spans="1:28" s="46" customFormat="1" ht="19.899999999999999" customHeight="1" x14ac:dyDescent="0.15">
      <c r="A392" s="34">
        <v>389</v>
      </c>
      <c r="B392" s="52" t="s">
        <v>2543</v>
      </c>
      <c r="C392" s="29" t="s">
        <v>0</v>
      </c>
      <c r="D392" s="32" t="str">
        <f t="shared" ref="D392:D397" si="77">IF(C392="J1","常规化学品",IF(C392="J2","危险化学品",IF(C392="J3","标准物质",IF(C392="J4","玻璃仪器",IF(C392="J5","实验气体",IF(C392="J6","专用物耗",IF(C392="J7","备品配件",IF(C392="J8","专用工具",IF(C392="Z1","劳保物资",IF(C392="Z2","办公耗材",IF(C392="Z3","食品饮料",IF(C392="Z4","特殊物耗",IF(C392="Z5","通用物耗",IF(C392="Z6","通用工具",""))))))))))))))</f>
        <v>专用物耗</v>
      </c>
      <c r="E392" s="15" t="s">
        <v>2540</v>
      </c>
      <c r="F392" s="15" t="s">
        <v>1575</v>
      </c>
      <c r="G392" s="15"/>
      <c r="H392" s="15"/>
      <c r="I392" s="15" t="s">
        <v>2212</v>
      </c>
      <c r="J392" s="29" t="s">
        <v>1608</v>
      </c>
      <c r="K392" s="15">
        <v>2</v>
      </c>
      <c r="L392" s="29" t="s">
        <v>134</v>
      </c>
      <c r="M392" s="32" t="str">
        <f t="shared" si="74"/>
        <v>常规</v>
      </c>
      <c r="N392" s="15"/>
      <c r="O392" s="137" t="s">
        <v>2243</v>
      </c>
      <c r="P392" s="134" t="s">
        <v>2235</v>
      </c>
      <c r="Q392" s="137" t="s">
        <v>2541</v>
      </c>
      <c r="R392" s="15"/>
      <c r="S392" s="15"/>
      <c r="T392" s="15"/>
      <c r="U392" s="32" t="str">
        <f t="shared" si="75"/>
        <v>个</v>
      </c>
      <c r="V392" s="15"/>
      <c r="W392" s="15"/>
      <c r="X392" s="32">
        <f t="shared" si="73"/>
        <v>2</v>
      </c>
      <c r="Y392" s="32" t="str">
        <f t="shared" si="76"/>
        <v>个</v>
      </c>
      <c r="Z392" s="15"/>
      <c r="AA392" s="15"/>
      <c r="AB392" s="35"/>
    </row>
    <row r="393" spans="1:28" s="46" customFormat="1" ht="19.899999999999999" customHeight="1" x14ac:dyDescent="0.15">
      <c r="A393" s="34">
        <v>390</v>
      </c>
      <c r="B393" s="52" t="s">
        <v>2544</v>
      </c>
      <c r="C393" s="29" t="s">
        <v>0</v>
      </c>
      <c r="D393" s="32" t="str">
        <f t="shared" si="77"/>
        <v>专用物耗</v>
      </c>
      <c r="E393" s="15" t="s">
        <v>2540</v>
      </c>
      <c r="F393" s="15" t="s">
        <v>1576</v>
      </c>
      <c r="G393" s="15"/>
      <c r="H393" s="15"/>
      <c r="I393" s="15" t="s">
        <v>2213</v>
      </c>
      <c r="J393" s="29" t="s">
        <v>1608</v>
      </c>
      <c r="K393" s="15">
        <v>2</v>
      </c>
      <c r="L393" s="29" t="s">
        <v>134</v>
      </c>
      <c r="M393" s="32" t="str">
        <f t="shared" si="74"/>
        <v>常规</v>
      </c>
      <c r="N393" s="15"/>
      <c r="O393" s="137" t="s">
        <v>2243</v>
      </c>
      <c r="P393" s="134" t="s">
        <v>2235</v>
      </c>
      <c r="Q393" s="137" t="s">
        <v>2541</v>
      </c>
      <c r="R393" s="15"/>
      <c r="S393" s="15"/>
      <c r="T393" s="15"/>
      <c r="U393" s="32" t="str">
        <f t="shared" si="75"/>
        <v>个</v>
      </c>
      <c r="V393" s="15"/>
      <c r="W393" s="15"/>
      <c r="X393" s="32">
        <f t="shared" si="73"/>
        <v>2</v>
      </c>
      <c r="Y393" s="32" t="str">
        <f t="shared" si="76"/>
        <v>个</v>
      </c>
      <c r="Z393" s="15"/>
      <c r="AA393" s="15"/>
      <c r="AB393" s="35"/>
    </row>
    <row r="394" spans="1:28" s="46" customFormat="1" ht="19.899999999999999" customHeight="1" x14ac:dyDescent="0.15">
      <c r="A394" s="34">
        <v>391</v>
      </c>
      <c r="B394" s="52" t="s">
        <v>2544</v>
      </c>
      <c r="C394" s="29" t="s">
        <v>0</v>
      </c>
      <c r="D394" s="32" t="str">
        <f t="shared" si="77"/>
        <v>专用物耗</v>
      </c>
      <c r="E394" s="15" t="s">
        <v>2540</v>
      </c>
      <c r="F394" s="15" t="s">
        <v>1577</v>
      </c>
      <c r="G394" s="15"/>
      <c r="H394" s="15"/>
      <c r="I394" s="15" t="s">
        <v>2214</v>
      </c>
      <c r="J394" s="29" t="s">
        <v>1608</v>
      </c>
      <c r="K394" s="15">
        <v>2</v>
      </c>
      <c r="L394" s="29" t="s">
        <v>134</v>
      </c>
      <c r="M394" s="32" t="str">
        <f t="shared" si="74"/>
        <v>常规</v>
      </c>
      <c r="N394" s="15"/>
      <c r="O394" s="137" t="s">
        <v>2243</v>
      </c>
      <c r="P394" s="134" t="s">
        <v>2235</v>
      </c>
      <c r="Q394" s="137" t="s">
        <v>2541</v>
      </c>
      <c r="R394" s="15"/>
      <c r="S394" s="15"/>
      <c r="T394" s="15"/>
      <c r="U394" s="32" t="str">
        <f t="shared" si="75"/>
        <v>个</v>
      </c>
      <c r="V394" s="15"/>
      <c r="W394" s="15"/>
      <c r="X394" s="32">
        <f t="shared" si="73"/>
        <v>2</v>
      </c>
      <c r="Y394" s="32" t="str">
        <f t="shared" si="76"/>
        <v>个</v>
      </c>
      <c r="Z394" s="15"/>
      <c r="AA394" s="15"/>
      <c r="AB394" s="35"/>
    </row>
    <row r="395" spans="1:28" s="46" customFormat="1" ht="19.899999999999999" customHeight="1" x14ac:dyDescent="0.15">
      <c r="A395" s="34">
        <v>392</v>
      </c>
      <c r="B395" s="52" t="s">
        <v>2544</v>
      </c>
      <c r="C395" s="29" t="s">
        <v>0</v>
      </c>
      <c r="D395" s="32" t="str">
        <f t="shared" si="77"/>
        <v>专用物耗</v>
      </c>
      <c r="E395" s="15" t="s">
        <v>2540</v>
      </c>
      <c r="F395" s="15" t="s">
        <v>1578</v>
      </c>
      <c r="G395" s="15"/>
      <c r="H395" s="15"/>
      <c r="I395" s="15" t="s">
        <v>2215</v>
      </c>
      <c r="J395" s="29" t="s">
        <v>1608</v>
      </c>
      <c r="K395" s="15">
        <v>2</v>
      </c>
      <c r="L395" s="29" t="s">
        <v>134</v>
      </c>
      <c r="M395" s="32" t="str">
        <f t="shared" si="74"/>
        <v>常规</v>
      </c>
      <c r="N395" s="15"/>
      <c r="O395" s="137" t="s">
        <v>2243</v>
      </c>
      <c r="P395" s="134" t="s">
        <v>2235</v>
      </c>
      <c r="Q395" s="137" t="s">
        <v>2541</v>
      </c>
      <c r="R395" s="15"/>
      <c r="S395" s="15"/>
      <c r="T395" s="15"/>
      <c r="U395" s="32" t="str">
        <f t="shared" si="75"/>
        <v>个</v>
      </c>
      <c r="V395" s="15"/>
      <c r="W395" s="15"/>
      <c r="X395" s="32">
        <f t="shared" si="73"/>
        <v>2</v>
      </c>
      <c r="Y395" s="32" t="str">
        <f t="shared" si="76"/>
        <v>个</v>
      </c>
      <c r="Z395" s="15"/>
      <c r="AA395" s="15"/>
      <c r="AB395" s="35"/>
    </row>
    <row r="396" spans="1:28" s="46" customFormat="1" ht="19.899999999999999" customHeight="1" x14ac:dyDescent="0.15">
      <c r="A396" s="34">
        <v>393</v>
      </c>
      <c r="B396" s="52" t="s">
        <v>2544</v>
      </c>
      <c r="C396" s="29" t="s">
        <v>0</v>
      </c>
      <c r="D396" s="32" t="str">
        <f t="shared" si="77"/>
        <v>专用物耗</v>
      </c>
      <c r="E396" s="15" t="s">
        <v>2540</v>
      </c>
      <c r="F396" s="15" t="s">
        <v>1579</v>
      </c>
      <c r="G396" s="15"/>
      <c r="H396" s="15"/>
      <c r="I396" s="15" t="s">
        <v>2216</v>
      </c>
      <c r="J396" s="29" t="s">
        <v>1608</v>
      </c>
      <c r="K396" s="15">
        <v>2</v>
      </c>
      <c r="L396" s="29" t="s">
        <v>134</v>
      </c>
      <c r="M396" s="32" t="str">
        <f t="shared" si="74"/>
        <v>常规</v>
      </c>
      <c r="N396" s="15"/>
      <c r="O396" s="137" t="s">
        <v>2243</v>
      </c>
      <c r="P396" s="134" t="s">
        <v>2235</v>
      </c>
      <c r="Q396" s="137" t="s">
        <v>2541</v>
      </c>
      <c r="R396" s="15"/>
      <c r="S396" s="15"/>
      <c r="T396" s="15"/>
      <c r="U396" s="32" t="str">
        <f t="shared" si="75"/>
        <v>个</v>
      </c>
      <c r="V396" s="15"/>
      <c r="W396" s="15"/>
      <c r="X396" s="32">
        <f t="shared" si="73"/>
        <v>2</v>
      </c>
      <c r="Y396" s="32" t="str">
        <f t="shared" si="76"/>
        <v>个</v>
      </c>
      <c r="Z396" s="15"/>
      <c r="AA396" s="15"/>
      <c r="AB396" s="35"/>
    </row>
    <row r="397" spans="1:28" s="46" customFormat="1" ht="19.899999999999999" customHeight="1" x14ac:dyDescent="0.15">
      <c r="A397" s="34">
        <v>394</v>
      </c>
      <c r="B397" s="52" t="s">
        <v>2544</v>
      </c>
      <c r="C397" s="29" t="s">
        <v>0</v>
      </c>
      <c r="D397" s="32" t="str">
        <f t="shared" si="77"/>
        <v>专用物耗</v>
      </c>
      <c r="E397" s="15" t="s">
        <v>2540</v>
      </c>
      <c r="F397" s="15" t="s">
        <v>1580</v>
      </c>
      <c r="G397" s="15"/>
      <c r="H397" s="15"/>
      <c r="I397" s="15" t="s">
        <v>2217</v>
      </c>
      <c r="J397" s="29" t="s">
        <v>1608</v>
      </c>
      <c r="K397" s="15">
        <v>2</v>
      </c>
      <c r="L397" s="29" t="s">
        <v>134</v>
      </c>
      <c r="M397" s="32" t="str">
        <f t="shared" si="74"/>
        <v>常规</v>
      </c>
      <c r="N397" s="15"/>
      <c r="O397" s="137" t="s">
        <v>2243</v>
      </c>
      <c r="P397" s="134" t="s">
        <v>2235</v>
      </c>
      <c r="Q397" s="137" t="s">
        <v>2541</v>
      </c>
      <c r="R397" s="15"/>
      <c r="S397" s="15"/>
      <c r="T397" s="15"/>
      <c r="U397" s="32" t="str">
        <f t="shared" si="75"/>
        <v>个</v>
      </c>
      <c r="V397" s="15"/>
      <c r="W397" s="15"/>
      <c r="X397" s="32">
        <f t="shared" ref="X397" si="78">IF((K397-T397)&lt;=0,"",K397-T397)</f>
        <v>2</v>
      </c>
      <c r="Y397" s="32" t="str">
        <f t="shared" si="76"/>
        <v>个</v>
      </c>
      <c r="Z397" s="15"/>
      <c r="AA397" s="15"/>
      <c r="AB397" s="35"/>
    </row>
    <row r="398" spans="1:28" s="46" customFormat="1" ht="19.899999999999999" customHeight="1" x14ac:dyDescent="0.15">
      <c r="A398" s="34">
        <v>395</v>
      </c>
      <c r="B398" s="15" t="s">
        <v>2545</v>
      </c>
      <c r="C398" s="29" t="s">
        <v>0</v>
      </c>
      <c r="D398" s="32" t="str">
        <f t="shared" si="72"/>
        <v>专用物耗</v>
      </c>
      <c r="E398" s="15" t="s">
        <v>2540</v>
      </c>
      <c r="F398" s="15" t="s">
        <v>1581</v>
      </c>
      <c r="G398" s="15"/>
      <c r="H398" s="15"/>
      <c r="I398" s="15" t="s">
        <v>1600</v>
      </c>
      <c r="J398" s="29" t="s">
        <v>1608</v>
      </c>
      <c r="K398" s="15">
        <v>3</v>
      </c>
      <c r="L398" s="29" t="s">
        <v>134</v>
      </c>
      <c r="M398" s="32" t="str">
        <f t="shared" si="68"/>
        <v>常规</v>
      </c>
      <c r="N398" s="15"/>
      <c r="O398" s="137" t="s">
        <v>2243</v>
      </c>
      <c r="P398" s="134" t="s">
        <v>2235</v>
      </c>
      <c r="Q398" s="137" t="s">
        <v>2541</v>
      </c>
      <c r="R398" s="15"/>
      <c r="S398" s="15"/>
      <c r="T398" s="15"/>
      <c r="U398" s="32" t="str">
        <f t="shared" si="71"/>
        <v>个</v>
      </c>
      <c r="V398" s="15"/>
      <c r="W398" s="15"/>
      <c r="X398" s="32">
        <f t="shared" si="73"/>
        <v>3</v>
      </c>
      <c r="Y398" s="32" t="str">
        <f t="shared" si="70"/>
        <v>个</v>
      </c>
      <c r="Z398" s="15"/>
      <c r="AA398" s="15"/>
      <c r="AB398" s="15"/>
    </row>
    <row r="399" spans="1:28" s="46" customFormat="1" ht="19.899999999999999" customHeight="1" x14ac:dyDescent="0.15">
      <c r="A399" s="34">
        <v>396</v>
      </c>
      <c r="B399" s="15" t="s">
        <v>2545</v>
      </c>
      <c r="C399" s="29" t="s">
        <v>0</v>
      </c>
      <c r="D399" s="32" t="str">
        <f t="shared" si="72"/>
        <v>专用物耗</v>
      </c>
      <c r="E399" s="15" t="s">
        <v>2540</v>
      </c>
      <c r="F399" s="15" t="s">
        <v>1582</v>
      </c>
      <c r="G399" s="15"/>
      <c r="H399" s="15"/>
      <c r="I399" s="15" t="s">
        <v>1601</v>
      </c>
      <c r="J399" s="29" t="s">
        <v>1608</v>
      </c>
      <c r="K399" s="15">
        <v>3</v>
      </c>
      <c r="L399" s="29" t="s">
        <v>134</v>
      </c>
      <c r="M399" s="32" t="str">
        <f t="shared" ref="M399:M418" si="79">IF(D399="危险化学品","五双",IF(D399="标准物资","严控",IF(D399&lt;&gt;"","常规","")))</f>
        <v>常规</v>
      </c>
      <c r="N399" s="15"/>
      <c r="O399" s="137" t="s">
        <v>2243</v>
      </c>
      <c r="P399" s="134" t="s">
        <v>2235</v>
      </c>
      <c r="Q399" s="137" t="s">
        <v>2541</v>
      </c>
      <c r="R399" s="15"/>
      <c r="S399" s="15"/>
      <c r="T399" s="15"/>
      <c r="U399" s="32" t="str">
        <f t="shared" si="71"/>
        <v>个</v>
      </c>
      <c r="V399" s="15"/>
      <c r="W399" s="15"/>
      <c r="X399" s="32">
        <f t="shared" si="73"/>
        <v>3</v>
      </c>
      <c r="Y399" s="32" t="str">
        <f t="shared" si="70"/>
        <v>个</v>
      </c>
      <c r="Z399" s="15"/>
      <c r="AA399" s="15"/>
      <c r="AB399" s="15"/>
    </row>
    <row r="400" spans="1:28" s="46" customFormat="1" ht="19.899999999999999" customHeight="1" x14ac:dyDescent="0.15">
      <c r="A400" s="34">
        <v>399</v>
      </c>
      <c r="B400" s="15" t="s">
        <v>2546</v>
      </c>
      <c r="C400" s="29" t="s">
        <v>0</v>
      </c>
      <c r="D400" s="32" t="str">
        <f t="shared" si="72"/>
        <v>专用物耗</v>
      </c>
      <c r="E400" s="15" t="s">
        <v>2540</v>
      </c>
      <c r="F400" s="15" t="s">
        <v>1583</v>
      </c>
      <c r="G400" s="15"/>
      <c r="H400" s="15"/>
      <c r="I400" s="15" t="s">
        <v>1602</v>
      </c>
      <c r="J400" s="29" t="s">
        <v>1608</v>
      </c>
      <c r="K400" s="15">
        <v>10</v>
      </c>
      <c r="L400" s="29" t="s">
        <v>1609</v>
      </c>
      <c r="M400" s="32" t="str">
        <f t="shared" si="79"/>
        <v>常规</v>
      </c>
      <c r="N400" s="15"/>
      <c r="O400" s="137" t="s">
        <v>2243</v>
      </c>
      <c r="P400" s="134" t="s">
        <v>2235</v>
      </c>
      <c r="Q400" s="137" t="s">
        <v>2541</v>
      </c>
      <c r="R400" s="15"/>
      <c r="S400" s="15"/>
      <c r="T400" s="15"/>
      <c r="U400" s="32" t="str">
        <f t="shared" si="71"/>
        <v>支</v>
      </c>
      <c r="V400" s="15"/>
      <c r="W400" s="15"/>
      <c r="X400" s="32">
        <f t="shared" si="73"/>
        <v>10</v>
      </c>
      <c r="Y400" s="32" t="str">
        <f t="shared" si="70"/>
        <v>支</v>
      </c>
      <c r="Z400" s="15"/>
      <c r="AA400" s="15"/>
      <c r="AB400" s="15"/>
    </row>
    <row r="401" spans="1:28" s="46" customFormat="1" ht="19.899999999999999" customHeight="1" x14ac:dyDescent="0.15">
      <c r="A401" s="34">
        <v>400</v>
      </c>
      <c r="B401" s="15" t="s">
        <v>2547</v>
      </c>
      <c r="C401" s="29" t="s">
        <v>0</v>
      </c>
      <c r="D401" s="32" t="str">
        <f t="shared" si="72"/>
        <v>专用物耗</v>
      </c>
      <c r="E401" s="15" t="s">
        <v>2540</v>
      </c>
      <c r="F401" s="15" t="s">
        <v>1583</v>
      </c>
      <c r="G401" s="15"/>
      <c r="H401" s="15"/>
      <c r="I401" s="15" t="s">
        <v>1603</v>
      </c>
      <c r="J401" s="29" t="s">
        <v>1608</v>
      </c>
      <c r="K401" s="15">
        <v>10</v>
      </c>
      <c r="L401" s="29" t="s">
        <v>1609</v>
      </c>
      <c r="M401" s="32" t="str">
        <f t="shared" si="79"/>
        <v>常规</v>
      </c>
      <c r="N401" s="15"/>
      <c r="O401" s="137" t="s">
        <v>2243</v>
      </c>
      <c r="P401" s="134" t="s">
        <v>2235</v>
      </c>
      <c r="Q401" s="137" t="s">
        <v>2541</v>
      </c>
      <c r="R401" s="15"/>
      <c r="S401" s="15"/>
      <c r="T401" s="15"/>
      <c r="U401" s="32" t="str">
        <f t="shared" si="71"/>
        <v>支</v>
      </c>
      <c r="V401" s="15"/>
      <c r="W401" s="15"/>
      <c r="X401" s="32">
        <f t="shared" si="73"/>
        <v>10</v>
      </c>
      <c r="Y401" s="32" t="str">
        <f t="shared" si="70"/>
        <v>支</v>
      </c>
      <c r="Z401" s="15"/>
      <c r="AA401" s="15"/>
      <c r="AB401" s="15"/>
    </row>
    <row r="402" spans="1:28" s="46" customFormat="1" ht="19.899999999999999" customHeight="1" x14ac:dyDescent="0.15">
      <c r="A402" s="34">
        <v>401</v>
      </c>
      <c r="B402" s="15" t="s">
        <v>2548</v>
      </c>
      <c r="C402" s="29" t="s">
        <v>0</v>
      </c>
      <c r="D402" s="32" t="str">
        <f t="shared" si="72"/>
        <v>专用物耗</v>
      </c>
      <c r="E402" s="15" t="s">
        <v>2540</v>
      </c>
      <c r="F402" s="15" t="s">
        <v>1584</v>
      </c>
      <c r="G402" s="15"/>
      <c r="H402" s="15"/>
      <c r="I402" s="15" t="s">
        <v>1604</v>
      </c>
      <c r="J402" s="29" t="s">
        <v>1608</v>
      </c>
      <c r="K402" s="15">
        <v>1</v>
      </c>
      <c r="L402" s="29" t="s">
        <v>1590</v>
      </c>
      <c r="M402" s="32" t="str">
        <f t="shared" si="79"/>
        <v>常规</v>
      </c>
      <c r="N402" s="15"/>
      <c r="O402" s="137" t="s">
        <v>2243</v>
      </c>
      <c r="P402" s="134" t="s">
        <v>2235</v>
      </c>
      <c r="Q402" s="137" t="s">
        <v>2541</v>
      </c>
      <c r="R402" s="15"/>
      <c r="S402" s="15"/>
      <c r="T402" s="15"/>
      <c r="U402" s="32" t="str">
        <f t="shared" si="71"/>
        <v>待定</v>
      </c>
      <c r="V402" s="15"/>
      <c r="W402" s="15"/>
      <c r="X402" s="32">
        <f t="shared" si="73"/>
        <v>1</v>
      </c>
      <c r="Y402" s="32" t="str">
        <f t="shared" si="70"/>
        <v>待定</v>
      </c>
      <c r="Z402" s="15"/>
      <c r="AA402" s="15"/>
      <c r="AB402" s="15"/>
    </row>
    <row r="403" spans="1:28" s="46" customFormat="1" ht="19.899999999999999" customHeight="1" x14ac:dyDescent="0.15">
      <c r="A403" s="34">
        <v>402</v>
      </c>
      <c r="B403" s="15" t="s">
        <v>2549</v>
      </c>
      <c r="C403" s="29" t="s">
        <v>0</v>
      </c>
      <c r="D403" s="32" t="str">
        <f t="shared" si="72"/>
        <v>专用物耗</v>
      </c>
      <c r="E403" s="15" t="s">
        <v>2540</v>
      </c>
      <c r="F403" s="15" t="s">
        <v>1585</v>
      </c>
      <c r="G403" s="15"/>
      <c r="H403" s="15"/>
      <c r="I403" s="15" t="s">
        <v>1605</v>
      </c>
      <c r="J403" s="29" t="s">
        <v>1608</v>
      </c>
      <c r="K403" s="15">
        <v>1</v>
      </c>
      <c r="L403" s="29" t="s">
        <v>1590</v>
      </c>
      <c r="M403" s="32" t="str">
        <f t="shared" si="79"/>
        <v>常规</v>
      </c>
      <c r="N403" s="15"/>
      <c r="O403" s="137" t="s">
        <v>2243</v>
      </c>
      <c r="P403" s="134" t="s">
        <v>2235</v>
      </c>
      <c r="Q403" s="137" t="s">
        <v>2541</v>
      </c>
      <c r="R403" s="15"/>
      <c r="S403" s="15"/>
      <c r="T403" s="15"/>
      <c r="U403" s="32" t="str">
        <f t="shared" si="71"/>
        <v>待定</v>
      </c>
      <c r="V403" s="15"/>
      <c r="W403" s="15"/>
      <c r="X403" s="32">
        <f t="shared" si="73"/>
        <v>1</v>
      </c>
      <c r="Y403" s="32" t="str">
        <f t="shared" si="70"/>
        <v>待定</v>
      </c>
      <c r="Z403" s="15"/>
      <c r="AA403" s="15"/>
      <c r="AB403" s="15"/>
    </row>
    <row r="404" spans="1:28" s="46" customFormat="1" ht="19.899999999999999" customHeight="1" x14ac:dyDescent="0.15">
      <c r="A404" s="34">
        <v>403</v>
      </c>
      <c r="B404" s="15" t="s">
        <v>2550</v>
      </c>
      <c r="C404" s="29" t="s">
        <v>0</v>
      </c>
      <c r="D404" s="32" t="str">
        <f t="shared" si="72"/>
        <v>专用物耗</v>
      </c>
      <c r="E404" s="15"/>
      <c r="F404" s="15"/>
      <c r="G404" s="15"/>
      <c r="H404" s="15"/>
      <c r="I404" s="15" t="s">
        <v>1606</v>
      </c>
      <c r="J404" s="29" t="s">
        <v>1608</v>
      </c>
      <c r="K404" s="15">
        <v>29</v>
      </c>
      <c r="L404" s="29" t="s">
        <v>1610</v>
      </c>
      <c r="M404" s="32" t="str">
        <f t="shared" si="79"/>
        <v>常规</v>
      </c>
      <c r="N404" s="15"/>
      <c r="O404" s="137" t="s">
        <v>2243</v>
      </c>
      <c r="P404" s="134" t="s">
        <v>2235</v>
      </c>
      <c r="Q404" s="137" t="s">
        <v>2551</v>
      </c>
      <c r="R404" s="15"/>
      <c r="S404" s="15"/>
      <c r="T404" s="15"/>
      <c r="U404" s="32" t="str">
        <f t="shared" si="71"/>
        <v>件</v>
      </c>
      <c r="V404" s="15"/>
      <c r="W404" s="15"/>
      <c r="X404" s="32">
        <f t="shared" si="73"/>
        <v>29</v>
      </c>
      <c r="Y404" s="32" t="str">
        <f t="shared" si="70"/>
        <v>件</v>
      </c>
      <c r="Z404" s="15"/>
      <c r="AA404" s="15"/>
      <c r="AB404" s="15"/>
    </row>
    <row r="405" spans="1:28" s="46" customFormat="1" ht="19.899999999999999" customHeight="1" x14ac:dyDescent="0.15">
      <c r="A405" s="34">
        <v>404</v>
      </c>
      <c r="B405" s="15" t="s">
        <v>2552</v>
      </c>
      <c r="C405" s="29" t="s">
        <v>0</v>
      </c>
      <c r="D405" s="32" t="str">
        <f t="shared" si="72"/>
        <v>专用物耗</v>
      </c>
      <c r="E405" s="15"/>
      <c r="F405" s="15"/>
      <c r="G405" s="15"/>
      <c r="H405" s="15"/>
      <c r="I405" s="15" t="s">
        <v>3020</v>
      </c>
      <c r="J405" s="29" t="s">
        <v>1608</v>
      </c>
      <c r="K405" s="15">
        <v>24</v>
      </c>
      <c r="L405" s="29" t="s">
        <v>1611</v>
      </c>
      <c r="M405" s="32" t="str">
        <f t="shared" si="79"/>
        <v>常规</v>
      </c>
      <c r="N405" s="15"/>
      <c r="O405" s="137" t="s">
        <v>2243</v>
      </c>
      <c r="P405" s="134" t="s">
        <v>2235</v>
      </c>
      <c r="Q405" s="137" t="s">
        <v>2551</v>
      </c>
      <c r="R405" s="15"/>
      <c r="S405" s="15"/>
      <c r="T405" s="15"/>
      <c r="U405" s="32" t="str">
        <f t="shared" si="71"/>
        <v>副</v>
      </c>
      <c r="V405" s="15"/>
      <c r="W405" s="15"/>
      <c r="X405" s="32">
        <f t="shared" si="73"/>
        <v>24</v>
      </c>
      <c r="Y405" s="32" t="str">
        <f t="shared" si="70"/>
        <v>副</v>
      </c>
      <c r="Z405" s="15"/>
      <c r="AA405" s="15"/>
      <c r="AB405" s="15" t="s">
        <v>3021</v>
      </c>
    </row>
    <row r="406" spans="1:28" s="46" customFormat="1" ht="19.899999999999999" customHeight="1" x14ac:dyDescent="0.15">
      <c r="A406" s="34">
        <v>405</v>
      </c>
      <c r="B406" s="15" t="s">
        <v>2553</v>
      </c>
      <c r="C406" s="29" t="s">
        <v>0</v>
      </c>
      <c r="D406" s="32" t="str">
        <f t="shared" si="72"/>
        <v>专用物耗</v>
      </c>
      <c r="E406" s="15"/>
      <c r="F406" s="15"/>
      <c r="G406" s="15"/>
      <c r="H406" s="15"/>
      <c r="I406" s="15" t="s">
        <v>1607</v>
      </c>
      <c r="J406" s="29" t="s">
        <v>1608</v>
      </c>
      <c r="K406" s="15">
        <v>1</v>
      </c>
      <c r="L406" s="29" t="s">
        <v>1611</v>
      </c>
      <c r="M406" s="32" t="str">
        <f t="shared" si="79"/>
        <v>常规</v>
      </c>
      <c r="N406" s="15"/>
      <c r="O406" s="137" t="s">
        <v>2243</v>
      </c>
      <c r="P406" s="134" t="s">
        <v>2235</v>
      </c>
      <c r="Q406" s="137" t="s">
        <v>2551</v>
      </c>
      <c r="R406" s="15"/>
      <c r="S406" s="15"/>
      <c r="T406" s="15"/>
      <c r="U406" s="32" t="str">
        <f t="shared" si="71"/>
        <v>副</v>
      </c>
      <c r="V406" s="15"/>
      <c r="W406" s="15"/>
      <c r="X406" s="32">
        <f t="shared" si="73"/>
        <v>1</v>
      </c>
      <c r="Y406" s="32" t="str">
        <f t="shared" si="70"/>
        <v>副</v>
      </c>
      <c r="Z406" s="15"/>
      <c r="AA406" s="15"/>
      <c r="AB406" s="15"/>
    </row>
    <row r="407" spans="1:28" s="46" customFormat="1" ht="19.899999999999999" customHeight="1" x14ac:dyDescent="0.15">
      <c r="A407" s="34">
        <v>406</v>
      </c>
      <c r="B407" s="15" t="s">
        <v>2554</v>
      </c>
      <c r="C407" s="29" t="s">
        <v>0</v>
      </c>
      <c r="D407" s="32" t="str">
        <f t="shared" ref="D407" si="80">IF(C407="J1","常规化学品",IF(C407="J2","危险化学品",IF(C407="J3","标准物质",IF(C407="J4","玻璃仪器",IF(C407="J5","实验气体",IF(C407="J6","专用物耗",IF(C407="J7","备品配件",IF(C407="J8","专用工具",IF(C407="Z1","劳保物资",IF(C407="Z2","办公耗材",IF(C407="Z3","食品饮料",IF(C407="Z4","特殊物耗",IF(C407="Z5","通用物耗",IF(C407="Z6","通用工具",""))))))))))))))</f>
        <v>专用物耗</v>
      </c>
      <c r="E407" s="15" t="s">
        <v>1621</v>
      </c>
      <c r="F407" s="15" t="s">
        <v>1622</v>
      </c>
      <c r="G407" s="15"/>
      <c r="H407" s="15"/>
      <c r="I407" s="15" t="s">
        <v>1624</v>
      </c>
      <c r="J407" s="29" t="s">
        <v>1619</v>
      </c>
      <c r="K407" s="15">
        <v>2</v>
      </c>
      <c r="L407" s="29" t="s">
        <v>1611</v>
      </c>
      <c r="M407" s="32" t="str">
        <f t="shared" ref="M407" si="81">IF(D407="危险化学品","五双",IF(D407="标准物资","严控",IF(D407&lt;&gt;"","常规","")))</f>
        <v>常规</v>
      </c>
      <c r="N407" s="15"/>
      <c r="O407" s="137" t="s">
        <v>2259</v>
      </c>
      <c r="P407" s="134" t="s">
        <v>2235</v>
      </c>
      <c r="Q407" s="137"/>
      <c r="R407" s="15"/>
      <c r="S407" s="15"/>
      <c r="T407" s="15"/>
      <c r="U407" s="32" t="str">
        <f t="shared" ref="U407" si="82">IF(L407="","",L407)</f>
        <v>副</v>
      </c>
      <c r="V407" s="15"/>
      <c r="W407" s="15"/>
      <c r="X407" s="32">
        <f t="shared" ref="X407" si="83">IF((K407-T407)&lt;=0,"",K407-T407)</f>
        <v>2</v>
      </c>
      <c r="Y407" s="32" t="str">
        <f t="shared" ref="Y407" si="84">IF(L407="","",L407)</f>
        <v>副</v>
      </c>
      <c r="Z407" s="15"/>
      <c r="AA407" s="15"/>
      <c r="AB407" s="15"/>
    </row>
    <row r="408" spans="1:28" s="46" customFormat="1" ht="19.899999999999999" customHeight="1" x14ac:dyDescent="0.15">
      <c r="A408" s="34">
        <v>407</v>
      </c>
      <c r="B408" s="15" t="s">
        <v>2555</v>
      </c>
      <c r="C408" s="29" t="s">
        <v>0</v>
      </c>
      <c r="D408" s="32" t="str">
        <f t="shared" si="72"/>
        <v>专用物耗</v>
      </c>
      <c r="E408" s="15"/>
      <c r="F408" s="15" t="s">
        <v>1625</v>
      </c>
      <c r="G408" s="15"/>
      <c r="H408" s="15"/>
      <c r="I408" s="15" t="s">
        <v>1626</v>
      </c>
      <c r="J408" s="29" t="s">
        <v>1619</v>
      </c>
      <c r="K408" s="15">
        <v>2</v>
      </c>
      <c r="L408" s="29" t="s">
        <v>1610</v>
      </c>
      <c r="M408" s="32" t="str">
        <f t="shared" si="79"/>
        <v>常规</v>
      </c>
      <c r="N408" s="15"/>
      <c r="O408" s="137" t="s">
        <v>2259</v>
      </c>
      <c r="P408" s="134" t="s">
        <v>2235</v>
      </c>
      <c r="Q408" s="137"/>
      <c r="R408" s="15"/>
      <c r="S408" s="15"/>
      <c r="T408" s="15"/>
      <c r="U408" s="32" t="str">
        <f t="shared" si="71"/>
        <v>件</v>
      </c>
      <c r="V408" s="15"/>
      <c r="W408" s="15"/>
      <c r="X408" s="32">
        <f t="shared" si="73"/>
        <v>2</v>
      </c>
      <c r="Y408" s="32" t="str">
        <f t="shared" si="70"/>
        <v>件</v>
      </c>
      <c r="Z408" s="15"/>
      <c r="AA408" s="15"/>
      <c r="AB408" s="15"/>
    </row>
    <row r="409" spans="1:28" s="46" customFormat="1" ht="19.899999999999999" customHeight="1" x14ac:dyDescent="0.15">
      <c r="A409" s="34">
        <v>408</v>
      </c>
      <c r="B409" s="15" t="s">
        <v>1348</v>
      </c>
      <c r="C409" s="29" t="s">
        <v>0</v>
      </c>
      <c r="D409" s="32" t="str">
        <f t="shared" si="72"/>
        <v>专用物耗</v>
      </c>
      <c r="E409" s="15" t="s">
        <v>1621</v>
      </c>
      <c r="F409" s="15">
        <v>260</v>
      </c>
      <c r="G409" s="15"/>
      <c r="H409" s="15"/>
      <c r="I409" s="15" t="s">
        <v>1629</v>
      </c>
      <c r="J409" s="29" t="s">
        <v>1619</v>
      </c>
      <c r="K409" s="15">
        <v>2</v>
      </c>
      <c r="L409" s="29" t="s">
        <v>1627</v>
      </c>
      <c r="M409" s="32" t="str">
        <f t="shared" si="79"/>
        <v>常规</v>
      </c>
      <c r="N409" s="15"/>
      <c r="O409" s="137" t="s">
        <v>2259</v>
      </c>
      <c r="P409" s="134" t="s">
        <v>2235</v>
      </c>
      <c r="Q409" s="137"/>
      <c r="R409" s="15"/>
      <c r="S409" s="15"/>
      <c r="T409" s="15"/>
      <c r="U409" s="32" t="str">
        <f t="shared" si="71"/>
        <v>双</v>
      </c>
      <c r="V409" s="15"/>
      <c r="W409" s="15"/>
      <c r="X409" s="32">
        <f t="shared" si="73"/>
        <v>2</v>
      </c>
      <c r="Y409" s="32" t="str">
        <f t="shared" si="70"/>
        <v>双</v>
      </c>
      <c r="Z409" s="15"/>
      <c r="AA409" s="15"/>
      <c r="AB409" s="15"/>
    </row>
    <row r="410" spans="1:28" s="46" customFormat="1" ht="19.899999999999999" customHeight="1" x14ac:dyDescent="0.15">
      <c r="A410" s="34">
        <v>409</v>
      </c>
      <c r="B410" s="15" t="s">
        <v>2556</v>
      </c>
      <c r="C410" s="29" t="s">
        <v>0</v>
      </c>
      <c r="D410" s="32" t="str">
        <f t="shared" si="72"/>
        <v>专用物耗</v>
      </c>
      <c r="E410" s="15" t="s">
        <v>2557</v>
      </c>
      <c r="F410" s="15"/>
      <c r="G410" s="15"/>
      <c r="H410" s="15"/>
      <c r="I410" s="15" t="s">
        <v>1623</v>
      </c>
      <c r="J410" s="29" t="s">
        <v>1619</v>
      </c>
      <c r="K410" s="15">
        <v>1</v>
      </c>
      <c r="L410" s="29" t="s">
        <v>1590</v>
      </c>
      <c r="M410" s="32" t="str">
        <f t="shared" si="79"/>
        <v>常规</v>
      </c>
      <c r="N410" s="15"/>
      <c r="O410" s="137" t="s">
        <v>2259</v>
      </c>
      <c r="P410" s="134" t="s">
        <v>2235</v>
      </c>
      <c r="Q410" s="137"/>
      <c r="R410" s="15"/>
      <c r="S410" s="15"/>
      <c r="T410" s="15"/>
      <c r="U410" s="32" t="str">
        <f t="shared" si="71"/>
        <v>待定</v>
      </c>
      <c r="V410" s="15"/>
      <c r="W410" s="15"/>
      <c r="X410" s="32">
        <f t="shared" si="73"/>
        <v>1</v>
      </c>
      <c r="Y410" s="32" t="str">
        <f t="shared" si="70"/>
        <v>待定</v>
      </c>
      <c r="Z410" s="15"/>
      <c r="AA410" s="15"/>
      <c r="AB410" s="15"/>
    </row>
    <row r="411" spans="1:28" s="46" customFormat="1" ht="19.899999999999999" customHeight="1" x14ac:dyDescent="0.15">
      <c r="A411" s="34">
        <v>410</v>
      </c>
      <c r="B411" s="15" t="s">
        <v>2558</v>
      </c>
      <c r="C411" s="29" t="s">
        <v>0</v>
      </c>
      <c r="D411" s="32" t="str">
        <f t="shared" si="72"/>
        <v>专用物耗</v>
      </c>
      <c r="E411" s="15"/>
      <c r="F411" s="15" t="s">
        <v>1630</v>
      </c>
      <c r="G411" s="15"/>
      <c r="H411" s="15"/>
      <c r="I411" s="15" t="s">
        <v>1631</v>
      </c>
      <c r="J411" s="29" t="s">
        <v>1619</v>
      </c>
      <c r="K411" s="15">
        <v>1</v>
      </c>
      <c r="L411" s="29" t="s">
        <v>1590</v>
      </c>
      <c r="M411" s="32" t="str">
        <f t="shared" si="79"/>
        <v>常规</v>
      </c>
      <c r="N411" s="15"/>
      <c r="O411" s="137" t="s">
        <v>2259</v>
      </c>
      <c r="P411" s="134" t="s">
        <v>2235</v>
      </c>
      <c r="Q411" s="137"/>
      <c r="R411" s="15"/>
      <c r="S411" s="15"/>
      <c r="T411" s="15"/>
      <c r="U411" s="32" t="str">
        <f t="shared" si="71"/>
        <v>待定</v>
      </c>
      <c r="V411" s="15"/>
      <c r="W411" s="15"/>
      <c r="X411" s="32">
        <f t="shared" si="73"/>
        <v>1</v>
      </c>
      <c r="Y411" s="32" t="str">
        <f t="shared" si="70"/>
        <v>待定</v>
      </c>
      <c r="Z411" s="15"/>
      <c r="AA411" s="15"/>
      <c r="AB411" s="15"/>
    </row>
    <row r="412" spans="1:28" s="46" customFormat="1" ht="19.899999999999999" customHeight="1" x14ac:dyDescent="0.15">
      <c r="A412" s="34">
        <v>411</v>
      </c>
      <c r="B412" s="15" t="s">
        <v>2559</v>
      </c>
      <c r="C412" s="29" t="s">
        <v>0</v>
      </c>
      <c r="D412" s="32" t="str">
        <f t="shared" si="72"/>
        <v>专用物耗</v>
      </c>
      <c r="E412" s="15"/>
      <c r="F412" s="15"/>
      <c r="G412" s="15"/>
      <c r="H412" s="15"/>
      <c r="I412" s="15" t="s">
        <v>1632</v>
      </c>
      <c r="J412" s="29" t="s">
        <v>1619</v>
      </c>
      <c r="K412" s="15">
        <v>1</v>
      </c>
      <c r="L412" s="29" t="s">
        <v>1590</v>
      </c>
      <c r="M412" s="32" t="str">
        <f t="shared" si="79"/>
        <v>常规</v>
      </c>
      <c r="N412" s="15"/>
      <c r="O412" s="137" t="s">
        <v>2259</v>
      </c>
      <c r="P412" s="134" t="s">
        <v>2235</v>
      </c>
      <c r="Q412" s="137"/>
      <c r="R412" s="15"/>
      <c r="S412" s="15"/>
      <c r="T412" s="15"/>
      <c r="U412" s="32" t="str">
        <f t="shared" si="71"/>
        <v>待定</v>
      </c>
      <c r="V412" s="15"/>
      <c r="W412" s="15"/>
      <c r="X412" s="32">
        <f t="shared" si="73"/>
        <v>1</v>
      </c>
      <c r="Y412" s="32" t="str">
        <f t="shared" si="70"/>
        <v>待定</v>
      </c>
      <c r="Z412" s="15"/>
      <c r="AA412" s="15"/>
      <c r="AB412" s="15"/>
    </row>
    <row r="413" spans="1:28" s="46" customFormat="1" ht="19.899999999999999" customHeight="1" x14ac:dyDescent="0.15">
      <c r="A413" s="34">
        <v>412</v>
      </c>
      <c r="B413" s="15" t="s">
        <v>2560</v>
      </c>
      <c r="C413" s="29" t="s">
        <v>0</v>
      </c>
      <c r="D413" s="32" t="str">
        <f t="shared" si="72"/>
        <v>专用物耗</v>
      </c>
      <c r="E413" s="15" t="s">
        <v>2561</v>
      </c>
      <c r="F413" s="15" t="s">
        <v>1634</v>
      </c>
      <c r="G413" s="15"/>
      <c r="H413" s="15"/>
      <c r="I413" s="15" t="s">
        <v>1633</v>
      </c>
      <c r="J413" s="29" t="s">
        <v>1619</v>
      </c>
      <c r="K413" s="15">
        <v>1</v>
      </c>
      <c r="L413" s="29" t="s">
        <v>1591</v>
      </c>
      <c r="M413" s="32" t="str">
        <f t="shared" si="79"/>
        <v>常规</v>
      </c>
      <c r="N413" s="15"/>
      <c r="O413" s="137" t="s">
        <v>2259</v>
      </c>
      <c r="P413" s="134" t="s">
        <v>2235</v>
      </c>
      <c r="Q413" s="137"/>
      <c r="R413" s="15"/>
      <c r="S413" s="15"/>
      <c r="T413" s="15"/>
      <c r="U413" s="32" t="str">
        <f>IF(L413="","",L413)</f>
        <v>只</v>
      </c>
      <c r="V413" s="15"/>
      <c r="W413" s="15"/>
      <c r="X413" s="32">
        <f t="shared" si="73"/>
        <v>1</v>
      </c>
      <c r="Y413" s="32" t="str">
        <f>IF(L413="","",L413)</f>
        <v>只</v>
      </c>
      <c r="Z413" s="15"/>
      <c r="AA413" s="15"/>
      <c r="AB413" s="15"/>
    </row>
    <row r="414" spans="1:28" s="46" customFormat="1" ht="19.899999999999999" customHeight="1" x14ac:dyDescent="0.15">
      <c r="A414" s="34">
        <v>413</v>
      </c>
      <c r="B414" s="15" t="s">
        <v>1386</v>
      </c>
      <c r="C414" s="29" t="s">
        <v>0</v>
      </c>
      <c r="D414" s="32" t="str">
        <f t="shared" si="72"/>
        <v>专用物耗</v>
      </c>
      <c r="E414" s="15" t="s">
        <v>2562</v>
      </c>
      <c r="F414" s="15">
        <v>2595</v>
      </c>
      <c r="G414" s="15"/>
      <c r="H414" s="15"/>
      <c r="I414" s="15" t="s">
        <v>1635</v>
      </c>
      <c r="J414" s="29" t="s">
        <v>1619</v>
      </c>
      <c r="K414" s="15">
        <v>1</v>
      </c>
      <c r="L414" s="29" t="s">
        <v>1591</v>
      </c>
      <c r="M414" s="32" t="str">
        <f t="shared" si="79"/>
        <v>常规</v>
      </c>
      <c r="N414" s="15"/>
      <c r="O414" s="137" t="s">
        <v>2264</v>
      </c>
      <c r="P414" s="134" t="s">
        <v>2235</v>
      </c>
      <c r="Q414" s="137"/>
      <c r="R414" s="15"/>
      <c r="S414" s="15"/>
      <c r="T414" s="15"/>
      <c r="U414" s="32" t="str">
        <f>IF(L414="","",L414)</f>
        <v>只</v>
      </c>
      <c r="V414" s="15"/>
      <c r="W414" s="15"/>
      <c r="X414" s="32">
        <f t="shared" si="73"/>
        <v>1</v>
      </c>
      <c r="Y414" s="32" t="str">
        <f>IF(L414="","",L414)</f>
        <v>只</v>
      </c>
      <c r="Z414" s="15"/>
      <c r="AA414" s="15"/>
      <c r="AB414" s="15"/>
    </row>
    <row r="415" spans="1:28" s="46" customFormat="1" ht="19.899999999999999" customHeight="1" x14ac:dyDescent="0.15">
      <c r="A415" s="34">
        <v>414</v>
      </c>
      <c r="B415" s="15" t="s">
        <v>1636</v>
      </c>
      <c r="C415" s="29" t="s">
        <v>0</v>
      </c>
      <c r="D415" s="32" t="str">
        <f t="shared" si="72"/>
        <v>专用物耗</v>
      </c>
      <c r="E415" s="15" t="s">
        <v>2563</v>
      </c>
      <c r="F415" s="15" t="s">
        <v>1637</v>
      </c>
      <c r="G415" s="15"/>
      <c r="H415" s="15"/>
      <c r="I415" s="15" t="s">
        <v>1638</v>
      </c>
      <c r="J415" s="29" t="s">
        <v>1619</v>
      </c>
      <c r="K415" s="15">
        <v>4</v>
      </c>
      <c r="L415" s="29" t="s">
        <v>1628</v>
      </c>
      <c r="M415" s="32" t="str">
        <f t="shared" si="79"/>
        <v>常规</v>
      </c>
      <c r="N415" s="15"/>
      <c r="O415" s="137" t="s">
        <v>2248</v>
      </c>
      <c r="P415" s="134" t="s">
        <v>2239</v>
      </c>
      <c r="Q415" s="137"/>
      <c r="R415" s="15"/>
      <c r="S415" s="15" t="s">
        <v>2167</v>
      </c>
      <c r="T415" s="15">
        <v>1</v>
      </c>
      <c r="U415" s="32" t="str">
        <f t="shared" si="71"/>
        <v>袋</v>
      </c>
      <c r="V415" s="15"/>
      <c r="W415" s="15"/>
      <c r="X415" s="32">
        <f t="shared" si="73"/>
        <v>3</v>
      </c>
      <c r="Y415" s="32" t="str">
        <f t="shared" si="70"/>
        <v>袋</v>
      </c>
      <c r="Z415" s="15"/>
      <c r="AA415" s="15"/>
      <c r="AB415" s="107"/>
    </row>
    <row r="416" spans="1:28" s="175" customFormat="1" ht="19.899999999999999" customHeight="1" x14ac:dyDescent="0.15">
      <c r="A416" s="163">
        <v>415</v>
      </c>
      <c r="B416" s="200" t="s">
        <v>2872</v>
      </c>
      <c r="C416" s="165" t="s">
        <v>0</v>
      </c>
      <c r="D416" s="166" t="str">
        <f t="shared" si="72"/>
        <v>专用物耗</v>
      </c>
      <c r="E416" s="200" t="s">
        <v>2873</v>
      </c>
      <c r="F416" s="167" t="s">
        <v>2188</v>
      </c>
      <c r="G416" s="167"/>
      <c r="H416" s="167"/>
      <c r="I416" s="167" t="s">
        <v>2064</v>
      </c>
      <c r="J416" s="165" t="s">
        <v>1619</v>
      </c>
      <c r="K416" s="167">
        <v>60</v>
      </c>
      <c r="L416" s="165" t="s">
        <v>1609</v>
      </c>
      <c r="M416" s="166" t="str">
        <f t="shared" si="79"/>
        <v>常规</v>
      </c>
      <c r="N416" s="167"/>
      <c r="O416" s="169" t="s">
        <v>2259</v>
      </c>
      <c r="P416" s="170" t="s">
        <v>2236</v>
      </c>
      <c r="Q416" s="169"/>
      <c r="R416" s="167"/>
      <c r="S416" s="167" t="s">
        <v>2868</v>
      </c>
      <c r="T416" s="167">
        <v>60</v>
      </c>
      <c r="U416" s="166" t="str">
        <f t="shared" si="71"/>
        <v>支</v>
      </c>
      <c r="V416" s="167"/>
      <c r="W416" s="167"/>
      <c r="X416" s="166" t="str">
        <f t="shared" si="73"/>
        <v/>
      </c>
      <c r="Y416" s="166" t="str">
        <f t="shared" si="70"/>
        <v>支</v>
      </c>
      <c r="Z416" s="167"/>
      <c r="AA416" s="167"/>
      <c r="AB416" s="172"/>
    </row>
    <row r="417" spans="1:28" s="46" customFormat="1" ht="19.899999999999999" customHeight="1" x14ac:dyDescent="0.15">
      <c r="A417" s="34">
        <v>416</v>
      </c>
      <c r="B417" s="15" t="s">
        <v>2564</v>
      </c>
      <c r="C417" s="29" t="s">
        <v>0</v>
      </c>
      <c r="D417" s="32" t="str">
        <f t="shared" si="72"/>
        <v>专用物耗</v>
      </c>
      <c r="E417" s="15" t="s">
        <v>1415</v>
      </c>
      <c r="F417" s="15" t="s">
        <v>1639</v>
      </c>
      <c r="G417" s="15"/>
      <c r="H417" s="15"/>
      <c r="I417" s="15" t="s">
        <v>1640</v>
      </c>
      <c r="J417" s="29" t="s">
        <v>1619</v>
      </c>
      <c r="K417" s="15">
        <v>73</v>
      </c>
      <c r="L417" s="29" t="s">
        <v>1609</v>
      </c>
      <c r="M417" s="32" t="str">
        <f t="shared" si="79"/>
        <v>常规</v>
      </c>
      <c r="N417" s="15"/>
      <c r="O417" s="137" t="s">
        <v>2259</v>
      </c>
      <c r="P417" s="134" t="s">
        <v>2236</v>
      </c>
      <c r="Q417" s="137"/>
      <c r="R417" s="15"/>
      <c r="S417" s="15"/>
      <c r="T417" s="15"/>
      <c r="U417" s="32" t="str">
        <f t="shared" si="71"/>
        <v>支</v>
      </c>
      <c r="V417" s="15"/>
      <c r="W417" s="15"/>
      <c r="X417" s="32">
        <f t="shared" si="73"/>
        <v>73</v>
      </c>
      <c r="Y417" s="32" t="str">
        <f t="shared" si="70"/>
        <v>支</v>
      </c>
      <c r="Z417" s="15"/>
      <c r="AA417" s="15"/>
      <c r="AB417" s="15"/>
    </row>
    <row r="418" spans="1:28" s="46" customFormat="1" ht="19.899999999999999" customHeight="1" x14ac:dyDescent="0.15">
      <c r="A418" s="34">
        <v>417</v>
      </c>
      <c r="B418" s="12" t="s">
        <v>2522</v>
      </c>
      <c r="C418" s="29" t="s">
        <v>0</v>
      </c>
      <c r="D418" s="32" t="str">
        <f t="shared" si="72"/>
        <v>专用物耗</v>
      </c>
      <c r="E418" s="95" t="s">
        <v>3095</v>
      </c>
      <c r="F418" s="14" t="s">
        <v>109</v>
      </c>
      <c r="G418" s="15"/>
      <c r="H418" s="15"/>
      <c r="I418" s="15" t="s">
        <v>1645</v>
      </c>
      <c r="J418" s="29" t="s">
        <v>2565</v>
      </c>
      <c r="K418" s="15">
        <v>160</v>
      </c>
      <c r="L418" s="29" t="s">
        <v>1609</v>
      </c>
      <c r="M418" s="32" t="str">
        <f t="shared" si="79"/>
        <v>常规</v>
      </c>
      <c r="N418" s="15"/>
      <c r="O418" s="137" t="s">
        <v>2258</v>
      </c>
      <c r="P418" s="134" t="s">
        <v>2237</v>
      </c>
      <c r="Q418" s="137"/>
      <c r="R418" s="15"/>
      <c r="S418" s="15"/>
      <c r="T418" s="15"/>
      <c r="U418" s="32" t="str">
        <f t="shared" si="71"/>
        <v>支</v>
      </c>
      <c r="V418" s="15"/>
      <c r="W418" s="15"/>
      <c r="X418" s="32">
        <f t="shared" si="73"/>
        <v>160</v>
      </c>
      <c r="Y418" s="32" t="str">
        <f t="shared" si="70"/>
        <v>支</v>
      </c>
      <c r="Z418" s="15"/>
      <c r="AA418" s="15"/>
      <c r="AB418" s="15"/>
    </row>
    <row r="419" spans="1:28" s="175" customFormat="1" ht="19.899999999999999" customHeight="1" x14ac:dyDescent="0.15">
      <c r="A419" s="163">
        <v>418</v>
      </c>
      <c r="B419" s="164" t="s">
        <v>2566</v>
      </c>
      <c r="C419" s="165" t="s">
        <v>0</v>
      </c>
      <c r="D419" s="166" t="str">
        <f t="shared" ref="D419" si="85">IF(C419="J1","常规化学品",IF(C419="J2","危险化学品",IF(C419="J3","标准物质",IF(C419="J4","玻璃仪器",IF(C419="J5","实验气体",IF(C419="J6","专用物耗",IF(C419="J7","备品配件",IF(C419="J8","专用工具",IF(C419="Z1","劳保物资",IF(C419="Z2","办公耗材",IF(C419="Z3","食品饮料",IF(C419="Z4","特殊物耗",IF(C419="Z5","通用物耗",IF(C419="Z6","通用工具",""))))))))))))))</f>
        <v>专用物耗</v>
      </c>
      <c r="E419" s="168"/>
      <c r="F419" s="168"/>
      <c r="G419" s="167"/>
      <c r="H419" s="167"/>
      <c r="I419" s="167" t="s">
        <v>2034</v>
      </c>
      <c r="J419" s="165" t="s">
        <v>821</v>
      </c>
      <c r="K419" s="167">
        <v>1</v>
      </c>
      <c r="L419" s="165" t="s">
        <v>1609</v>
      </c>
      <c r="M419" s="166" t="str">
        <f t="shared" ref="M419" si="86">IF(D419="危险化学品","五双",IF(D419="标准物资","严控",IF(D419&lt;&gt;"","常规","")))</f>
        <v>常规</v>
      </c>
      <c r="N419" s="167"/>
      <c r="O419" s="169"/>
      <c r="P419" s="170"/>
      <c r="Q419" s="169"/>
      <c r="R419" s="167"/>
      <c r="S419" s="167" t="s">
        <v>2035</v>
      </c>
      <c r="T419" s="167">
        <v>1</v>
      </c>
      <c r="U419" s="166" t="str">
        <f t="shared" ref="U419" si="87">IF(L419="","",L419)</f>
        <v>支</v>
      </c>
      <c r="V419" s="167"/>
      <c r="W419" s="167"/>
      <c r="X419" s="166" t="str">
        <f t="shared" si="73"/>
        <v/>
      </c>
      <c r="Y419" s="166" t="str">
        <f t="shared" ref="Y419" si="88">IF(L419="","",L419)</f>
        <v>支</v>
      </c>
      <c r="Z419" s="167"/>
      <c r="AA419" s="167"/>
      <c r="AB419" s="167"/>
    </row>
    <row r="420" spans="1:28" s="175" customFormat="1" ht="19.899999999999999" customHeight="1" x14ac:dyDescent="0.15">
      <c r="A420" s="163">
        <v>419</v>
      </c>
      <c r="B420" s="164" t="s">
        <v>2567</v>
      </c>
      <c r="C420" s="165" t="s">
        <v>0</v>
      </c>
      <c r="D420" s="166" t="str">
        <f t="shared" ref="D420" si="89">IF(C420="J1","常规化学品",IF(C420="J2","危险化学品",IF(C420="J3","标准物质",IF(C420="J4","玻璃仪器",IF(C420="J5","实验气体",IF(C420="J6","专用物耗",IF(C420="J7","备品配件",IF(C420="J8","专用工具",IF(C420="Z1","劳保物资",IF(C420="Z2","办公耗材",IF(C420="Z3","食品饮料",IF(C420="Z4","特殊物耗",IF(C420="Z5","通用物耗",IF(C420="Z6","通用工具",""))))))))))))))</f>
        <v>专用物耗</v>
      </c>
      <c r="E420" s="168"/>
      <c r="F420" s="168"/>
      <c r="G420" s="167"/>
      <c r="H420" s="167"/>
      <c r="I420" s="167" t="s">
        <v>2038</v>
      </c>
      <c r="J420" s="165" t="s">
        <v>821</v>
      </c>
      <c r="K420" s="167">
        <v>6</v>
      </c>
      <c r="L420" s="165" t="s">
        <v>1591</v>
      </c>
      <c r="M420" s="166" t="str">
        <f t="shared" ref="M420" si="90">IF(D420="危险化学品","五双",IF(D420="标准物资","严控",IF(D420&lt;&gt;"","常规","")))</f>
        <v>常规</v>
      </c>
      <c r="N420" s="167"/>
      <c r="O420" s="169"/>
      <c r="P420" s="170"/>
      <c r="Q420" s="169"/>
      <c r="R420" s="167"/>
      <c r="S420" s="167" t="s">
        <v>2039</v>
      </c>
      <c r="T420" s="167">
        <v>6</v>
      </c>
      <c r="U420" s="166" t="str">
        <f t="shared" ref="U420" si="91">IF(L420="","",L420)</f>
        <v>只</v>
      </c>
      <c r="V420" s="167"/>
      <c r="W420" s="167"/>
      <c r="X420" s="166" t="str">
        <f t="shared" si="73"/>
        <v/>
      </c>
      <c r="Y420" s="166" t="str">
        <f t="shared" ref="Y420" si="92">IF(L420="","",L420)</f>
        <v>只</v>
      </c>
      <c r="Z420" s="167"/>
      <c r="AA420" s="167"/>
      <c r="AB420" s="167"/>
    </row>
    <row r="421" spans="1:28" s="46" customFormat="1" ht="19.899999999999999" customHeight="1" x14ac:dyDescent="0.15">
      <c r="A421" s="34">
        <v>420</v>
      </c>
      <c r="B421" s="12" t="s">
        <v>2568</v>
      </c>
      <c r="C421" s="29" t="s">
        <v>0</v>
      </c>
      <c r="D421" s="32" t="str">
        <f t="shared" ref="D421" si="93">IF(C421="J1","常规化学品",IF(C421="J2","危险化学品",IF(C421="J3","标准物质",IF(C421="J4","玻璃仪器",IF(C421="J5","实验气体",IF(C421="J6","专用物耗",IF(C421="J7","备品配件",IF(C421="J8","专用工具",IF(C421="Z1","劳保物资",IF(C421="Z2","办公耗材",IF(C421="Z3","食品饮料",IF(C421="Z4","特殊物耗",IF(C421="Z5","通用物耗",IF(C421="Z6","通用工具",""))))))))))))))</f>
        <v>专用物耗</v>
      </c>
      <c r="E421" s="14"/>
      <c r="F421" s="14"/>
      <c r="G421" s="15"/>
      <c r="H421" s="15"/>
      <c r="I421" s="15" t="s">
        <v>2045</v>
      </c>
      <c r="J421" s="29" t="s">
        <v>1387</v>
      </c>
      <c r="K421" s="15">
        <v>3</v>
      </c>
      <c r="L421" s="29" t="s">
        <v>1591</v>
      </c>
      <c r="M421" s="32" t="str">
        <f t="shared" ref="M421" si="94">IF(D421="危险化学品","五双",IF(D421="标准物资","严控",IF(D421&lt;&gt;"","常规","")))</f>
        <v>常规</v>
      </c>
      <c r="N421" s="15"/>
      <c r="O421" s="137" t="s">
        <v>2247</v>
      </c>
      <c r="P421" s="134" t="s">
        <v>2235</v>
      </c>
      <c r="Q421" s="137"/>
      <c r="R421" s="15"/>
      <c r="S421" s="15" t="s">
        <v>2105</v>
      </c>
      <c r="T421" s="15">
        <v>2</v>
      </c>
      <c r="U421" s="32" t="str">
        <f t="shared" ref="U421" si="95">IF(L421="","",L421)</f>
        <v>只</v>
      </c>
      <c r="V421" s="15"/>
      <c r="W421" s="15"/>
      <c r="X421" s="32">
        <f t="shared" ref="X421:X423" si="96">IF((K421-T421)&lt;=0,"",K421-T421)</f>
        <v>1</v>
      </c>
      <c r="Y421" s="32" t="str">
        <f t="shared" ref="Y421" si="97">IF(L421="","",L421)</f>
        <v>只</v>
      </c>
      <c r="Z421" s="15"/>
      <c r="AA421" s="15"/>
      <c r="AB421" s="15"/>
    </row>
    <row r="422" spans="1:28" s="175" customFormat="1" ht="19.899999999999999" customHeight="1" x14ac:dyDescent="0.15">
      <c r="A422" s="163">
        <v>421</v>
      </c>
      <c r="B422" s="164" t="s">
        <v>2566</v>
      </c>
      <c r="C422" s="165" t="s">
        <v>0</v>
      </c>
      <c r="D422" s="166" t="str">
        <f t="shared" ref="D422:D423" si="98">IF(C422="J1","常规化学品",IF(C422="J2","危险化学品",IF(C422="J3","标准物质",IF(C422="J4","玻璃仪器",IF(C422="J5","实验气体",IF(C422="J6","专用物耗",IF(C422="J7","备品配件",IF(C422="J8","专用工具",IF(C422="Z1","劳保物资",IF(C422="Z2","办公耗材",IF(C422="Z3","食品饮料",IF(C422="Z4","特殊物耗",IF(C422="Z5","通用物耗",IF(C422="Z6","通用工具",""))))))))))))))</f>
        <v>专用物耗</v>
      </c>
      <c r="E422" s="168"/>
      <c r="F422" s="168"/>
      <c r="G422" s="167"/>
      <c r="H422" s="167"/>
      <c r="I422" s="167" t="s">
        <v>2046</v>
      </c>
      <c r="J422" s="165" t="s">
        <v>821</v>
      </c>
      <c r="K422" s="167">
        <v>1</v>
      </c>
      <c r="L422" s="165" t="s">
        <v>1591</v>
      </c>
      <c r="M422" s="166" t="str">
        <f t="shared" ref="M422:M423" si="99">IF(D422="危险化学品","五双",IF(D422="标准物资","严控",IF(D422&lt;&gt;"","常规","")))</f>
        <v>常规</v>
      </c>
      <c r="N422" s="167"/>
      <c r="O422" s="169"/>
      <c r="P422" s="170"/>
      <c r="Q422" s="169"/>
      <c r="R422" s="167"/>
      <c r="S422" s="167" t="s">
        <v>2047</v>
      </c>
      <c r="T422" s="167">
        <v>1</v>
      </c>
      <c r="U422" s="166" t="str">
        <f t="shared" ref="U422:U423" si="100">IF(L422="","",L422)</f>
        <v>只</v>
      </c>
      <c r="V422" s="167"/>
      <c r="W422" s="167"/>
      <c r="X422" s="166" t="str">
        <f t="shared" si="96"/>
        <v/>
      </c>
      <c r="Y422" s="166" t="str">
        <f t="shared" ref="Y422:Y423" si="101">IF(L422="","",L422)</f>
        <v>只</v>
      </c>
      <c r="Z422" s="167"/>
      <c r="AA422" s="167"/>
      <c r="AB422" s="167"/>
    </row>
    <row r="423" spans="1:28" s="46" customFormat="1" ht="19.899999999999999" customHeight="1" x14ac:dyDescent="0.15">
      <c r="A423" s="34">
        <v>422</v>
      </c>
      <c r="B423" s="12" t="s">
        <v>2569</v>
      </c>
      <c r="C423" s="29" t="s">
        <v>0</v>
      </c>
      <c r="D423" s="32" t="str">
        <f t="shared" si="98"/>
        <v>专用物耗</v>
      </c>
      <c r="E423" s="14"/>
      <c r="F423" s="14"/>
      <c r="G423" s="15"/>
      <c r="H423" s="15"/>
      <c r="I423" s="15" t="s">
        <v>2048</v>
      </c>
      <c r="J423" s="29" t="s">
        <v>2570</v>
      </c>
      <c r="K423" s="15">
        <v>2</v>
      </c>
      <c r="L423" s="29" t="s">
        <v>1591</v>
      </c>
      <c r="M423" s="32" t="str">
        <f t="shared" si="99"/>
        <v>常规</v>
      </c>
      <c r="N423" s="15"/>
      <c r="O423" s="137" t="s">
        <v>2257</v>
      </c>
      <c r="P423" s="134" t="s">
        <v>2235</v>
      </c>
      <c r="Q423" s="137"/>
      <c r="R423" s="15"/>
      <c r="S423" s="15"/>
      <c r="T423" s="15"/>
      <c r="U423" s="32" t="str">
        <f t="shared" si="100"/>
        <v>只</v>
      </c>
      <c r="V423" s="15"/>
      <c r="W423" s="15"/>
      <c r="X423" s="32">
        <f t="shared" si="96"/>
        <v>2</v>
      </c>
      <c r="Y423" s="32" t="str">
        <f t="shared" si="101"/>
        <v>只</v>
      </c>
      <c r="Z423" s="15"/>
      <c r="AA423" s="15"/>
      <c r="AB423" s="15" t="s">
        <v>2049</v>
      </c>
    </row>
    <row r="424" spans="1:28" s="175" customFormat="1" ht="19.899999999999999" customHeight="1" x14ac:dyDescent="0.15">
      <c r="A424" s="163">
        <v>423</v>
      </c>
      <c r="B424" s="164" t="s">
        <v>2571</v>
      </c>
      <c r="C424" s="165" t="s">
        <v>0</v>
      </c>
      <c r="D424" s="166" t="str">
        <f t="shared" ref="D424" si="102">IF(C424="J1","常规化学品",IF(C424="J2","危险化学品",IF(C424="J3","标准物质",IF(C424="J4","玻璃仪器",IF(C424="J5","实验气体",IF(C424="J6","专用物耗",IF(C424="J7","备品配件",IF(C424="J8","专用工具",IF(C424="Z1","劳保物资",IF(C424="Z2","办公耗材",IF(C424="Z3","食品饮料",IF(C424="Z4","特殊物耗",IF(C424="Z5","通用物耗",IF(C424="Z6","通用工具",""))))))))))))))</f>
        <v>专用物耗</v>
      </c>
      <c r="E424" s="168"/>
      <c r="F424" s="168" t="s">
        <v>2053</v>
      </c>
      <c r="G424" s="167"/>
      <c r="H424" s="167"/>
      <c r="I424" s="167" t="s">
        <v>2054</v>
      </c>
      <c r="J424" s="165" t="s">
        <v>821</v>
      </c>
      <c r="K424" s="167">
        <v>6</v>
      </c>
      <c r="L424" s="165" t="s">
        <v>1591</v>
      </c>
      <c r="M424" s="166" t="str">
        <f t="shared" ref="M424" si="103">IF(D424="危险化学品","五双",IF(D424="标准物资","严控",IF(D424&lt;&gt;"","常规","")))</f>
        <v>常规</v>
      </c>
      <c r="N424" s="167"/>
      <c r="O424" s="180" t="s">
        <v>2260</v>
      </c>
      <c r="P424" s="169" t="s">
        <v>1445</v>
      </c>
      <c r="Q424" s="169"/>
      <c r="R424" s="167"/>
      <c r="S424" s="167" t="s">
        <v>2087</v>
      </c>
      <c r="T424" s="167">
        <v>3</v>
      </c>
      <c r="U424" s="166" t="str">
        <f t="shared" ref="U424" si="104">IF(L424="","",L424)</f>
        <v>只</v>
      </c>
      <c r="V424" s="167"/>
      <c r="W424" s="167"/>
      <c r="X424" s="166">
        <f t="shared" ref="X424:X425" si="105">IF((K424-T424)&lt;=0,"",K424-T424)</f>
        <v>3</v>
      </c>
      <c r="Y424" s="166" t="str">
        <f t="shared" ref="Y424" si="106">IF(L424="","",L424)</f>
        <v>只</v>
      </c>
      <c r="Z424" s="167"/>
      <c r="AA424" s="167"/>
      <c r="AB424" s="167"/>
    </row>
    <row r="425" spans="1:28" s="46" customFormat="1" ht="19.899999999999999" customHeight="1" x14ac:dyDescent="0.15">
      <c r="A425" s="34">
        <v>424</v>
      </c>
      <c r="B425" s="12" t="s">
        <v>2572</v>
      </c>
      <c r="C425" s="29" t="s">
        <v>0</v>
      </c>
      <c r="D425" s="32" t="str">
        <f t="shared" ref="D425:D426" si="107">IF(C425="J1","常规化学品",IF(C425="J2","危险化学品",IF(C425="J3","标准物质",IF(C425="J4","玻璃仪器",IF(C425="J5","实验气体",IF(C425="J6","专用物耗",IF(C425="J7","备品配件",IF(C425="J8","专用工具",IF(C425="Z1","劳保物资",IF(C425="Z2","办公耗材",IF(C425="Z3","食品饮料",IF(C425="Z4","特殊物耗",IF(C425="Z5","通用物耗",IF(C425="Z6","通用工具",""))))))))))))))</f>
        <v>专用物耗</v>
      </c>
      <c r="E425" s="14"/>
      <c r="F425" s="14" t="s">
        <v>2056</v>
      </c>
      <c r="G425" s="15"/>
      <c r="H425" s="15"/>
      <c r="I425" s="15" t="s">
        <v>2057</v>
      </c>
      <c r="J425" s="29" t="s">
        <v>821</v>
      </c>
      <c r="K425" s="15">
        <v>1</v>
      </c>
      <c r="L425" s="29" t="s">
        <v>1591</v>
      </c>
      <c r="M425" s="32" t="str">
        <f t="shared" ref="M425:M426" si="108">IF(D425="危险化学品","五双",IF(D425="标准物资","严控",IF(D425&lt;&gt;"","常规","")))</f>
        <v>常规</v>
      </c>
      <c r="N425" s="15"/>
      <c r="O425" s="137"/>
      <c r="P425" s="134"/>
      <c r="Q425" s="137"/>
      <c r="R425" s="15"/>
      <c r="S425" s="15" t="s">
        <v>2058</v>
      </c>
      <c r="T425" s="15">
        <v>1</v>
      </c>
      <c r="U425" s="32" t="str">
        <f t="shared" ref="U425:U426" si="109">IF(L425="","",L425)</f>
        <v>只</v>
      </c>
      <c r="V425" s="15"/>
      <c r="W425" s="15"/>
      <c r="X425" s="32" t="str">
        <f t="shared" si="105"/>
        <v/>
      </c>
      <c r="Y425" s="32" t="str">
        <f t="shared" ref="Y425:Y426" si="110">IF(L425="","",L425)</f>
        <v>只</v>
      </c>
      <c r="Z425" s="15"/>
      <c r="AA425" s="15"/>
      <c r="AB425" s="15"/>
    </row>
    <row r="426" spans="1:28" s="46" customFormat="1" ht="19.899999999999999" customHeight="1" x14ac:dyDescent="0.15">
      <c r="A426" s="34">
        <v>425</v>
      </c>
      <c r="B426" s="12" t="s">
        <v>2573</v>
      </c>
      <c r="C426" s="29" t="s">
        <v>0</v>
      </c>
      <c r="D426" s="32" t="str">
        <f t="shared" si="107"/>
        <v>专用物耗</v>
      </c>
      <c r="E426" s="14" t="s">
        <v>2059</v>
      </c>
      <c r="F426" s="14" t="s">
        <v>2060</v>
      </c>
      <c r="G426" s="15"/>
      <c r="H426" s="15"/>
      <c r="I426" s="15" t="s">
        <v>2061</v>
      </c>
      <c r="J426" s="29" t="s">
        <v>821</v>
      </c>
      <c r="K426" s="15">
        <v>44</v>
      </c>
      <c r="L426" s="29" t="s">
        <v>1591</v>
      </c>
      <c r="M426" s="32" t="str">
        <f t="shared" si="108"/>
        <v>常规</v>
      </c>
      <c r="N426" s="15"/>
      <c r="O426" s="137" t="s">
        <v>2248</v>
      </c>
      <c r="P426" s="134" t="s">
        <v>2239</v>
      </c>
      <c r="Q426" s="137"/>
      <c r="R426" s="15"/>
      <c r="S426" s="15" t="s">
        <v>2131</v>
      </c>
      <c r="T426" s="15">
        <v>4</v>
      </c>
      <c r="U426" s="32" t="str">
        <f t="shared" si="109"/>
        <v>只</v>
      </c>
      <c r="V426" s="15"/>
      <c r="W426" s="15"/>
      <c r="X426" s="32">
        <f t="shared" ref="X426:X432" si="111">IF((K426-T426)&lt;=0,"",K426-T426)</f>
        <v>40</v>
      </c>
      <c r="Y426" s="32" t="str">
        <f t="shared" si="110"/>
        <v>只</v>
      </c>
      <c r="Z426" s="15"/>
      <c r="AA426" s="15"/>
      <c r="AB426" s="15"/>
    </row>
    <row r="427" spans="1:28" s="175" customFormat="1" ht="19.899999999999999" customHeight="1" x14ac:dyDescent="0.15">
      <c r="A427" s="163">
        <v>426</v>
      </c>
      <c r="B427" s="164" t="s">
        <v>2574</v>
      </c>
      <c r="C427" s="165" t="s">
        <v>0</v>
      </c>
      <c r="D427" s="166" t="str">
        <f t="shared" ref="D427:D429" si="112">IF(C427="J1","常规化学品",IF(C427="J2","危险化学品",IF(C427="J3","标准物质",IF(C427="J4","玻璃仪器",IF(C427="J5","实验气体",IF(C427="J6","专用物耗",IF(C427="J7","备品配件",IF(C427="J8","专用工具",IF(C427="Z1","劳保物资",IF(C427="Z2","办公耗材",IF(C427="Z3","食品饮料",IF(C427="Z4","特殊物耗",IF(C427="Z5","通用物耗",IF(C427="Z6","通用工具",""))))))))))))))</f>
        <v>专用物耗</v>
      </c>
      <c r="E427" s="168"/>
      <c r="F427" s="168" t="s">
        <v>2062</v>
      </c>
      <c r="G427" s="167"/>
      <c r="H427" s="167"/>
      <c r="I427" s="167" t="s">
        <v>2063</v>
      </c>
      <c r="J427" s="165" t="s">
        <v>821</v>
      </c>
      <c r="K427" s="167">
        <v>1</v>
      </c>
      <c r="L427" s="165" t="s">
        <v>1591</v>
      </c>
      <c r="M427" s="166" t="str">
        <f t="shared" ref="M427:M429" si="113">IF(D427="危险化学品","五双",IF(D427="标准物资","严控",IF(D427&lt;&gt;"","常规","")))</f>
        <v>常规</v>
      </c>
      <c r="N427" s="167"/>
      <c r="O427" s="180" t="s">
        <v>2260</v>
      </c>
      <c r="P427" s="169" t="s">
        <v>2575</v>
      </c>
      <c r="Q427" s="169"/>
      <c r="R427" s="167"/>
      <c r="S427" s="167" t="s">
        <v>3108</v>
      </c>
      <c r="T427" s="167">
        <v>1</v>
      </c>
      <c r="U427" s="166" t="str">
        <f t="shared" ref="U427:U429" si="114">IF(L427="","",L427)</f>
        <v>只</v>
      </c>
      <c r="V427" s="167"/>
      <c r="W427" s="167"/>
      <c r="X427" s="166" t="str">
        <f t="shared" ref="X427:X431" si="115">IF((K427-T427)&lt;=0,"",K427-T427)</f>
        <v/>
      </c>
      <c r="Y427" s="166" t="str">
        <f t="shared" ref="Y427:Y429" si="116">IF(L427="","",L427)</f>
        <v>只</v>
      </c>
      <c r="Z427" s="167"/>
      <c r="AA427" s="167"/>
      <c r="AB427" s="167" t="s">
        <v>3109</v>
      </c>
    </row>
    <row r="428" spans="1:28" s="175" customFormat="1" ht="19.899999999999999" customHeight="1" x14ac:dyDescent="0.15">
      <c r="A428" s="163">
        <v>427</v>
      </c>
      <c r="B428" s="164" t="s">
        <v>2576</v>
      </c>
      <c r="C428" s="165" t="s">
        <v>0</v>
      </c>
      <c r="D428" s="166" t="str">
        <f t="shared" si="112"/>
        <v>专用物耗</v>
      </c>
      <c r="E428" s="168"/>
      <c r="F428" s="168"/>
      <c r="G428" s="167"/>
      <c r="H428" s="167"/>
      <c r="I428" s="167" t="s">
        <v>2065</v>
      </c>
      <c r="J428" s="165" t="s">
        <v>821</v>
      </c>
      <c r="K428" s="167">
        <v>10</v>
      </c>
      <c r="L428" s="165" t="s">
        <v>1934</v>
      </c>
      <c r="M428" s="166" t="str">
        <f t="shared" si="113"/>
        <v>常规</v>
      </c>
      <c r="N428" s="167"/>
      <c r="O428" s="169"/>
      <c r="P428" s="170"/>
      <c r="Q428" s="169"/>
      <c r="R428" s="167"/>
      <c r="S428" s="167" t="s">
        <v>2165</v>
      </c>
      <c r="T428" s="167">
        <v>10</v>
      </c>
      <c r="U428" s="166" t="str">
        <f t="shared" si="114"/>
        <v>包</v>
      </c>
      <c r="V428" s="167"/>
      <c r="W428" s="167"/>
      <c r="X428" s="166" t="str">
        <f t="shared" si="111"/>
        <v/>
      </c>
      <c r="Y428" s="166" t="str">
        <f t="shared" si="116"/>
        <v>包</v>
      </c>
      <c r="Z428" s="167"/>
      <c r="AA428" s="167"/>
      <c r="AB428" s="167"/>
    </row>
    <row r="429" spans="1:28" s="175" customFormat="1" ht="19.899999999999999" customHeight="1" x14ac:dyDescent="0.15">
      <c r="A429" s="163">
        <v>428</v>
      </c>
      <c r="B429" s="164" t="s">
        <v>2577</v>
      </c>
      <c r="C429" s="165" t="s">
        <v>0</v>
      </c>
      <c r="D429" s="166" t="str">
        <f t="shared" si="112"/>
        <v>专用物耗</v>
      </c>
      <c r="E429" s="168" t="s">
        <v>2578</v>
      </c>
      <c r="F429" s="168" t="s">
        <v>2071</v>
      </c>
      <c r="G429" s="167"/>
      <c r="H429" s="167"/>
      <c r="I429" s="167" t="s">
        <v>2068</v>
      </c>
      <c r="J429" s="165" t="s">
        <v>821</v>
      </c>
      <c r="K429" s="167">
        <v>4</v>
      </c>
      <c r="L429" s="165" t="s">
        <v>2579</v>
      </c>
      <c r="M429" s="166" t="str">
        <f t="shared" si="113"/>
        <v>常规</v>
      </c>
      <c r="N429" s="167"/>
      <c r="O429" s="169" t="s">
        <v>2248</v>
      </c>
      <c r="P429" s="170" t="s">
        <v>2239</v>
      </c>
      <c r="Q429" s="169"/>
      <c r="R429" s="167"/>
      <c r="S429" s="167" t="s">
        <v>2168</v>
      </c>
      <c r="T429" s="167">
        <v>4</v>
      </c>
      <c r="U429" s="166" t="str">
        <f t="shared" si="114"/>
        <v>盒</v>
      </c>
      <c r="V429" s="167"/>
      <c r="W429" s="167"/>
      <c r="X429" s="166" t="str">
        <f t="shared" si="115"/>
        <v/>
      </c>
      <c r="Y429" s="166" t="str">
        <f t="shared" si="116"/>
        <v>盒</v>
      </c>
      <c r="Z429" s="167"/>
      <c r="AA429" s="167"/>
      <c r="AB429" s="167"/>
    </row>
    <row r="430" spans="1:28" s="175" customFormat="1" ht="19.899999999999999" customHeight="1" x14ac:dyDescent="0.15">
      <c r="A430" s="163">
        <v>429</v>
      </c>
      <c r="B430" s="164" t="s">
        <v>2580</v>
      </c>
      <c r="C430" s="165" t="s">
        <v>0</v>
      </c>
      <c r="D430" s="166" t="str">
        <f t="shared" ref="D430" si="117">IF(C430="J1","常规化学品",IF(C430="J2","危险化学品",IF(C430="J3","标准物质",IF(C430="J4","玻璃仪器",IF(C430="J5","实验气体",IF(C430="J6","专用物耗",IF(C430="J7","备品配件",IF(C430="J8","专用工具",IF(C430="Z1","劳保物资",IF(C430="Z2","办公耗材",IF(C430="Z3","食品饮料",IF(C430="Z4","特殊物耗",IF(C430="Z5","通用物耗",IF(C430="Z6","通用工具",""))))))))))))))</f>
        <v>专用物耗</v>
      </c>
      <c r="E430" s="168"/>
      <c r="F430" s="168" t="s">
        <v>2076</v>
      </c>
      <c r="G430" s="167"/>
      <c r="H430" s="167"/>
      <c r="I430" s="167" t="s">
        <v>2075</v>
      </c>
      <c r="J430" s="165" t="s">
        <v>821</v>
      </c>
      <c r="K430" s="167">
        <v>4</v>
      </c>
      <c r="L430" s="165" t="s">
        <v>844</v>
      </c>
      <c r="M430" s="166" t="str">
        <f t="shared" ref="M430" si="118">IF(D430="危险化学品","五双",IF(D430="标准物资","严控",IF(D430&lt;&gt;"","常规","")))</f>
        <v>常规</v>
      </c>
      <c r="N430" s="167"/>
      <c r="O430" s="169"/>
      <c r="P430" s="170"/>
      <c r="Q430" s="169"/>
      <c r="R430" s="167"/>
      <c r="S430" s="167" t="s">
        <v>2088</v>
      </c>
      <c r="T430" s="167">
        <v>4</v>
      </c>
      <c r="U430" s="166" t="str">
        <f t="shared" ref="U430" si="119">IF(L430="","",L430)</f>
        <v>桶</v>
      </c>
      <c r="V430" s="167"/>
      <c r="W430" s="167"/>
      <c r="X430" s="166" t="str">
        <f t="shared" si="111"/>
        <v/>
      </c>
      <c r="Y430" s="166" t="str">
        <f t="shared" ref="Y430" si="120">IF(L430="","",L430)</f>
        <v>桶</v>
      </c>
      <c r="Z430" s="167"/>
      <c r="AA430" s="167"/>
      <c r="AB430" s="167"/>
    </row>
    <row r="431" spans="1:28" s="175" customFormat="1" ht="19.899999999999999" customHeight="1" x14ac:dyDescent="0.15">
      <c r="A431" s="163">
        <v>430</v>
      </c>
      <c r="B431" s="164" t="s">
        <v>2581</v>
      </c>
      <c r="C431" s="165" t="s">
        <v>0</v>
      </c>
      <c r="D431" s="166" t="str">
        <f t="shared" ref="D431:D432" si="121">IF(C431="J1","常规化学品",IF(C431="J2","危险化学品",IF(C431="J3","标准物质",IF(C431="J4","玻璃仪器",IF(C431="J5","实验气体",IF(C431="J6","专用物耗",IF(C431="J7","备品配件",IF(C431="J8","专用工具",IF(C431="Z1","劳保物资",IF(C431="Z2","办公耗材",IF(C431="Z3","食品饮料",IF(C431="Z4","特殊物耗",IF(C431="Z5","通用物耗",IF(C431="Z6","通用工具",""))))))))))))))</f>
        <v>专用物耗</v>
      </c>
      <c r="E431" s="168"/>
      <c r="F431" s="168" t="s">
        <v>2078</v>
      </c>
      <c r="G431" s="167"/>
      <c r="H431" s="167"/>
      <c r="I431" s="167" t="s">
        <v>2077</v>
      </c>
      <c r="J431" s="165" t="s">
        <v>821</v>
      </c>
      <c r="K431" s="167">
        <v>2</v>
      </c>
      <c r="L431" s="165" t="s">
        <v>825</v>
      </c>
      <c r="M431" s="166" t="str">
        <f t="shared" ref="M431:M471" si="122">IF(D431="危险化学品","五双",IF(D431="标准物资","严控",IF(D431&lt;&gt;"","常规","")))</f>
        <v>常规</v>
      </c>
      <c r="N431" s="167"/>
      <c r="O431" s="169"/>
      <c r="P431" s="170"/>
      <c r="Q431" s="169"/>
      <c r="R431" s="167"/>
      <c r="S431" s="167" t="s">
        <v>2108</v>
      </c>
      <c r="T431" s="167">
        <v>2</v>
      </c>
      <c r="U431" s="166" t="str">
        <f t="shared" ref="U431:U432" si="123">IF(L431="","",L431)</f>
        <v>袋</v>
      </c>
      <c r="V431" s="167"/>
      <c r="W431" s="167"/>
      <c r="X431" s="166" t="str">
        <f t="shared" si="115"/>
        <v/>
      </c>
      <c r="Y431" s="166" t="str">
        <f t="shared" ref="Y431" si="124">IF(L431="","",L431)</f>
        <v>袋</v>
      </c>
      <c r="Z431" s="167"/>
      <c r="AA431" s="167"/>
      <c r="AB431" s="167"/>
    </row>
    <row r="432" spans="1:28" s="175" customFormat="1" ht="19.899999999999999" customHeight="1" x14ac:dyDescent="0.15">
      <c r="A432" s="163">
        <v>431</v>
      </c>
      <c r="B432" s="164" t="s">
        <v>2582</v>
      </c>
      <c r="C432" s="165" t="s">
        <v>0</v>
      </c>
      <c r="D432" s="166" t="str">
        <f t="shared" si="121"/>
        <v>专用物耗</v>
      </c>
      <c r="E432" s="168"/>
      <c r="F432" s="168"/>
      <c r="G432" s="167"/>
      <c r="H432" s="167"/>
      <c r="I432" s="167" t="s">
        <v>2079</v>
      </c>
      <c r="J432" s="165" t="s">
        <v>821</v>
      </c>
      <c r="K432" s="167">
        <v>1</v>
      </c>
      <c r="L432" s="165" t="s">
        <v>1628</v>
      </c>
      <c r="M432" s="166" t="str">
        <f t="shared" si="122"/>
        <v>常规</v>
      </c>
      <c r="N432" s="167"/>
      <c r="O432" s="169"/>
      <c r="P432" s="170"/>
      <c r="Q432" s="169"/>
      <c r="R432" s="167"/>
      <c r="S432" s="167" t="s">
        <v>2080</v>
      </c>
      <c r="T432" s="167">
        <v>1</v>
      </c>
      <c r="U432" s="166" t="str">
        <f t="shared" si="123"/>
        <v>袋</v>
      </c>
      <c r="V432" s="167"/>
      <c r="W432" s="167"/>
      <c r="X432" s="166" t="str">
        <f t="shared" si="111"/>
        <v/>
      </c>
      <c r="Y432" s="166" t="str">
        <f>IF(L432="","",L432)</f>
        <v>袋</v>
      </c>
      <c r="Z432" s="167"/>
      <c r="AA432" s="167"/>
      <c r="AB432" s="167"/>
    </row>
    <row r="433" spans="1:28" s="46" customFormat="1" ht="19.899999999999999" customHeight="1" x14ac:dyDescent="0.15">
      <c r="A433" s="34">
        <v>432</v>
      </c>
      <c r="B433" s="12" t="s">
        <v>2583</v>
      </c>
      <c r="C433" s="29" t="s">
        <v>0</v>
      </c>
      <c r="D433" s="32" t="str">
        <f t="shared" ref="D433" si="125">IF(C433="J1","常规化学品",IF(C433="J2","危险化学品",IF(C433="J3","标准物质",IF(C433="J4","玻璃仪器",IF(C433="J5","实验气体",IF(C433="J6","专用物耗",IF(C433="J7","备品配件",IF(C433="J8","专用工具",IF(C433="Z1","劳保物资",IF(C433="Z2","办公耗材",IF(C433="Z3","食品饮料",IF(C433="Z4","特殊物耗",IF(C433="Z5","通用物耗",IF(C433="Z6","通用工具",""))))))))))))))</f>
        <v>专用物耗</v>
      </c>
      <c r="E433" s="14"/>
      <c r="F433" s="14"/>
      <c r="G433" s="15"/>
      <c r="H433" s="15"/>
      <c r="I433" s="15" t="s">
        <v>2085</v>
      </c>
      <c r="J433" s="29" t="s">
        <v>821</v>
      </c>
      <c r="K433" s="15">
        <v>21</v>
      </c>
      <c r="L433" s="29" t="s">
        <v>833</v>
      </c>
      <c r="M433" s="32" t="str">
        <f t="shared" si="122"/>
        <v>常规</v>
      </c>
      <c r="N433" s="15"/>
      <c r="O433" s="137" t="s">
        <v>2248</v>
      </c>
      <c r="P433" s="134" t="s">
        <v>2236</v>
      </c>
      <c r="Q433" s="137"/>
      <c r="R433" s="15"/>
      <c r="S433" s="15"/>
      <c r="T433" s="15"/>
      <c r="U433" s="32" t="str">
        <f>IF(L433="","",L433)</f>
        <v>张</v>
      </c>
      <c r="V433" s="15"/>
      <c r="W433" s="15"/>
      <c r="X433" s="32">
        <f t="shared" ref="X433:X473" si="126">IF((K433-T433)&lt;=0,"",K433-T433)</f>
        <v>21</v>
      </c>
      <c r="Y433" s="32" t="str">
        <f t="shared" ref="Y433" si="127">IF(L433="","",L433)</f>
        <v>张</v>
      </c>
      <c r="Z433" s="15"/>
      <c r="AA433" s="15"/>
      <c r="AB433" s="15"/>
    </row>
    <row r="434" spans="1:28" s="175" customFormat="1" ht="19.899999999999999" customHeight="1" x14ac:dyDescent="0.15">
      <c r="A434" s="163">
        <v>433</v>
      </c>
      <c r="B434" s="164" t="s">
        <v>2584</v>
      </c>
      <c r="C434" s="165" t="s">
        <v>0</v>
      </c>
      <c r="D434" s="166" t="str">
        <f t="shared" ref="D434" si="128">IF(C434="J1","常规化学品",IF(C434="J2","危险化学品",IF(C434="J3","标准物质",IF(C434="J4","玻璃仪器",IF(C434="J5","实验气体",IF(C434="J6","专用物耗",IF(C434="J7","备品配件",IF(C434="J8","专用工具",IF(C434="Z1","劳保物资",IF(C434="Z2","办公耗材",IF(C434="Z3","食品饮料",IF(C434="Z4","特殊物耗",IF(C434="Z5","通用物耗",IF(C434="Z6","通用工具",""))))))))))))))</f>
        <v>专用物耗</v>
      </c>
      <c r="E434" s="168" t="s">
        <v>2585</v>
      </c>
      <c r="F434" s="168" t="s">
        <v>863</v>
      </c>
      <c r="G434" s="167"/>
      <c r="H434" s="167"/>
      <c r="I434" s="167" t="s">
        <v>2086</v>
      </c>
      <c r="J434" s="165" t="s">
        <v>821</v>
      </c>
      <c r="K434" s="167">
        <v>1</v>
      </c>
      <c r="L434" s="165" t="s">
        <v>844</v>
      </c>
      <c r="M434" s="166" t="str">
        <f t="shared" si="122"/>
        <v>常规</v>
      </c>
      <c r="N434" s="167"/>
      <c r="O434" s="169"/>
      <c r="P434" s="170"/>
      <c r="Q434" s="169"/>
      <c r="R434" s="167"/>
      <c r="S434" s="167" t="s">
        <v>2122</v>
      </c>
      <c r="T434" s="167">
        <v>1</v>
      </c>
      <c r="U434" s="166" t="str">
        <f t="shared" ref="U434" si="129">IF(L434="","",L434)</f>
        <v>桶</v>
      </c>
      <c r="V434" s="167"/>
      <c r="W434" s="167"/>
      <c r="X434" s="166" t="str">
        <f t="shared" si="126"/>
        <v/>
      </c>
      <c r="Y434" s="166" t="str">
        <f t="shared" ref="Y434" si="130">IF(L434="","",L434)</f>
        <v>桶</v>
      </c>
      <c r="Z434" s="167"/>
      <c r="AA434" s="167"/>
      <c r="AB434" s="167"/>
    </row>
    <row r="435" spans="1:28" s="175" customFormat="1" ht="19.899999999999999" customHeight="1" x14ac:dyDescent="0.15">
      <c r="A435" s="163">
        <v>434</v>
      </c>
      <c r="B435" s="164" t="s">
        <v>2586</v>
      </c>
      <c r="C435" s="165" t="s">
        <v>0</v>
      </c>
      <c r="D435" s="166" t="str">
        <f t="shared" ref="D435:D436" si="131">IF(C435="J1","常规化学品",IF(C435="J2","危险化学品",IF(C435="J3","标准物质",IF(C435="J4","玻璃仪器",IF(C435="J5","实验气体",IF(C435="J6","专用物耗",IF(C435="J7","备品配件",IF(C435="J8","专用工具",IF(C435="Z1","劳保物资",IF(C435="Z2","办公耗材",IF(C435="Z3","食品饮料",IF(C435="Z4","特殊物耗",IF(C435="Z5","通用物耗",IF(C435="Z6","通用工具",""))))))))))))))</f>
        <v>专用物耗</v>
      </c>
      <c r="E435" s="168"/>
      <c r="F435" s="168" t="s">
        <v>2094</v>
      </c>
      <c r="G435" s="167"/>
      <c r="H435" s="167"/>
      <c r="I435" s="167" t="s">
        <v>2095</v>
      </c>
      <c r="J435" s="165" t="s">
        <v>821</v>
      </c>
      <c r="K435" s="167">
        <v>1</v>
      </c>
      <c r="L435" s="165" t="s">
        <v>832</v>
      </c>
      <c r="M435" s="166" t="str">
        <f t="shared" si="122"/>
        <v>常规</v>
      </c>
      <c r="N435" s="167"/>
      <c r="O435" s="169"/>
      <c r="P435" s="170"/>
      <c r="Q435" s="169"/>
      <c r="R435" s="167"/>
      <c r="S435" s="167" t="s">
        <v>2093</v>
      </c>
      <c r="T435" s="167">
        <v>1</v>
      </c>
      <c r="U435" s="166" t="str">
        <f t="shared" ref="U435:U436" si="132">IF(L435="","",L435)</f>
        <v>瓶</v>
      </c>
      <c r="V435" s="167"/>
      <c r="W435" s="167"/>
      <c r="X435" s="166" t="str">
        <f t="shared" si="126"/>
        <v/>
      </c>
      <c r="Y435" s="166" t="str">
        <f t="shared" ref="Y435:Y436" si="133">IF(L435="","",L435)</f>
        <v>瓶</v>
      </c>
      <c r="Z435" s="167"/>
      <c r="AA435" s="167"/>
      <c r="AB435" s="167"/>
    </row>
    <row r="436" spans="1:28" s="175" customFormat="1" ht="19.899999999999999" customHeight="1" x14ac:dyDescent="0.15">
      <c r="A436" s="163">
        <v>435</v>
      </c>
      <c r="B436" s="164" t="s">
        <v>2577</v>
      </c>
      <c r="C436" s="165" t="s">
        <v>0</v>
      </c>
      <c r="D436" s="166" t="str">
        <f t="shared" si="131"/>
        <v>专用物耗</v>
      </c>
      <c r="E436" s="168" t="s">
        <v>2578</v>
      </c>
      <c r="F436" s="168" t="s">
        <v>2096</v>
      </c>
      <c r="G436" s="167"/>
      <c r="H436" s="167"/>
      <c r="I436" s="167" t="s">
        <v>2097</v>
      </c>
      <c r="J436" s="165" t="s">
        <v>821</v>
      </c>
      <c r="K436" s="167">
        <v>2</v>
      </c>
      <c r="L436" s="165" t="s">
        <v>826</v>
      </c>
      <c r="M436" s="166" t="str">
        <f t="shared" si="122"/>
        <v>常规</v>
      </c>
      <c r="N436" s="167"/>
      <c r="O436" s="169" t="s">
        <v>2248</v>
      </c>
      <c r="P436" s="170" t="s">
        <v>2239</v>
      </c>
      <c r="Q436" s="169"/>
      <c r="R436" s="167"/>
      <c r="S436" s="167" t="s">
        <v>2280</v>
      </c>
      <c r="T436" s="167">
        <v>2</v>
      </c>
      <c r="U436" s="166" t="str">
        <f t="shared" si="132"/>
        <v>盒</v>
      </c>
      <c r="V436" s="167"/>
      <c r="W436" s="167"/>
      <c r="X436" s="166" t="str">
        <f t="shared" si="126"/>
        <v/>
      </c>
      <c r="Y436" s="166" t="str">
        <f t="shared" si="133"/>
        <v>盒</v>
      </c>
      <c r="Z436" s="167"/>
      <c r="AA436" s="167"/>
      <c r="AB436" s="167"/>
    </row>
    <row r="437" spans="1:28" s="46" customFormat="1" ht="19.899999999999999" customHeight="1" x14ac:dyDescent="0.15">
      <c r="A437" s="34">
        <v>436</v>
      </c>
      <c r="B437" s="12" t="s">
        <v>2587</v>
      </c>
      <c r="C437" s="29" t="s">
        <v>0</v>
      </c>
      <c r="D437" s="32" t="str">
        <f t="shared" ref="D437:D440" si="134">IF(C437="J1","常规化学品",IF(C437="J2","危险化学品",IF(C437="J3","标准物质",IF(C437="J4","玻璃仪器",IF(C437="J5","实验气体",IF(C437="J6","专用物耗",IF(C437="J7","备品配件",IF(C437="J8","专用工具",IF(C437="Z1","劳保物资",IF(C437="Z2","办公耗材",IF(C437="Z3","食品饮料",IF(C437="Z4","特殊物耗",IF(C437="Z5","通用物耗",IF(C437="Z6","通用工具",""))))))))))))))</f>
        <v>专用物耗</v>
      </c>
      <c r="E437" s="14" t="s">
        <v>2588</v>
      </c>
      <c r="F437" s="14" t="s">
        <v>2100</v>
      </c>
      <c r="G437" s="15"/>
      <c r="H437" s="15"/>
      <c r="I437" s="15" t="s">
        <v>2099</v>
      </c>
      <c r="J437" s="29" t="s">
        <v>821</v>
      </c>
      <c r="K437" s="15">
        <v>20</v>
      </c>
      <c r="L437" s="29" t="s">
        <v>828</v>
      </c>
      <c r="M437" s="32" t="str">
        <f t="shared" si="122"/>
        <v>常规</v>
      </c>
      <c r="N437" s="15"/>
      <c r="O437" s="137" t="s">
        <v>2248</v>
      </c>
      <c r="P437" s="134" t="s">
        <v>2239</v>
      </c>
      <c r="Q437" s="137"/>
      <c r="R437" s="15"/>
      <c r="S437" s="15" t="s">
        <v>2906</v>
      </c>
      <c r="T437" s="15">
        <v>16</v>
      </c>
      <c r="U437" s="32" t="str">
        <f t="shared" ref="U437:U441" si="135">IF(L437="","",L437)</f>
        <v>包</v>
      </c>
      <c r="V437" s="15"/>
      <c r="W437" s="15"/>
      <c r="X437" s="32">
        <f t="shared" si="126"/>
        <v>4</v>
      </c>
      <c r="Y437" s="32" t="str">
        <f t="shared" ref="Y437:Y441" si="136">IF(L437="","",L437)</f>
        <v>包</v>
      </c>
      <c r="Z437" s="15"/>
      <c r="AA437" s="15"/>
      <c r="AB437" s="15"/>
    </row>
    <row r="438" spans="1:28" s="175" customFormat="1" ht="19.899999999999999" customHeight="1" x14ac:dyDescent="0.15">
      <c r="A438" s="163">
        <v>437</v>
      </c>
      <c r="B438" s="164" t="s">
        <v>2589</v>
      </c>
      <c r="C438" s="165" t="s">
        <v>0</v>
      </c>
      <c r="D438" s="166" t="str">
        <f t="shared" si="134"/>
        <v>专用物耗</v>
      </c>
      <c r="E438" s="168"/>
      <c r="F438" s="168" t="s">
        <v>2104</v>
      </c>
      <c r="G438" s="167"/>
      <c r="H438" s="167"/>
      <c r="I438" s="167" t="s">
        <v>2102</v>
      </c>
      <c r="J438" s="165" t="s">
        <v>821</v>
      </c>
      <c r="K438" s="167">
        <v>1</v>
      </c>
      <c r="L438" s="165" t="s">
        <v>826</v>
      </c>
      <c r="M438" s="166" t="str">
        <f t="shared" si="122"/>
        <v>常规</v>
      </c>
      <c r="N438" s="167"/>
      <c r="O438" s="169"/>
      <c r="P438" s="170"/>
      <c r="Q438" s="169"/>
      <c r="R438" s="167"/>
      <c r="S438" s="167" t="s">
        <v>2103</v>
      </c>
      <c r="T438" s="167">
        <v>1</v>
      </c>
      <c r="U438" s="166" t="str">
        <f t="shared" si="135"/>
        <v>盒</v>
      </c>
      <c r="V438" s="167"/>
      <c r="W438" s="167"/>
      <c r="X438" s="166" t="str">
        <f t="shared" si="126"/>
        <v/>
      </c>
      <c r="Y438" s="166" t="str">
        <f t="shared" si="136"/>
        <v>盒</v>
      </c>
      <c r="Z438" s="167"/>
      <c r="AA438" s="167"/>
      <c r="AB438" s="167"/>
    </row>
    <row r="439" spans="1:28" s="175" customFormat="1" ht="19.899999999999999" customHeight="1" x14ac:dyDescent="0.15">
      <c r="A439" s="163">
        <v>438</v>
      </c>
      <c r="B439" s="164" t="s">
        <v>2590</v>
      </c>
      <c r="C439" s="165" t="s">
        <v>0</v>
      </c>
      <c r="D439" s="166" t="str">
        <f t="shared" si="134"/>
        <v>专用物耗</v>
      </c>
      <c r="E439" s="168"/>
      <c r="F439" s="199" t="s">
        <v>2123</v>
      </c>
      <c r="G439" s="167"/>
      <c r="H439" s="167"/>
      <c r="I439" s="167" t="s">
        <v>2124</v>
      </c>
      <c r="J439" s="165" t="s">
        <v>821</v>
      </c>
      <c r="K439" s="167">
        <v>1</v>
      </c>
      <c r="L439" s="165" t="s">
        <v>827</v>
      </c>
      <c r="M439" s="166" t="str">
        <f t="shared" si="122"/>
        <v>常规</v>
      </c>
      <c r="N439" s="167"/>
      <c r="O439" s="169"/>
      <c r="P439" s="170"/>
      <c r="Q439" s="169"/>
      <c r="R439" s="167"/>
      <c r="S439" s="167" t="s">
        <v>2125</v>
      </c>
      <c r="T439" s="167">
        <v>1</v>
      </c>
      <c r="U439" s="166" t="str">
        <f t="shared" si="135"/>
        <v>套</v>
      </c>
      <c r="V439" s="167"/>
      <c r="W439" s="167"/>
      <c r="X439" s="166" t="str">
        <f t="shared" si="126"/>
        <v/>
      </c>
      <c r="Y439" s="166" t="str">
        <f t="shared" si="136"/>
        <v>套</v>
      </c>
      <c r="Z439" s="167"/>
      <c r="AA439" s="167"/>
      <c r="AB439" s="167"/>
    </row>
    <row r="440" spans="1:28" s="46" customFormat="1" ht="19.899999999999999" customHeight="1" x14ac:dyDescent="0.15">
      <c r="A440" s="34">
        <v>439</v>
      </c>
      <c r="B440" s="12" t="s">
        <v>2591</v>
      </c>
      <c r="C440" s="29" t="s">
        <v>0</v>
      </c>
      <c r="D440" s="32" t="str">
        <f t="shared" si="134"/>
        <v>专用物耗</v>
      </c>
      <c r="E440" s="14" t="s">
        <v>2592</v>
      </c>
      <c r="F440" s="14" t="s">
        <v>2127</v>
      </c>
      <c r="G440" s="15"/>
      <c r="H440" s="15"/>
      <c r="I440" s="15" t="s">
        <v>2126</v>
      </c>
      <c r="J440" s="29" t="s">
        <v>821</v>
      </c>
      <c r="K440" s="15">
        <v>1</v>
      </c>
      <c r="L440" s="29" t="s">
        <v>844</v>
      </c>
      <c r="M440" s="32" t="str">
        <f t="shared" si="122"/>
        <v>常规</v>
      </c>
      <c r="N440" s="15"/>
      <c r="O440" s="135" t="s">
        <v>2260</v>
      </c>
      <c r="P440" s="137" t="s">
        <v>2593</v>
      </c>
      <c r="Q440" s="137"/>
      <c r="R440" s="15"/>
      <c r="S440" s="15"/>
      <c r="T440" s="15"/>
      <c r="U440" s="32" t="str">
        <f t="shared" si="135"/>
        <v>桶</v>
      </c>
      <c r="V440" s="15"/>
      <c r="W440" s="15"/>
      <c r="X440" s="32">
        <f t="shared" si="126"/>
        <v>1</v>
      </c>
      <c r="Y440" s="32" t="str">
        <f t="shared" si="136"/>
        <v>桶</v>
      </c>
      <c r="Z440" s="15"/>
      <c r="AA440" s="15"/>
      <c r="AB440" s="15"/>
    </row>
    <row r="441" spans="1:28" s="175" customFormat="1" ht="19.899999999999999" customHeight="1" x14ac:dyDescent="0.15">
      <c r="A441" s="163">
        <v>440</v>
      </c>
      <c r="B441" s="186" t="s">
        <v>1410</v>
      </c>
      <c r="C441" s="165" t="s">
        <v>0</v>
      </c>
      <c r="D441" s="166" t="str">
        <f>IF(C441="J1","常规化学品",IF(C441="J2","危险化学品",IF(C441="J3","标准物质",IF(C441="J4","玻璃仪器",IF(C441="J5","实验气体",IF(C441="J6","专用物耗",IF(C441="J7","备品配件",IF(C441="J8","专用工具",IF(C441="Z1","劳保物资",IF(C441="Z2","办公耗材",IF(C441="Z3","食品饮料",IF(C441="Z4","特殊物耗",IF(C441="Z5","通用物耗",IF(C441="Z6","通用工具",""))))))))))))))</f>
        <v>专用物耗</v>
      </c>
      <c r="E441" s="195" t="s">
        <v>2594</v>
      </c>
      <c r="F441" s="195" t="s">
        <v>2156</v>
      </c>
      <c r="G441" s="167"/>
      <c r="H441" s="167"/>
      <c r="I441" s="198" t="s">
        <v>2149</v>
      </c>
      <c r="J441" s="165" t="s">
        <v>2595</v>
      </c>
      <c r="K441" s="167">
        <v>1</v>
      </c>
      <c r="L441" s="165" t="s">
        <v>2596</v>
      </c>
      <c r="M441" s="166" t="str">
        <f t="shared" si="122"/>
        <v>常规</v>
      </c>
      <c r="N441" s="167"/>
      <c r="O441" s="169"/>
      <c r="P441" s="170"/>
      <c r="Q441" s="169"/>
      <c r="R441" s="167"/>
      <c r="S441" s="198" t="s">
        <v>2150</v>
      </c>
      <c r="T441" s="167">
        <v>1</v>
      </c>
      <c r="U441" s="166" t="str">
        <f t="shared" si="135"/>
        <v>袋</v>
      </c>
      <c r="V441" s="167"/>
      <c r="W441" s="167"/>
      <c r="X441" s="166" t="str">
        <f t="shared" si="126"/>
        <v/>
      </c>
      <c r="Y441" s="166" t="str">
        <f t="shared" si="136"/>
        <v>袋</v>
      </c>
      <c r="Z441" s="167"/>
      <c r="AA441" s="167"/>
      <c r="AB441" s="167"/>
    </row>
    <row r="442" spans="1:28" s="46" customFormat="1" ht="19.899999999999999" customHeight="1" x14ac:dyDescent="0.15">
      <c r="A442" s="34">
        <v>441</v>
      </c>
      <c r="B442" s="12" t="s">
        <v>2597</v>
      </c>
      <c r="C442" s="29" t="s">
        <v>0</v>
      </c>
      <c r="D442" s="32" t="str">
        <f t="shared" ref="D442:D443" si="137">IF(C442="J1","常规化学品",IF(C442="J2","危险化学品",IF(C442="J3","标准物质",IF(C442="J4","玻璃仪器",IF(C442="J5","实验气体",IF(C442="J6","专用物耗",IF(C442="J7","备品配件",IF(C442="J8","专用工具",IF(C442="Z1","劳保物资",IF(C442="Z2","办公耗材",IF(C442="Z3","食品饮料",IF(C442="Z4","特殊物耗",IF(C442="Z5","通用物耗",IF(C442="Z6","通用工具",""))))))))))))))</f>
        <v>专用物耗</v>
      </c>
      <c r="E442" s="14"/>
      <c r="F442" s="14" t="s">
        <v>2129</v>
      </c>
      <c r="G442" s="15"/>
      <c r="H442" s="15"/>
      <c r="I442" s="15" t="s">
        <v>2130</v>
      </c>
      <c r="J442" s="29" t="s">
        <v>2570</v>
      </c>
      <c r="K442" s="15">
        <v>1</v>
      </c>
      <c r="L442" s="29" t="s">
        <v>822</v>
      </c>
      <c r="M442" s="32" t="str">
        <f t="shared" si="122"/>
        <v>常规</v>
      </c>
      <c r="N442" s="15"/>
      <c r="O442" s="137" t="s">
        <v>2248</v>
      </c>
      <c r="P442" s="134" t="s">
        <v>2239</v>
      </c>
      <c r="Q442" s="137"/>
      <c r="R442" s="15"/>
      <c r="S442" s="15"/>
      <c r="T442" s="15"/>
      <c r="U442" s="32" t="str">
        <f t="shared" ref="U442:U448" si="138">IF(L442="","",L442)</f>
        <v>只</v>
      </c>
      <c r="V442" s="15"/>
      <c r="W442" s="15"/>
      <c r="X442" s="32">
        <f t="shared" si="126"/>
        <v>1</v>
      </c>
      <c r="Y442" s="32" t="str">
        <f t="shared" ref="Y442:Y448" si="139">IF(L442="","",L442)</f>
        <v>只</v>
      </c>
      <c r="Z442" s="15"/>
      <c r="AA442" s="15"/>
      <c r="AB442" s="35"/>
    </row>
    <row r="443" spans="1:28" s="46" customFormat="1" ht="19.899999999999999" customHeight="1" x14ac:dyDescent="0.15">
      <c r="A443" s="34">
        <v>442</v>
      </c>
      <c r="B443" s="12" t="s">
        <v>2598</v>
      </c>
      <c r="C443" s="29" t="s">
        <v>0</v>
      </c>
      <c r="D443" s="32" t="str">
        <f t="shared" si="137"/>
        <v>专用物耗</v>
      </c>
      <c r="E443" s="14"/>
      <c r="F443" s="14" t="s">
        <v>2187</v>
      </c>
      <c r="G443" s="15"/>
      <c r="H443" s="15"/>
      <c r="I443" s="15" t="s">
        <v>2218</v>
      </c>
      <c r="J443" s="29" t="s">
        <v>2595</v>
      </c>
      <c r="K443" s="15">
        <v>1</v>
      </c>
      <c r="L443" s="29" t="s">
        <v>1322</v>
      </c>
      <c r="M443" s="32" t="str">
        <f t="shared" si="122"/>
        <v>常规</v>
      </c>
      <c r="N443" s="15"/>
      <c r="O443" s="137" t="s">
        <v>2248</v>
      </c>
      <c r="P443" s="134" t="s">
        <v>2237</v>
      </c>
      <c r="Q443" s="137"/>
      <c r="R443" s="15"/>
      <c r="S443" s="15"/>
      <c r="T443" s="15"/>
      <c r="U443" s="32" t="str">
        <f t="shared" si="138"/>
        <v>个</v>
      </c>
      <c r="V443" s="15"/>
      <c r="W443" s="15"/>
      <c r="X443" s="32">
        <f t="shared" si="126"/>
        <v>1</v>
      </c>
      <c r="Y443" s="32" t="str">
        <f t="shared" si="139"/>
        <v>个</v>
      </c>
      <c r="Z443" s="15"/>
      <c r="AA443" s="15"/>
      <c r="AB443" s="35"/>
    </row>
    <row r="444" spans="1:28" s="46" customFormat="1" ht="19.899999999999999" customHeight="1" x14ac:dyDescent="0.15">
      <c r="A444" s="34">
        <v>443</v>
      </c>
      <c r="B444" s="12" t="s">
        <v>2599</v>
      </c>
      <c r="C444" s="29" t="s">
        <v>0</v>
      </c>
      <c r="D444" s="32" t="str">
        <f>IF(C444="J1","常规化学品",IF(C444="J2","危险化学品",IF(C444="J3","标准物质",IF(C444="J4","玻璃仪器",IF(C444="J5","实验气体",IF(C444="J6","专用物耗",IF(C444="J7","备品配件",IF(C444="J8","专用工具",IF(C444="Z1","劳保物资",IF(C444="Z2","办公耗材",IF(C444="Z3","食品饮料",IF(C444="Z4","特殊物耗",IF(C444="Z5","通用物耗",IF(C444="Z6","通用工具",""))))))))))))))</f>
        <v>专用物耗</v>
      </c>
      <c r="E444" s="14"/>
      <c r="F444" s="14" t="s">
        <v>2219</v>
      </c>
      <c r="G444" s="15"/>
      <c r="H444" s="15"/>
      <c r="I444" s="15" t="s">
        <v>2220</v>
      </c>
      <c r="J444" s="29" t="s">
        <v>1387</v>
      </c>
      <c r="K444" s="15">
        <v>3.4089999999999998</v>
      </c>
      <c r="L444" s="29" t="s">
        <v>2600</v>
      </c>
      <c r="M444" s="32" t="str">
        <f t="shared" si="122"/>
        <v>常规</v>
      </c>
      <c r="N444" s="15"/>
      <c r="O444" s="135" t="s">
        <v>2260</v>
      </c>
      <c r="P444" s="137" t="s">
        <v>2535</v>
      </c>
      <c r="Q444" s="137"/>
      <c r="R444" s="15"/>
      <c r="S444" s="15" t="s">
        <v>2228</v>
      </c>
      <c r="T444" s="15">
        <v>2</v>
      </c>
      <c r="U444" s="32" t="str">
        <f t="shared" si="138"/>
        <v>箱</v>
      </c>
      <c r="V444" s="15"/>
      <c r="W444" s="15"/>
      <c r="X444" s="32">
        <f t="shared" si="126"/>
        <v>1.4089999999999998</v>
      </c>
      <c r="Y444" s="32" t="str">
        <f t="shared" si="139"/>
        <v>箱</v>
      </c>
      <c r="Z444" s="15"/>
      <c r="AA444" s="15"/>
      <c r="AB444" s="15" t="s">
        <v>2222</v>
      </c>
    </row>
    <row r="445" spans="1:28" s="46" customFormat="1" ht="19.899999999999999" customHeight="1" x14ac:dyDescent="0.15">
      <c r="A445" s="34">
        <v>444</v>
      </c>
      <c r="B445" s="12" t="s">
        <v>2601</v>
      </c>
      <c r="C445" s="29" t="s">
        <v>0</v>
      </c>
      <c r="D445" s="32" t="str">
        <f t="shared" ref="D445:D458" si="140">IF(C445="J1","常规化学品",IF(C445="J2","危险化学品",IF(C445="J3","标准物质",IF(C445="J4","玻璃仪器",IF(C445="J5","实验气体",IF(C445="J6","专用物耗",IF(C445="J7","备品配件",IF(C445="J8","专用工具",IF(C445="Z1","劳保物资",IF(C445="Z2","办公耗材",IF(C445="Z3","食品饮料",IF(C445="Z4","特殊物耗",IF(C445="Z5","通用物耗",IF(C445="Z6","通用工具",""))))))))))))))</f>
        <v>专用物耗</v>
      </c>
      <c r="E445" s="14"/>
      <c r="F445" s="14"/>
      <c r="G445" s="15"/>
      <c r="H445" s="15"/>
      <c r="I445" s="15" t="s">
        <v>2221</v>
      </c>
      <c r="J445" s="29" t="s">
        <v>1387</v>
      </c>
      <c r="K445" s="15">
        <v>1</v>
      </c>
      <c r="L445" s="29" t="s">
        <v>1322</v>
      </c>
      <c r="M445" s="32" t="str">
        <f t="shared" si="122"/>
        <v>常规</v>
      </c>
      <c r="N445" s="15"/>
      <c r="O445" s="135" t="s">
        <v>2259</v>
      </c>
      <c r="P445" s="134" t="s">
        <v>2236</v>
      </c>
      <c r="Q445" s="137"/>
      <c r="R445" s="15"/>
      <c r="S445" s="15"/>
      <c r="T445" s="15"/>
      <c r="U445" s="32" t="str">
        <f t="shared" si="138"/>
        <v>个</v>
      </c>
      <c r="V445" s="15"/>
      <c r="W445" s="15"/>
      <c r="X445" s="32">
        <f t="shared" si="126"/>
        <v>1</v>
      </c>
      <c r="Y445" s="32" t="str">
        <f t="shared" si="139"/>
        <v>个</v>
      </c>
      <c r="Z445" s="15"/>
      <c r="AA445" s="15"/>
      <c r="AB445" s="15" t="s">
        <v>2222</v>
      </c>
    </row>
    <row r="446" spans="1:28" s="46" customFormat="1" ht="19.899999999999999" customHeight="1" x14ac:dyDescent="0.15">
      <c r="A446" s="34">
        <v>445</v>
      </c>
      <c r="B446" s="12" t="s">
        <v>2602</v>
      </c>
      <c r="C446" s="29" t="s">
        <v>0</v>
      </c>
      <c r="D446" s="32" t="str">
        <f t="shared" si="140"/>
        <v>专用物耗</v>
      </c>
      <c r="E446" s="14"/>
      <c r="F446" s="14"/>
      <c r="G446" s="15"/>
      <c r="H446" s="15"/>
      <c r="I446" s="15" t="s">
        <v>2224</v>
      </c>
      <c r="J446" s="29" t="s">
        <v>2565</v>
      </c>
      <c r="K446" s="15">
        <v>1</v>
      </c>
      <c r="L446" s="29" t="s">
        <v>2596</v>
      </c>
      <c r="M446" s="32" t="str">
        <f t="shared" si="122"/>
        <v>常规</v>
      </c>
      <c r="N446" s="14"/>
      <c r="O446" s="135" t="s">
        <v>2259</v>
      </c>
      <c r="P446" s="134" t="s">
        <v>2239</v>
      </c>
      <c r="Q446" s="137" t="s">
        <v>2534</v>
      </c>
      <c r="R446" s="15"/>
      <c r="S446" s="54"/>
      <c r="T446" s="15"/>
      <c r="U446" s="32" t="str">
        <f t="shared" si="138"/>
        <v>袋</v>
      </c>
      <c r="V446" s="15"/>
      <c r="W446" s="15"/>
      <c r="X446" s="32">
        <f t="shared" si="126"/>
        <v>1</v>
      </c>
      <c r="Y446" s="32" t="str">
        <f t="shared" si="139"/>
        <v>袋</v>
      </c>
      <c r="Z446" s="15"/>
      <c r="AA446" s="15"/>
      <c r="AB446" s="15" t="s">
        <v>2225</v>
      </c>
    </row>
    <row r="447" spans="1:28" s="175" customFormat="1" ht="19.899999999999999" customHeight="1" x14ac:dyDescent="0.15">
      <c r="A447" s="163">
        <v>446</v>
      </c>
      <c r="B447" s="164" t="s">
        <v>733</v>
      </c>
      <c r="C447" s="165" t="s">
        <v>0</v>
      </c>
      <c r="D447" s="166" t="str">
        <f t="shared" si="140"/>
        <v>专用物耗</v>
      </c>
      <c r="E447" s="168"/>
      <c r="F447" s="168" t="s">
        <v>2282</v>
      </c>
      <c r="G447" s="167"/>
      <c r="H447" s="167"/>
      <c r="I447" s="167" t="s">
        <v>2284</v>
      </c>
      <c r="J447" s="165" t="s">
        <v>821</v>
      </c>
      <c r="K447" s="167">
        <v>4</v>
      </c>
      <c r="L447" s="165" t="s">
        <v>2579</v>
      </c>
      <c r="M447" s="166" t="str">
        <f t="shared" si="122"/>
        <v>常规</v>
      </c>
      <c r="N447" s="167"/>
      <c r="O447" s="169" t="s">
        <v>2286</v>
      </c>
      <c r="P447" s="170" t="s">
        <v>2287</v>
      </c>
      <c r="Q447" s="169"/>
      <c r="R447" s="167"/>
      <c r="S447" s="167" t="s">
        <v>2801</v>
      </c>
      <c r="T447" s="167">
        <v>4</v>
      </c>
      <c r="U447" s="166" t="str">
        <f t="shared" si="138"/>
        <v>盒</v>
      </c>
      <c r="V447" s="167"/>
      <c r="W447" s="167"/>
      <c r="X447" s="166" t="str">
        <f t="shared" si="126"/>
        <v/>
      </c>
      <c r="Y447" s="166" t="str">
        <f t="shared" si="139"/>
        <v>盒</v>
      </c>
      <c r="Z447" s="167"/>
      <c r="AA447" s="167"/>
      <c r="AB447" s="167" t="s">
        <v>2283</v>
      </c>
    </row>
    <row r="448" spans="1:28" s="46" customFormat="1" ht="19.899999999999999" customHeight="1" x14ac:dyDescent="0.15">
      <c r="A448" s="34">
        <v>447</v>
      </c>
      <c r="B448" s="52" t="s">
        <v>1370</v>
      </c>
      <c r="C448" s="29" t="s">
        <v>0</v>
      </c>
      <c r="D448" s="32" t="str">
        <f t="shared" si="140"/>
        <v>专用物耗</v>
      </c>
      <c r="E448" s="14"/>
      <c r="F448" s="52" t="s">
        <v>2281</v>
      </c>
      <c r="G448" s="15"/>
      <c r="H448" s="15"/>
      <c r="I448" s="15" t="s">
        <v>2285</v>
      </c>
      <c r="J448" s="29" t="s">
        <v>821</v>
      </c>
      <c r="K448" s="15">
        <v>1000</v>
      </c>
      <c r="L448" s="29" t="s">
        <v>1320</v>
      </c>
      <c r="M448" s="32" t="str">
        <f t="shared" si="122"/>
        <v>常规</v>
      </c>
      <c r="N448" s="29"/>
      <c r="O448" s="137" t="s">
        <v>2286</v>
      </c>
      <c r="P448" s="134" t="s">
        <v>2287</v>
      </c>
      <c r="Q448" s="137"/>
      <c r="R448" s="15"/>
      <c r="S448" s="15" t="s">
        <v>2803</v>
      </c>
      <c r="T448" s="15">
        <v>600</v>
      </c>
      <c r="U448" s="32" t="str">
        <f t="shared" si="138"/>
        <v>只</v>
      </c>
      <c r="V448" s="15"/>
      <c r="W448" s="15"/>
      <c r="X448" s="32">
        <f t="shared" si="126"/>
        <v>400</v>
      </c>
      <c r="Y448" s="32" t="str">
        <f t="shared" si="139"/>
        <v>只</v>
      </c>
      <c r="Z448" s="15"/>
      <c r="AA448" s="15"/>
      <c r="AB448" s="15" t="s">
        <v>2283</v>
      </c>
    </row>
    <row r="449" spans="1:28" s="186" customFormat="1" ht="19.899999999999999" customHeight="1" x14ac:dyDescent="0.15">
      <c r="A449" s="163">
        <v>448</v>
      </c>
      <c r="B449" s="164" t="s">
        <v>2603</v>
      </c>
      <c r="C449" s="165" t="s">
        <v>0</v>
      </c>
      <c r="D449" s="166" t="str">
        <f t="shared" si="140"/>
        <v>专用物耗</v>
      </c>
      <c r="E449" s="168" t="s">
        <v>2604</v>
      </c>
      <c r="F449" s="168" t="s">
        <v>2605</v>
      </c>
      <c r="G449" s="167"/>
      <c r="H449" s="167"/>
      <c r="I449" s="167" t="s">
        <v>2291</v>
      </c>
      <c r="J449" s="165" t="s">
        <v>821</v>
      </c>
      <c r="K449" s="167">
        <v>2</v>
      </c>
      <c r="L449" s="165" t="s">
        <v>2579</v>
      </c>
      <c r="M449" s="166" t="str">
        <f t="shared" si="122"/>
        <v>常规</v>
      </c>
      <c r="N449" s="165"/>
      <c r="O449" s="180" t="s">
        <v>2254</v>
      </c>
      <c r="P449" s="170" t="s">
        <v>2236</v>
      </c>
      <c r="Q449" s="169"/>
      <c r="R449" s="167"/>
      <c r="S449" s="167" t="s">
        <v>2497</v>
      </c>
      <c r="T449" s="167">
        <v>2</v>
      </c>
      <c r="U449" s="166" t="str">
        <f>IF(L449="","",L449)</f>
        <v>盒</v>
      </c>
      <c r="V449" s="167"/>
      <c r="W449" s="167"/>
      <c r="X449" s="166" t="str">
        <f t="shared" si="126"/>
        <v/>
      </c>
      <c r="Y449" s="166" t="str">
        <f>IF(L449="","",L449)</f>
        <v>盒</v>
      </c>
      <c r="Z449" s="167"/>
      <c r="AA449" s="167"/>
      <c r="AB449" s="167"/>
    </row>
    <row r="450" spans="1:28" s="186" customFormat="1" ht="19.899999999999999" customHeight="1" x14ac:dyDescent="0.15">
      <c r="A450" s="163">
        <v>449</v>
      </c>
      <c r="B450" s="164" t="s">
        <v>2603</v>
      </c>
      <c r="C450" s="165" t="s">
        <v>0</v>
      </c>
      <c r="D450" s="166" t="str">
        <f t="shared" si="140"/>
        <v>专用物耗</v>
      </c>
      <c r="E450" s="168" t="s">
        <v>2604</v>
      </c>
      <c r="F450" s="168" t="s">
        <v>2606</v>
      </c>
      <c r="G450" s="167"/>
      <c r="H450" s="167"/>
      <c r="I450" s="167" t="s">
        <v>2292</v>
      </c>
      <c r="J450" s="165" t="s">
        <v>821</v>
      </c>
      <c r="K450" s="167">
        <v>2</v>
      </c>
      <c r="L450" s="165" t="s">
        <v>2579</v>
      </c>
      <c r="M450" s="166" t="str">
        <f t="shared" si="122"/>
        <v>常规</v>
      </c>
      <c r="N450" s="165"/>
      <c r="O450" s="180" t="s">
        <v>2254</v>
      </c>
      <c r="P450" s="170" t="s">
        <v>2236</v>
      </c>
      <c r="Q450" s="169"/>
      <c r="R450" s="167"/>
      <c r="S450" s="167" t="s">
        <v>2297</v>
      </c>
      <c r="T450" s="167">
        <v>2</v>
      </c>
      <c r="U450" s="166" t="str">
        <f t="shared" ref="U450:U471" si="141">IF(L450="","",L450)</f>
        <v>盒</v>
      </c>
      <c r="V450" s="167"/>
      <c r="W450" s="167"/>
      <c r="X450" s="166" t="str">
        <f t="shared" si="126"/>
        <v/>
      </c>
      <c r="Y450" s="166" t="str">
        <f t="shared" ref="Y450:Y454" si="142">IF(L450="","",L450)</f>
        <v>盒</v>
      </c>
      <c r="Z450" s="167"/>
      <c r="AA450" s="167"/>
      <c r="AB450" s="167"/>
    </row>
    <row r="451" spans="1:28" ht="19.899999999999999" customHeight="1" x14ac:dyDescent="0.15">
      <c r="A451" s="34">
        <v>450</v>
      </c>
      <c r="B451" s="12" t="s">
        <v>2607</v>
      </c>
      <c r="C451" s="29" t="s">
        <v>0</v>
      </c>
      <c r="D451" s="32" t="str">
        <f t="shared" si="140"/>
        <v>专用物耗</v>
      </c>
      <c r="E451" s="14" t="s">
        <v>2608</v>
      </c>
      <c r="F451" s="14" t="s">
        <v>2293</v>
      </c>
      <c r="G451" s="15"/>
      <c r="H451" s="15"/>
      <c r="I451" s="15" t="s">
        <v>2294</v>
      </c>
      <c r="J451" s="29" t="s">
        <v>821</v>
      </c>
      <c r="K451" s="15">
        <v>9</v>
      </c>
      <c r="L451" s="29" t="s">
        <v>2609</v>
      </c>
      <c r="M451" s="32" t="str">
        <f t="shared" si="122"/>
        <v>常规</v>
      </c>
      <c r="N451" s="29"/>
      <c r="O451" s="135" t="s">
        <v>2254</v>
      </c>
      <c r="P451" s="134" t="s">
        <v>2236</v>
      </c>
      <c r="Q451" s="137"/>
      <c r="R451" s="15"/>
      <c r="S451" s="15" t="s">
        <v>2296</v>
      </c>
      <c r="T451" s="15">
        <v>3</v>
      </c>
      <c r="U451" s="32" t="str">
        <f t="shared" si="141"/>
        <v>包</v>
      </c>
      <c r="V451" s="15"/>
      <c r="W451" s="15"/>
      <c r="X451" s="32">
        <f t="shared" si="126"/>
        <v>6</v>
      </c>
      <c r="Y451" s="32" t="str">
        <f t="shared" si="142"/>
        <v>包</v>
      </c>
      <c r="Z451" s="15"/>
      <c r="AA451" s="15"/>
      <c r="AB451" s="15"/>
    </row>
    <row r="452" spans="1:28" s="186" customFormat="1" ht="19.899999999999999" customHeight="1" x14ac:dyDescent="0.15">
      <c r="A452" s="163">
        <v>451</v>
      </c>
      <c r="B452" s="164" t="s">
        <v>2610</v>
      </c>
      <c r="C452" s="165" t="s">
        <v>0</v>
      </c>
      <c r="D452" s="166" t="str">
        <f t="shared" si="140"/>
        <v>专用物耗</v>
      </c>
      <c r="E452" s="186" t="s">
        <v>2611</v>
      </c>
      <c r="F452" s="168" t="s">
        <v>2298</v>
      </c>
      <c r="G452" s="167"/>
      <c r="H452" s="167"/>
      <c r="I452" s="167" t="s">
        <v>2299</v>
      </c>
      <c r="J452" s="165" t="s">
        <v>821</v>
      </c>
      <c r="K452" s="167">
        <v>6</v>
      </c>
      <c r="L452" s="165" t="s">
        <v>2612</v>
      </c>
      <c r="M452" s="166" t="str">
        <f t="shared" si="122"/>
        <v>常规</v>
      </c>
      <c r="N452" s="165"/>
      <c r="O452" s="180"/>
      <c r="P452" s="170"/>
      <c r="Q452" s="169"/>
      <c r="R452" s="167"/>
      <c r="S452" s="167" t="s">
        <v>2300</v>
      </c>
      <c r="T452" s="167">
        <v>6</v>
      </c>
      <c r="U452" s="166" t="str">
        <f t="shared" si="141"/>
        <v>条</v>
      </c>
      <c r="V452" s="167"/>
      <c r="W452" s="167"/>
      <c r="X452" s="166" t="str">
        <f t="shared" si="126"/>
        <v/>
      </c>
      <c r="Y452" s="166" t="str">
        <f t="shared" si="142"/>
        <v>条</v>
      </c>
      <c r="Z452" s="167"/>
      <c r="AA452" s="167"/>
      <c r="AB452" s="167"/>
    </row>
    <row r="453" spans="1:28" s="186" customFormat="1" ht="19.899999999999999" customHeight="1" x14ac:dyDescent="0.15">
      <c r="A453" s="163">
        <v>452</v>
      </c>
      <c r="B453" s="248" t="s">
        <v>2806</v>
      </c>
      <c r="C453" s="165" t="s">
        <v>0</v>
      </c>
      <c r="D453" s="166" t="str">
        <f t="shared" si="140"/>
        <v>专用物耗</v>
      </c>
      <c r="E453" s="243" t="s">
        <v>2807</v>
      </c>
      <c r="F453" s="168" t="s">
        <v>2301</v>
      </c>
      <c r="G453" s="167"/>
      <c r="H453" s="167"/>
      <c r="I453" s="167" t="s">
        <v>2302</v>
      </c>
      <c r="J453" s="165" t="s">
        <v>821</v>
      </c>
      <c r="K453" s="167">
        <v>2</v>
      </c>
      <c r="L453" s="165" t="s">
        <v>2579</v>
      </c>
      <c r="M453" s="166" t="str">
        <f t="shared" si="122"/>
        <v>常规</v>
      </c>
      <c r="N453" s="165"/>
      <c r="O453" s="180" t="s">
        <v>2254</v>
      </c>
      <c r="P453" s="170" t="s">
        <v>2236</v>
      </c>
      <c r="Q453" s="169"/>
      <c r="R453" s="167"/>
      <c r="S453" s="167" t="s">
        <v>2804</v>
      </c>
      <c r="T453" s="167">
        <v>2</v>
      </c>
      <c r="U453" s="166" t="str">
        <f t="shared" si="141"/>
        <v>盒</v>
      </c>
      <c r="V453" s="167"/>
      <c r="W453" s="167"/>
      <c r="X453" s="166" t="str">
        <f t="shared" si="126"/>
        <v/>
      </c>
      <c r="Y453" s="166" t="str">
        <f t="shared" si="142"/>
        <v>盒</v>
      </c>
      <c r="Z453" s="167"/>
      <c r="AA453" s="167"/>
      <c r="AB453" s="167"/>
    </row>
    <row r="454" spans="1:28" ht="19.899999999999999" customHeight="1" x14ac:dyDescent="0.15">
      <c r="A454" s="34">
        <v>453</v>
      </c>
      <c r="B454" s="12" t="s">
        <v>2613</v>
      </c>
      <c r="C454" s="29" t="s">
        <v>0</v>
      </c>
      <c r="D454" s="32" t="str">
        <f t="shared" si="140"/>
        <v>专用物耗</v>
      </c>
      <c r="E454" s="14" t="s">
        <v>2614</v>
      </c>
      <c r="F454" s="14" t="s">
        <v>2303</v>
      </c>
      <c r="G454" s="15"/>
      <c r="H454" s="15"/>
      <c r="I454" s="15" t="s">
        <v>2304</v>
      </c>
      <c r="J454" s="29" t="s">
        <v>821</v>
      </c>
      <c r="K454" s="15">
        <v>2</v>
      </c>
      <c r="L454" s="29" t="s">
        <v>2579</v>
      </c>
      <c r="M454" s="32" t="str">
        <f t="shared" si="122"/>
        <v>常规</v>
      </c>
      <c r="N454" s="29"/>
      <c r="O454" s="135" t="s">
        <v>2254</v>
      </c>
      <c r="P454" s="134" t="s">
        <v>2236</v>
      </c>
      <c r="Q454" s="137"/>
      <c r="R454" s="15"/>
      <c r="S454" s="15" t="s">
        <v>2399</v>
      </c>
      <c r="T454" s="15">
        <v>1</v>
      </c>
      <c r="U454" s="32" t="str">
        <f t="shared" si="141"/>
        <v>盒</v>
      </c>
      <c r="V454" s="15"/>
      <c r="W454" s="15"/>
      <c r="X454" s="32">
        <f t="shared" si="126"/>
        <v>1</v>
      </c>
      <c r="Y454" s="32" t="str">
        <f t="shared" si="142"/>
        <v>盒</v>
      </c>
      <c r="Z454" s="15"/>
      <c r="AA454" s="15"/>
      <c r="AB454" s="15"/>
    </row>
    <row r="455" spans="1:28" s="186" customFormat="1" ht="16.5" customHeight="1" x14ac:dyDescent="0.15">
      <c r="A455" s="163">
        <v>454</v>
      </c>
      <c r="B455" s="164" t="s">
        <v>2615</v>
      </c>
      <c r="C455" s="165" t="s">
        <v>0</v>
      </c>
      <c r="D455" s="166" t="str">
        <f t="shared" si="140"/>
        <v>专用物耗</v>
      </c>
      <c r="E455" s="168" t="s">
        <v>2616</v>
      </c>
      <c r="F455" s="168" t="s">
        <v>2314</v>
      </c>
      <c r="G455" s="167"/>
      <c r="H455" s="167"/>
      <c r="I455" s="167" t="s">
        <v>2312</v>
      </c>
      <c r="J455" s="165" t="s">
        <v>821</v>
      </c>
      <c r="K455" s="167">
        <v>1</v>
      </c>
      <c r="L455" s="165" t="s">
        <v>2609</v>
      </c>
      <c r="M455" s="166" t="str">
        <f t="shared" si="122"/>
        <v>常规</v>
      </c>
      <c r="N455" s="165"/>
      <c r="O455" s="169"/>
      <c r="P455" s="169"/>
      <c r="Q455" s="167"/>
      <c r="R455" s="167"/>
      <c r="S455" s="167" t="s">
        <v>2313</v>
      </c>
      <c r="T455" s="167">
        <v>1</v>
      </c>
      <c r="U455" s="166" t="str">
        <f t="shared" si="141"/>
        <v>包</v>
      </c>
      <c r="V455" s="167"/>
      <c r="W455" s="167"/>
      <c r="X455" s="166" t="str">
        <f t="shared" si="126"/>
        <v/>
      </c>
      <c r="Y455" s="166" t="str">
        <f>IF(L455="","",L455)</f>
        <v>包</v>
      </c>
      <c r="Z455" s="167"/>
      <c r="AA455" s="167"/>
      <c r="AB455" s="167"/>
    </row>
    <row r="456" spans="1:28" s="186" customFormat="1" ht="19.899999999999999" customHeight="1" x14ac:dyDescent="0.15">
      <c r="A456" s="163">
        <v>455</v>
      </c>
      <c r="B456" s="186" t="s">
        <v>2617</v>
      </c>
      <c r="C456" s="165" t="s">
        <v>0</v>
      </c>
      <c r="D456" s="166" t="str">
        <f t="shared" si="140"/>
        <v>专用物耗</v>
      </c>
      <c r="E456" s="186" t="s">
        <v>2618</v>
      </c>
      <c r="F456" s="193" t="s">
        <v>2321</v>
      </c>
      <c r="G456" s="167"/>
      <c r="H456" s="167"/>
      <c r="I456" s="194" t="s">
        <v>2322</v>
      </c>
      <c r="J456" s="165" t="s">
        <v>821</v>
      </c>
      <c r="K456" s="183">
        <v>10</v>
      </c>
      <c r="L456" s="189" t="s">
        <v>823</v>
      </c>
      <c r="M456" s="166" t="str">
        <f t="shared" si="122"/>
        <v>常规</v>
      </c>
      <c r="N456" s="189"/>
      <c r="O456" s="169"/>
      <c r="P456" s="169"/>
      <c r="Q456" s="167"/>
      <c r="S456" s="167" t="s">
        <v>2323</v>
      </c>
      <c r="T456" s="167">
        <v>10</v>
      </c>
      <c r="U456" s="166" t="str">
        <f t="shared" si="141"/>
        <v>个</v>
      </c>
      <c r="V456" s="167"/>
      <c r="W456" s="167"/>
      <c r="X456" s="166" t="str">
        <f t="shared" si="126"/>
        <v/>
      </c>
      <c r="Y456" s="166" t="str">
        <f t="shared" ref="Y456:Y471" si="143">IF(L456="","",L456)</f>
        <v>个</v>
      </c>
      <c r="Z456" s="167"/>
      <c r="AA456" s="167"/>
      <c r="AB456" s="167"/>
    </row>
    <row r="457" spans="1:28" s="186" customFormat="1" ht="19.899999999999999" customHeight="1" x14ac:dyDescent="0.15">
      <c r="A457" s="163">
        <v>456</v>
      </c>
      <c r="B457" s="190" t="s">
        <v>2619</v>
      </c>
      <c r="C457" s="165" t="s">
        <v>0</v>
      </c>
      <c r="D457" s="166" t="str">
        <f t="shared" si="140"/>
        <v>专用物耗</v>
      </c>
      <c r="E457" s="190" t="s">
        <v>2620</v>
      </c>
      <c r="F457" s="193" t="s">
        <v>2324</v>
      </c>
      <c r="G457" s="167"/>
      <c r="H457" s="167"/>
      <c r="I457" s="191" t="s">
        <v>2325</v>
      </c>
      <c r="J457" s="165" t="s">
        <v>821</v>
      </c>
      <c r="K457" s="195">
        <v>1</v>
      </c>
      <c r="L457" s="229" t="s">
        <v>2579</v>
      </c>
      <c r="M457" s="166" t="str">
        <f t="shared" si="122"/>
        <v>常规</v>
      </c>
      <c r="N457" s="229"/>
      <c r="O457" s="169"/>
      <c r="P457" s="169"/>
      <c r="Q457" s="167"/>
      <c r="S457" s="192" t="s">
        <v>2326</v>
      </c>
      <c r="T457" s="195">
        <v>1</v>
      </c>
      <c r="U457" s="166" t="str">
        <f t="shared" si="141"/>
        <v>盒</v>
      </c>
      <c r="V457" s="167"/>
      <c r="W457" s="167"/>
      <c r="X457" s="166" t="str">
        <f t="shared" si="126"/>
        <v/>
      </c>
      <c r="Y457" s="185" t="str">
        <f t="shared" si="143"/>
        <v>盒</v>
      </c>
      <c r="AA457" s="196"/>
      <c r="AB457" s="197"/>
    </row>
    <row r="458" spans="1:28" ht="19.899999999999999" customHeight="1" x14ac:dyDescent="0.15">
      <c r="A458" s="34">
        <v>457</v>
      </c>
      <c r="B458" s="151" t="s">
        <v>2327</v>
      </c>
      <c r="C458" s="29" t="s">
        <v>0</v>
      </c>
      <c r="D458" s="32" t="str">
        <f t="shared" si="140"/>
        <v>专用物耗</v>
      </c>
      <c r="E458" s="152" t="s">
        <v>2621</v>
      </c>
      <c r="F458" s="152" t="s">
        <v>2328</v>
      </c>
      <c r="G458" s="152"/>
      <c r="H458" s="152"/>
      <c r="I458" s="153" t="s">
        <v>2329</v>
      </c>
      <c r="J458" s="29" t="s">
        <v>821</v>
      </c>
      <c r="K458" s="155">
        <v>10</v>
      </c>
      <c r="L458" s="29" t="s">
        <v>2622</v>
      </c>
      <c r="M458" s="32" t="str">
        <f t="shared" si="122"/>
        <v>常规</v>
      </c>
      <c r="N458" s="152"/>
      <c r="O458" s="135" t="s">
        <v>2260</v>
      </c>
      <c r="P458" s="137" t="s">
        <v>2575</v>
      </c>
      <c r="Q458" s="152"/>
      <c r="R458" s="152"/>
      <c r="S458" s="154" t="s">
        <v>2339</v>
      </c>
      <c r="T458" s="155">
        <v>5</v>
      </c>
      <c r="U458" s="32" t="str">
        <f t="shared" si="141"/>
        <v>瓶</v>
      </c>
      <c r="V458" s="152"/>
      <c r="W458" s="152"/>
      <c r="X458" s="32">
        <f t="shared" si="126"/>
        <v>5</v>
      </c>
      <c r="Y458" s="150" t="str">
        <f t="shared" si="143"/>
        <v>瓶</v>
      </c>
      <c r="Z458" s="152"/>
      <c r="AA458" s="152"/>
      <c r="AB458" s="152"/>
    </row>
    <row r="459" spans="1:28" s="186" customFormat="1" ht="19.899999999999999" customHeight="1" x14ac:dyDescent="0.15">
      <c r="A459" s="163">
        <v>458</v>
      </c>
      <c r="B459" s="190" t="s">
        <v>2331</v>
      </c>
      <c r="C459" s="165" t="s">
        <v>0</v>
      </c>
      <c r="D459" s="166" t="str">
        <f t="shared" ref="D459:D461" si="144">IF(C459="J1","常规化学品",IF(C459="J2","危险化学品",IF(C459="J3","标准物质",IF(C459="J4","玻璃仪器",IF(C459="J5","实验气体",IF(C459="J6","专用物耗",IF(C459="J7","备品配件",IF(C459="J8","专用工具",IF(C459="Z1","劳保物资",IF(C459="Z2","办公耗材",IF(C459="Z3","食品饮料",IF(C459="Z4","特殊物耗",IF(C459="Z5","通用物耗",IF(C459="Z6","通用工具",""))))))))))))))</f>
        <v>专用物耗</v>
      </c>
      <c r="E459" s="182" t="s">
        <v>2623</v>
      </c>
      <c r="F459" s="182" t="s">
        <v>2332</v>
      </c>
      <c r="G459" s="182"/>
      <c r="H459" s="182"/>
      <c r="I459" s="191" t="s">
        <v>2334</v>
      </c>
      <c r="J459" s="165" t="s">
        <v>821</v>
      </c>
      <c r="K459" s="183">
        <v>2</v>
      </c>
      <c r="L459" s="165" t="s">
        <v>2624</v>
      </c>
      <c r="M459" s="166" t="str">
        <f t="shared" si="122"/>
        <v>常规</v>
      </c>
      <c r="N459" s="182"/>
      <c r="O459" s="184"/>
      <c r="P459" s="184"/>
      <c r="Q459" s="182"/>
      <c r="R459" s="182"/>
      <c r="S459" s="192" t="s">
        <v>2340</v>
      </c>
      <c r="T459" s="183">
        <v>2</v>
      </c>
      <c r="U459" s="166" t="str">
        <f t="shared" si="141"/>
        <v>双</v>
      </c>
      <c r="V459" s="182"/>
      <c r="W459" s="182"/>
      <c r="X459" s="166" t="str">
        <f t="shared" si="126"/>
        <v/>
      </c>
      <c r="Y459" s="185" t="str">
        <f t="shared" si="143"/>
        <v>双</v>
      </c>
      <c r="Z459" s="182"/>
      <c r="AA459" s="182"/>
      <c r="AB459" s="182"/>
    </row>
    <row r="460" spans="1:28" s="186" customFormat="1" ht="19.899999999999999" customHeight="1" x14ac:dyDescent="0.15">
      <c r="A460" s="163">
        <v>459</v>
      </c>
      <c r="B460" s="190" t="s">
        <v>2331</v>
      </c>
      <c r="C460" s="165" t="s">
        <v>0</v>
      </c>
      <c r="D460" s="166" t="str">
        <f t="shared" si="144"/>
        <v>专用物耗</v>
      </c>
      <c r="E460" s="182" t="s">
        <v>2623</v>
      </c>
      <c r="F460" s="182" t="s">
        <v>2333</v>
      </c>
      <c r="G460" s="182"/>
      <c r="H460" s="182"/>
      <c r="I460" s="191" t="s">
        <v>2335</v>
      </c>
      <c r="J460" s="165" t="s">
        <v>821</v>
      </c>
      <c r="K460" s="183">
        <v>2</v>
      </c>
      <c r="L460" s="165" t="s">
        <v>2624</v>
      </c>
      <c r="M460" s="166" t="str">
        <f t="shared" si="122"/>
        <v>常规</v>
      </c>
      <c r="N460" s="182"/>
      <c r="O460" s="184"/>
      <c r="P460" s="184"/>
      <c r="Q460" s="182"/>
      <c r="R460" s="182"/>
      <c r="S460" s="192" t="s">
        <v>2341</v>
      </c>
      <c r="T460" s="183">
        <v>2</v>
      </c>
      <c r="U460" s="166" t="str">
        <f t="shared" si="141"/>
        <v>双</v>
      </c>
      <c r="V460" s="182"/>
      <c r="W460" s="182"/>
      <c r="X460" s="166" t="str">
        <f t="shared" si="126"/>
        <v/>
      </c>
      <c r="Y460" s="185" t="str">
        <f t="shared" si="143"/>
        <v>双</v>
      </c>
      <c r="Z460" s="182"/>
      <c r="AA460" s="182"/>
      <c r="AB460" s="182"/>
    </row>
    <row r="461" spans="1:28" ht="19.899999999999999" customHeight="1" x14ac:dyDescent="0.15">
      <c r="A461" s="34">
        <v>460</v>
      </c>
      <c r="B461" s="151" t="s">
        <v>2625</v>
      </c>
      <c r="C461" s="29" t="s">
        <v>0</v>
      </c>
      <c r="D461" s="32" t="str">
        <f t="shared" si="144"/>
        <v>专用物耗</v>
      </c>
      <c r="E461" s="152" t="s">
        <v>2626</v>
      </c>
      <c r="F461" s="152" t="s">
        <v>2344</v>
      </c>
      <c r="G461" s="152"/>
      <c r="H461" s="152"/>
      <c r="I461" s="153" t="s">
        <v>2336</v>
      </c>
      <c r="J461" s="29" t="s">
        <v>821</v>
      </c>
      <c r="K461" s="155">
        <v>10</v>
      </c>
      <c r="L461" s="29" t="s">
        <v>2609</v>
      </c>
      <c r="M461" s="32" t="str">
        <f t="shared" si="122"/>
        <v>常规</v>
      </c>
      <c r="N461" s="152"/>
      <c r="O461" s="158" t="s">
        <v>2414</v>
      </c>
      <c r="P461" s="158">
        <v>3</v>
      </c>
      <c r="Q461" s="152"/>
      <c r="R461" s="152"/>
      <c r="S461" s="154" t="s">
        <v>2342</v>
      </c>
      <c r="T461" s="155">
        <v>1</v>
      </c>
      <c r="U461" s="32" t="str">
        <f t="shared" si="141"/>
        <v>包</v>
      </c>
      <c r="V461" s="152"/>
      <c r="W461" s="152"/>
      <c r="X461" s="32">
        <f t="shared" si="126"/>
        <v>9</v>
      </c>
      <c r="Y461" s="150" t="str">
        <f t="shared" si="143"/>
        <v>包</v>
      </c>
      <c r="Z461" s="152"/>
      <c r="AA461" s="152"/>
      <c r="AB461" s="152"/>
    </row>
    <row r="462" spans="1:28" ht="19.899999999999999" customHeight="1" x14ac:dyDescent="0.15">
      <c r="A462" s="34">
        <v>461</v>
      </c>
      <c r="B462" s="151" t="s">
        <v>2627</v>
      </c>
      <c r="C462" s="29" t="s">
        <v>0</v>
      </c>
      <c r="D462" s="32" t="str">
        <f t="shared" ref="D462:D463" si="145">IF(C462="J1","常规化学品",IF(C462="J2","危险化学品",IF(C462="J3","标准物质",IF(C462="J4","玻璃仪器",IF(C462="J5","实验气体",IF(C462="J6","专用物耗",IF(C462="J7","备品配件",IF(C462="J8","专用工具",IF(C462="Z1","劳保物资",IF(C462="Z2","办公耗材",IF(C462="Z3","食品饮料",IF(C462="Z4","特殊物耗",IF(C462="Z5","通用物耗",IF(C462="Z6","通用工具",""))))))))))))))</f>
        <v>专用物耗</v>
      </c>
      <c r="E462" s="152" t="s">
        <v>2628</v>
      </c>
      <c r="F462" s="152" t="s">
        <v>2345</v>
      </c>
      <c r="G462" s="152"/>
      <c r="H462" s="152"/>
      <c r="I462" s="153" t="s">
        <v>2337</v>
      </c>
      <c r="J462" s="29" t="s">
        <v>821</v>
      </c>
      <c r="K462" s="155">
        <v>20</v>
      </c>
      <c r="L462" s="37" t="s">
        <v>823</v>
      </c>
      <c r="M462" s="32" t="str">
        <f t="shared" si="122"/>
        <v>常规</v>
      </c>
      <c r="N462" s="152"/>
      <c r="O462" s="158" t="s">
        <v>2414</v>
      </c>
      <c r="P462" s="158">
        <v>3</v>
      </c>
      <c r="Q462" s="152"/>
      <c r="R462" s="152"/>
      <c r="S462" s="154" t="s">
        <v>2343</v>
      </c>
      <c r="T462" s="155">
        <v>18</v>
      </c>
      <c r="U462" s="32" t="str">
        <f t="shared" si="141"/>
        <v>个</v>
      </c>
      <c r="V462" s="152"/>
      <c r="W462" s="152"/>
      <c r="X462" s="32">
        <f t="shared" si="126"/>
        <v>2</v>
      </c>
      <c r="Y462" s="150" t="str">
        <f t="shared" si="143"/>
        <v>个</v>
      </c>
      <c r="Z462" s="152"/>
      <c r="AA462" s="152"/>
      <c r="AB462" s="152"/>
    </row>
    <row r="463" spans="1:28" s="186" customFormat="1" ht="19.899999999999999" customHeight="1" x14ac:dyDescent="0.15">
      <c r="A463" s="163">
        <v>462</v>
      </c>
      <c r="B463" s="190" t="s">
        <v>2346</v>
      </c>
      <c r="C463" s="165" t="s">
        <v>0</v>
      </c>
      <c r="D463" s="166" t="str">
        <f t="shared" si="145"/>
        <v>专用物耗</v>
      </c>
      <c r="E463" s="182" t="s">
        <v>2629</v>
      </c>
      <c r="F463" s="182" t="s">
        <v>2347</v>
      </c>
      <c r="G463" s="182"/>
      <c r="H463" s="182"/>
      <c r="I463" s="191" t="s">
        <v>2348</v>
      </c>
      <c r="J463" s="165" t="s">
        <v>821</v>
      </c>
      <c r="K463" s="183">
        <v>1</v>
      </c>
      <c r="L463" s="165" t="s">
        <v>2630</v>
      </c>
      <c r="M463" s="166" t="str">
        <f t="shared" si="122"/>
        <v>常规</v>
      </c>
      <c r="N463" s="182"/>
      <c r="O463" s="184"/>
      <c r="P463" s="184"/>
      <c r="Q463" s="182"/>
      <c r="R463" s="182"/>
      <c r="S463" s="192" t="s">
        <v>2349</v>
      </c>
      <c r="T463" s="183">
        <v>1</v>
      </c>
      <c r="U463" s="166" t="str">
        <f t="shared" si="141"/>
        <v>桶</v>
      </c>
      <c r="V463" s="182"/>
      <c r="W463" s="182"/>
      <c r="X463" s="166" t="str">
        <f t="shared" si="126"/>
        <v/>
      </c>
      <c r="Y463" s="185" t="str">
        <f t="shared" si="143"/>
        <v>桶</v>
      </c>
      <c r="Z463" s="182"/>
      <c r="AA463" s="182"/>
      <c r="AB463" s="182"/>
    </row>
    <row r="464" spans="1:28" s="186" customFormat="1" ht="19.899999999999999" customHeight="1" x14ac:dyDescent="0.15">
      <c r="A464" s="163">
        <v>463</v>
      </c>
      <c r="B464" s="182" t="s">
        <v>2631</v>
      </c>
      <c r="C464" s="165" t="s">
        <v>0</v>
      </c>
      <c r="D464" s="166" t="str">
        <f t="shared" ref="D464:D469" si="146">IF(C464="J1","常规化学品",IF(C464="J2","危险化学品",IF(C464="J3","标准物质",IF(C464="J4","玻璃仪器",IF(C464="J5","实验气体",IF(C464="J6","专用物耗",IF(C464="J7","备品配件",IF(C464="J8","专用工具",IF(C464="Z1","劳保物资",IF(C464="Z2","办公耗材",IF(C464="Z3","食品饮料",IF(C464="Z4","特殊物耗",IF(C464="Z5","通用物耗",IF(C464="Z6","通用工具",""))))))))))))))</f>
        <v>专用物耗</v>
      </c>
      <c r="E464" s="183" t="s">
        <v>2632</v>
      </c>
      <c r="F464" s="182" t="s">
        <v>2633</v>
      </c>
      <c r="G464" s="182"/>
      <c r="H464" s="182"/>
      <c r="I464" s="167" t="s">
        <v>2356</v>
      </c>
      <c r="J464" s="165" t="s">
        <v>821</v>
      </c>
      <c r="K464" s="183">
        <v>5</v>
      </c>
      <c r="L464" s="165" t="s">
        <v>828</v>
      </c>
      <c r="M464" s="166" t="str">
        <f t="shared" si="122"/>
        <v>常规</v>
      </c>
      <c r="N464" s="182"/>
      <c r="O464" s="184"/>
      <c r="P464" s="184"/>
      <c r="Q464" s="182"/>
      <c r="R464" s="182"/>
      <c r="S464" s="167" t="s">
        <v>2350</v>
      </c>
      <c r="T464" s="183">
        <v>5</v>
      </c>
      <c r="U464" s="166" t="str">
        <f t="shared" si="141"/>
        <v>包</v>
      </c>
      <c r="V464" s="182"/>
      <c r="W464" s="182"/>
      <c r="X464" s="166" t="str">
        <f t="shared" si="126"/>
        <v/>
      </c>
      <c r="Y464" s="185" t="str">
        <f t="shared" si="143"/>
        <v>包</v>
      </c>
      <c r="Z464" s="182"/>
      <c r="AA464" s="182"/>
      <c r="AB464" s="182"/>
    </row>
    <row r="465" spans="1:28" s="186" customFormat="1" ht="19.899999999999999" customHeight="1" x14ac:dyDescent="0.15">
      <c r="A465" s="163">
        <v>464</v>
      </c>
      <c r="B465" s="182" t="s">
        <v>2631</v>
      </c>
      <c r="C465" s="165" t="s">
        <v>0</v>
      </c>
      <c r="D465" s="166" t="str">
        <f t="shared" si="146"/>
        <v>专用物耗</v>
      </c>
      <c r="E465" s="183" t="s">
        <v>2632</v>
      </c>
      <c r="F465" s="182" t="s">
        <v>2634</v>
      </c>
      <c r="G465" s="182"/>
      <c r="H465" s="182"/>
      <c r="I465" s="167" t="s">
        <v>2357</v>
      </c>
      <c r="J465" s="165" t="s">
        <v>821</v>
      </c>
      <c r="K465" s="183">
        <v>5</v>
      </c>
      <c r="L465" s="165" t="s">
        <v>828</v>
      </c>
      <c r="M465" s="166" t="str">
        <f t="shared" si="122"/>
        <v>常规</v>
      </c>
      <c r="N465" s="182"/>
      <c r="O465" s="184"/>
      <c r="P465" s="184"/>
      <c r="Q465" s="182"/>
      <c r="R465" s="182"/>
      <c r="S465" s="167" t="s">
        <v>2351</v>
      </c>
      <c r="T465" s="183">
        <v>5</v>
      </c>
      <c r="U465" s="166" t="str">
        <f t="shared" si="141"/>
        <v>包</v>
      </c>
      <c r="V465" s="182"/>
      <c r="W465" s="182"/>
      <c r="X465" s="166" t="str">
        <f t="shared" si="126"/>
        <v/>
      </c>
      <c r="Y465" s="185" t="str">
        <f t="shared" si="143"/>
        <v>包</v>
      </c>
      <c r="Z465" s="182"/>
      <c r="AA465" s="182"/>
      <c r="AB465" s="182"/>
    </row>
    <row r="466" spans="1:28" s="186" customFormat="1" ht="19.899999999999999" customHeight="1" x14ac:dyDescent="0.15">
      <c r="A466" s="163">
        <v>465</v>
      </c>
      <c r="B466" s="182" t="s">
        <v>2631</v>
      </c>
      <c r="C466" s="165" t="s">
        <v>0</v>
      </c>
      <c r="D466" s="166" t="str">
        <f t="shared" si="146"/>
        <v>专用物耗</v>
      </c>
      <c r="E466" s="183" t="s">
        <v>2632</v>
      </c>
      <c r="F466" s="182" t="s">
        <v>2635</v>
      </c>
      <c r="G466" s="182"/>
      <c r="H466" s="182"/>
      <c r="I466" s="167" t="s">
        <v>2358</v>
      </c>
      <c r="J466" s="165" t="s">
        <v>821</v>
      </c>
      <c r="K466" s="183">
        <v>5</v>
      </c>
      <c r="L466" s="165" t="s">
        <v>828</v>
      </c>
      <c r="M466" s="166" t="str">
        <f t="shared" si="122"/>
        <v>常规</v>
      </c>
      <c r="N466" s="182"/>
      <c r="O466" s="184"/>
      <c r="P466" s="184"/>
      <c r="Q466" s="182"/>
      <c r="R466" s="182"/>
      <c r="S466" s="167" t="s">
        <v>2352</v>
      </c>
      <c r="T466" s="183">
        <v>5</v>
      </c>
      <c r="U466" s="166" t="str">
        <f t="shared" si="141"/>
        <v>包</v>
      </c>
      <c r="V466" s="182"/>
      <c r="W466" s="182"/>
      <c r="X466" s="166" t="str">
        <f t="shared" si="126"/>
        <v/>
      </c>
      <c r="Y466" s="185" t="str">
        <f t="shared" si="143"/>
        <v>包</v>
      </c>
      <c r="Z466" s="182"/>
      <c r="AA466" s="182"/>
      <c r="AB466" s="182"/>
    </row>
    <row r="467" spans="1:28" s="186" customFormat="1" ht="19.899999999999999" customHeight="1" x14ac:dyDescent="0.15">
      <c r="A467" s="163">
        <v>466</v>
      </c>
      <c r="B467" s="182" t="s">
        <v>2636</v>
      </c>
      <c r="C467" s="165" t="s">
        <v>0</v>
      </c>
      <c r="D467" s="204" t="str">
        <f t="shared" si="146"/>
        <v>专用物耗</v>
      </c>
      <c r="E467" s="183" t="s">
        <v>2632</v>
      </c>
      <c r="F467" s="182" t="s">
        <v>2637</v>
      </c>
      <c r="G467" s="182"/>
      <c r="H467" s="182"/>
      <c r="I467" s="167" t="s">
        <v>2359</v>
      </c>
      <c r="J467" s="165" t="s">
        <v>821</v>
      </c>
      <c r="K467" s="183">
        <v>5</v>
      </c>
      <c r="L467" s="165" t="s">
        <v>823</v>
      </c>
      <c r="M467" s="166" t="str">
        <f t="shared" si="122"/>
        <v>常规</v>
      </c>
      <c r="N467" s="182"/>
      <c r="O467" s="184"/>
      <c r="P467" s="184"/>
      <c r="Q467" s="182"/>
      <c r="R467" s="182"/>
      <c r="S467" s="167" t="s">
        <v>2353</v>
      </c>
      <c r="T467" s="183">
        <v>5</v>
      </c>
      <c r="U467" s="166" t="str">
        <f t="shared" si="141"/>
        <v>个</v>
      </c>
      <c r="V467" s="182"/>
      <c r="W467" s="182"/>
      <c r="X467" s="166" t="str">
        <f t="shared" si="126"/>
        <v/>
      </c>
      <c r="Y467" s="185" t="str">
        <f t="shared" si="143"/>
        <v>个</v>
      </c>
      <c r="Z467" s="182"/>
      <c r="AA467" s="182"/>
      <c r="AB467" s="182"/>
    </row>
    <row r="468" spans="1:28" s="186" customFormat="1" ht="19.899999999999999" customHeight="1" x14ac:dyDescent="0.15">
      <c r="A468" s="163">
        <v>467</v>
      </c>
      <c r="B468" s="182" t="s">
        <v>2636</v>
      </c>
      <c r="C468" s="165" t="s">
        <v>0</v>
      </c>
      <c r="D468" s="166" t="str">
        <f t="shared" si="146"/>
        <v>专用物耗</v>
      </c>
      <c r="E468" s="183" t="s">
        <v>2632</v>
      </c>
      <c r="F468" s="182" t="s">
        <v>2638</v>
      </c>
      <c r="G468" s="182"/>
      <c r="H468" s="182"/>
      <c r="I468" s="167" t="s">
        <v>2360</v>
      </c>
      <c r="J468" s="165" t="s">
        <v>821</v>
      </c>
      <c r="K468" s="183">
        <v>5</v>
      </c>
      <c r="L468" s="165" t="s">
        <v>823</v>
      </c>
      <c r="M468" s="166" t="str">
        <f t="shared" si="122"/>
        <v>常规</v>
      </c>
      <c r="N468" s="182"/>
      <c r="O468" s="184"/>
      <c r="P468" s="184"/>
      <c r="Q468" s="182"/>
      <c r="R468" s="182"/>
      <c r="S468" s="167" t="s">
        <v>2354</v>
      </c>
      <c r="T468" s="183">
        <v>5</v>
      </c>
      <c r="U468" s="166" t="str">
        <f t="shared" si="141"/>
        <v>个</v>
      </c>
      <c r="V468" s="182"/>
      <c r="W468" s="182"/>
      <c r="X468" s="166" t="str">
        <f>IF((K468-T468)&lt;=0,"",K468-T468)</f>
        <v/>
      </c>
      <c r="Y468" s="185" t="str">
        <f t="shared" si="143"/>
        <v>个</v>
      </c>
      <c r="Z468" s="182"/>
      <c r="AA468" s="182"/>
      <c r="AB468" s="182"/>
    </row>
    <row r="469" spans="1:28" s="186" customFormat="1" ht="19.899999999999999" customHeight="1" x14ac:dyDescent="0.15">
      <c r="A469" s="163">
        <v>468</v>
      </c>
      <c r="B469" s="182" t="s">
        <v>2636</v>
      </c>
      <c r="C469" s="165" t="s">
        <v>0</v>
      </c>
      <c r="D469" s="166" t="str">
        <f t="shared" si="146"/>
        <v>专用物耗</v>
      </c>
      <c r="E469" s="183" t="s">
        <v>2632</v>
      </c>
      <c r="F469" s="182" t="s">
        <v>2639</v>
      </c>
      <c r="G469" s="182"/>
      <c r="H469" s="182"/>
      <c r="I469" s="167" t="s">
        <v>2361</v>
      </c>
      <c r="J469" s="165" t="s">
        <v>821</v>
      </c>
      <c r="K469" s="183">
        <v>5</v>
      </c>
      <c r="L469" s="165" t="s">
        <v>823</v>
      </c>
      <c r="M469" s="166" t="str">
        <f t="shared" si="122"/>
        <v>常规</v>
      </c>
      <c r="N469" s="182"/>
      <c r="O469" s="184"/>
      <c r="P469" s="184"/>
      <c r="Q469" s="182"/>
      <c r="R469" s="182"/>
      <c r="S469" s="167" t="s">
        <v>2355</v>
      </c>
      <c r="T469" s="183">
        <v>5</v>
      </c>
      <c r="U469" s="166" t="str">
        <f t="shared" si="141"/>
        <v>个</v>
      </c>
      <c r="V469" s="182"/>
      <c r="W469" s="182"/>
      <c r="X469" s="166" t="str">
        <f t="shared" si="126"/>
        <v/>
      </c>
      <c r="Y469" s="185" t="str">
        <f t="shared" si="143"/>
        <v>个</v>
      </c>
      <c r="Z469" s="182"/>
      <c r="AA469" s="182"/>
      <c r="AB469" s="182"/>
    </row>
    <row r="470" spans="1:28" s="186" customFormat="1" ht="19.899999999999999" customHeight="1" x14ac:dyDescent="0.15">
      <c r="A470" s="163">
        <v>469</v>
      </c>
      <c r="B470" s="190" t="s">
        <v>2640</v>
      </c>
      <c r="C470" s="165" t="s">
        <v>0</v>
      </c>
      <c r="D470" s="166" t="str">
        <f t="shared" ref="D470" si="147">IF(C470="J1","常规化学品",IF(C470="J2","危险化学品",IF(C470="J3","标准物质",IF(C470="J4","玻璃仪器",IF(C470="J5","实验气体",IF(C470="J6","专用物耗",IF(C470="J7","备品配件",IF(C470="J8","专用工具",IF(C470="Z1","劳保物资",IF(C470="Z2","办公耗材",IF(C470="Z3","食品饮料",IF(C470="Z4","特殊物耗",IF(C470="Z5","通用物耗",IF(C470="Z6","通用工具",""))))))))))))))</f>
        <v>专用物耗</v>
      </c>
      <c r="E470" s="182" t="s">
        <v>2641</v>
      </c>
      <c r="F470" s="182" t="s">
        <v>2396</v>
      </c>
      <c r="G470" s="182"/>
      <c r="H470" s="182"/>
      <c r="I470" s="167" t="s">
        <v>2397</v>
      </c>
      <c r="J470" s="165" t="s">
        <v>821</v>
      </c>
      <c r="K470" s="183">
        <v>1</v>
      </c>
      <c r="L470" s="229" t="s">
        <v>2579</v>
      </c>
      <c r="M470" s="166" t="str">
        <f t="shared" si="122"/>
        <v>常规</v>
      </c>
      <c r="N470" s="182"/>
      <c r="O470" s="184"/>
      <c r="P470" s="184"/>
      <c r="Q470" s="182"/>
      <c r="R470" s="182"/>
      <c r="S470" s="167" t="s">
        <v>2398</v>
      </c>
      <c r="T470" s="183">
        <v>1</v>
      </c>
      <c r="U470" s="166" t="str">
        <f t="shared" si="141"/>
        <v>盒</v>
      </c>
      <c r="V470" s="182"/>
      <c r="W470" s="182"/>
      <c r="X470" s="166" t="str">
        <f t="shared" si="126"/>
        <v/>
      </c>
      <c r="Y470" s="185" t="str">
        <f t="shared" si="143"/>
        <v>盒</v>
      </c>
      <c r="Z470" s="182"/>
      <c r="AA470" s="182"/>
      <c r="AB470" s="182"/>
    </row>
    <row r="471" spans="1:28" ht="19.899999999999999" customHeight="1" x14ac:dyDescent="0.15">
      <c r="A471" s="34">
        <v>470</v>
      </c>
      <c r="B471" s="152" t="s">
        <v>2642</v>
      </c>
      <c r="C471" s="29" t="s">
        <v>0</v>
      </c>
      <c r="D471" s="32" t="str">
        <f t="shared" ref="D471" si="148">IF(C471="J1","常规化学品",IF(C471="J2","危险化学品",IF(C471="J3","标准物质",IF(C471="J4","玻璃仪器",IF(C471="J5","实验气体",IF(C471="J6","专用物耗",IF(C471="J7","备品配件",IF(C471="J8","专用工具",IF(C471="Z1","劳保物资",IF(C471="Z2","办公耗材",IF(C471="Z3","食品饮料",IF(C471="Z4","特殊物耗",IF(C471="Z5","通用物耗",IF(C471="Z6","通用工具",""))))))))))))))</f>
        <v>专用物耗</v>
      </c>
      <c r="E471" s="152"/>
      <c r="F471" s="152" t="s">
        <v>2413</v>
      </c>
      <c r="G471" s="152"/>
      <c r="H471" s="152"/>
      <c r="I471" s="15" t="s">
        <v>2421</v>
      </c>
      <c r="J471" s="29" t="s">
        <v>821</v>
      </c>
      <c r="K471" s="155">
        <v>5</v>
      </c>
      <c r="L471" s="29" t="s">
        <v>823</v>
      </c>
      <c r="M471" s="32" t="str">
        <f t="shared" si="122"/>
        <v>常规</v>
      </c>
      <c r="N471" s="152"/>
      <c r="O471" s="135" t="s">
        <v>2245</v>
      </c>
      <c r="P471" s="158">
        <v>3</v>
      </c>
      <c r="Q471" s="152"/>
      <c r="R471" s="152"/>
      <c r="S471" s="152" t="s">
        <v>2949</v>
      </c>
      <c r="T471" s="155">
        <v>3</v>
      </c>
      <c r="U471" s="32" t="str">
        <f t="shared" si="141"/>
        <v>个</v>
      </c>
      <c r="V471" s="152"/>
      <c r="W471" s="152"/>
      <c r="X471" s="32">
        <f t="shared" si="126"/>
        <v>2</v>
      </c>
      <c r="Y471" s="32" t="str">
        <f t="shared" si="143"/>
        <v>个</v>
      </c>
      <c r="Z471" s="152"/>
      <c r="AA471" s="152"/>
      <c r="AB471" s="152"/>
    </row>
    <row r="472" spans="1:28" ht="19.899999999999999" customHeight="1" x14ac:dyDescent="0.15">
      <c r="A472" s="34">
        <v>471</v>
      </c>
      <c r="B472" s="152" t="s">
        <v>2643</v>
      </c>
      <c r="C472" s="29" t="s">
        <v>0</v>
      </c>
      <c r="D472" s="32" t="str">
        <f t="shared" ref="D472:D473" si="149">IF(C472="J1","常规化学品",IF(C472="J2","危险化学品",IF(C472="J3","标准物质",IF(C472="J4","玻璃仪器",IF(C472="J5","实验气体",IF(C472="J6","专用物耗",IF(C472="J7","备品配件",IF(C472="J8","专用工具",IF(C472="Z1","劳保物资",IF(C472="Z2","办公耗材",IF(C472="Z3","食品饮料",IF(C472="Z4","特殊物耗",IF(C472="Z5","通用物耗",IF(C472="Z6","通用工具",""))))))))))))))</f>
        <v>专用物耗</v>
      </c>
      <c r="E472" s="152" t="s">
        <v>2644</v>
      </c>
      <c r="F472" s="152" t="s">
        <v>2468</v>
      </c>
      <c r="G472" s="152"/>
      <c r="H472" s="152"/>
      <c r="I472" s="15" t="s">
        <v>2467</v>
      </c>
      <c r="J472" s="29" t="s">
        <v>821</v>
      </c>
      <c r="K472" s="155">
        <v>2</v>
      </c>
      <c r="L472" s="29" t="s">
        <v>823</v>
      </c>
      <c r="M472" s="32" t="str">
        <f t="shared" ref="M472:M473" si="150">IF(D472="危险化学品","五双",IF(D472="标准物资","严控",IF(D472&lt;&gt;"","常规","")))</f>
        <v>常规</v>
      </c>
      <c r="N472" s="152"/>
      <c r="O472" s="135" t="s">
        <v>2245</v>
      </c>
      <c r="P472" s="158">
        <v>3</v>
      </c>
      <c r="Q472" s="152"/>
      <c r="R472" s="152"/>
      <c r="S472" s="152"/>
      <c r="T472" s="155"/>
      <c r="U472" s="32" t="str">
        <f t="shared" ref="U472:U473" si="151">IF(L472="","",L472)</f>
        <v>个</v>
      </c>
      <c r="V472" s="152"/>
      <c r="W472" s="152"/>
      <c r="X472" s="32">
        <f t="shared" si="126"/>
        <v>2</v>
      </c>
      <c r="Y472" s="32" t="str">
        <f t="shared" ref="Y472:Y473" si="152">IF(L472="","",L472)</f>
        <v>个</v>
      </c>
      <c r="Z472" s="152"/>
      <c r="AA472" s="152"/>
      <c r="AB472" s="152"/>
    </row>
    <row r="473" spans="1:28" s="45" customFormat="1" ht="19.899999999999999" customHeight="1" x14ac:dyDescent="0.3">
      <c r="A473" s="34">
        <v>472</v>
      </c>
      <c r="B473" s="12" t="s">
        <v>641</v>
      </c>
      <c r="C473" s="29" t="s">
        <v>0</v>
      </c>
      <c r="D473" s="32" t="str">
        <f t="shared" si="149"/>
        <v>专用物耗</v>
      </c>
      <c r="E473" s="12"/>
      <c r="F473" s="15" t="s">
        <v>642</v>
      </c>
      <c r="G473" s="15"/>
      <c r="H473" s="15"/>
      <c r="I473" s="15" t="s">
        <v>2466</v>
      </c>
      <c r="J473" s="29" t="s">
        <v>2595</v>
      </c>
      <c r="K473" s="14">
        <v>1</v>
      </c>
      <c r="L473" s="29" t="s">
        <v>822</v>
      </c>
      <c r="M473" s="32" t="str">
        <f t="shared" si="150"/>
        <v>常规</v>
      </c>
      <c r="N473" s="12"/>
      <c r="O473" s="135" t="s">
        <v>2246</v>
      </c>
      <c r="P473" s="134" t="s">
        <v>2238</v>
      </c>
      <c r="Q473" s="137"/>
      <c r="R473" s="15"/>
      <c r="S473" s="12"/>
      <c r="T473" s="155"/>
      <c r="U473" s="32" t="str">
        <f t="shared" si="151"/>
        <v>只</v>
      </c>
      <c r="V473" s="15"/>
      <c r="W473" s="35"/>
      <c r="X473" s="32">
        <f t="shared" si="126"/>
        <v>1</v>
      </c>
      <c r="Y473" s="32" t="str">
        <f t="shared" si="152"/>
        <v>只</v>
      </c>
      <c r="Z473" s="15"/>
      <c r="AA473" s="15"/>
      <c r="AB473" s="35"/>
    </row>
    <row r="474" spans="1:28" s="45" customFormat="1" ht="19.899999999999999" customHeight="1" x14ac:dyDescent="0.3">
      <c r="A474" s="249" t="s">
        <v>2837</v>
      </c>
      <c r="C474" s="29"/>
      <c r="D474" s="32"/>
      <c r="E474" s="12"/>
      <c r="F474" s="15"/>
      <c r="G474" s="15"/>
      <c r="H474" s="15"/>
      <c r="I474" s="15"/>
      <c r="J474" s="29"/>
      <c r="K474" s="14"/>
      <c r="L474" s="29"/>
      <c r="M474" s="32"/>
      <c r="N474" s="12"/>
      <c r="O474" s="135"/>
      <c r="P474" s="134"/>
      <c r="Q474" s="137"/>
      <c r="R474" s="15"/>
      <c r="S474" s="12"/>
      <c r="T474" s="155"/>
      <c r="U474" s="32"/>
      <c r="V474" s="15"/>
      <c r="W474" s="35"/>
      <c r="X474" s="32"/>
      <c r="Y474" s="32"/>
      <c r="Z474" s="15"/>
      <c r="AA474" s="15"/>
      <c r="AB474" s="35"/>
    </row>
    <row r="475" spans="1:28" ht="19.899999999999999" customHeight="1" x14ac:dyDescent="0.15">
      <c r="A475" s="34">
        <v>473</v>
      </c>
      <c r="B475" s="152" t="s">
        <v>2647</v>
      </c>
      <c r="C475" s="29" t="s">
        <v>0</v>
      </c>
      <c r="D475" s="32" t="str">
        <f t="shared" ref="D475" si="153">IF(C475="J1","常规化学品",IF(C475="J2","危险化学品",IF(C475="J3","标准物质",IF(C475="J4","玻璃仪器",IF(C475="J5","实验气体",IF(C475="J6","专用物耗",IF(C475="J7","备品配件",IF(C475="J8","专用工具",IF(C475="Z1","劳保物资",IF(C475="Z2","办公耗材",IF(C475="Z3","食品饮料",IF(C475="Z4","特殊物耗",IF(C475="Z5","通用物耗",IF(C475="Z6","通用工具",""))))))))))))))</f>
        <v>专用物耗</v>
      </c>
      <c r="E475" s="156" t="s">
        <v>2825</v>
      </c>
      <c r="F475" s="152" t="s">
        <v>2507</v>
      </c>
      <c r="G475" s="152"/>
      <c r="H475" s="152"/>
      <c r="I475" s="15" t="s">
        <v>2741</v>
      </c>
      <c r="J475" s="29" t="s">
        <v>821</v>
      </c>
      <c r="K475" s="155">
        <v>50</v>
      </c>
      <c r="L475" s="29" t="s">
        <v>2648</v>
      </c>
      <c r="M475" s="32" t="str">
        <f t="shared" ref="M475" si="154">IF(D475="危险化学品","五双",IF(D475="标准物资","严控",IF(D475&lt;&gt;"","常规","")))</f>
        <v>常规</v>
      </c>
      <c r="N475" s="152"/>
      <c r="O475" s="135" t="s">
        <v>2702</v>
      </c>
      <c r="P475" s="158">
        <v>4</v>
      </c>
      <c r="Q475" s="152"/>
      <c r="R475" s="152"/>
      <c r="S475" s="152"/>
      <c r="T475" s="155"/>
      <c r="U475" s="32" t="str">
        <f t="shared" ref="U475" si="155">IF(L475="","",L475)</f>
        <v>张</v>
      </c>
      <c r="V475" s="152"/>
      <c r="W475" s="152"/>
      <c r="X475" s="32">
        <f t="shared" ref="X475" si="156">IF((K475-T475)&lt;=0,"",K475-T475)</f>
        <v>50</v>
      </c>
      <c r="Y475" s="32" t="str">
        <f t="shared" ref="Y475" si="157">IF(L475="","",L475)</f>
        <v>张</v>
      </c>
      <c r="Z475" s="152"/>
      <c r="AA475" s="152"/>
      <c r="AB475" s="152"/>
    </row>
    <row r="476" spans="1:28" s="255" customFormat="1" ht="19.899999999999999" customHeight="1" x14ac:dyDescent="0.15">
      <c r="A476" s="201">
        <v>474</v>
      </c>
      <c r="B476" s="251" t="s">
        <v>2871</v>
      </c>
      <c r="C476" s="203" t="s">
        <v>0</v>
      </c>
      <c r="D476" s="204" t="str">
        <f t="shared" ref="D476:D481" si="158">IF(C476="J1","常规化学品",IF(C476="J2","危险化学品",IF(C476="J3","标准物质",IF(C476="J4","玻璃仪器",IF(C476="J5","实验气体",IF(C476="J6","专用物耗",IF(C476="J7","备品配件",IF(C476="J8","专用工具",IF(C476="Z1","劳保物资",IF(C476="Z2","办公耗材",IF(C476="Z3","食品饮料",IF(C476="Z4","特殊物耗",IF(C476="Z5","通用物耗",IF(C476="Z6","通用工具",""))))))))))))))</f>
        <v>专用物耗</v>
      </c>
      <c r="E476" s="251" t="s">
        <v>2826</v>
      </c>
      <c r="F476" s="252" t="s">
        <v>2508</v>
      </c>
      <c r="G476" s="252"/>
      <c r="H476" s="252"/>
      <c r="I476" s="206" t="s">
        <v>2740</v>
      </c>
      <c r="J476" s="203" t="s">
        <v>821</v>
      </c>
      <c r="K476" s="253">
        <v>1</v>
      </c>
      <c r="L476" s="203" t="s">
        <v>2579</v>
      </c>
      <c r="M476" s="204" t="str">
        <f t="shared" ref="M476:M481" si="159">IF(D476="危险化学品","五双",IF(D476="标准物资","严控",IF(D476&lt;&gt;"","常规","")))</f>
        <v>常规</v>
      </c>
      <c r="N476" s="252"/>
      <c r="O476" s="208" t="s">
        <v>2703</v>
      </c>
      <c r="P476" s="254">
        <v>2</v>
      </c>
      <c r="Q476" s="252"/>
      <c r="R476" s="252"/>
      <c r="S476" s="252" t="s">
        <v>2798</v>
      </c>
      <c r="T476" s="253">
        <v>1</v>
      </c>
      <c r="U476" s="204" t="str">
        <f t="shared" ref="U476:U481" si="160">IF(L476="","",L476)</f>
        <v>盒</v>
      </c>
      <c r="V476" s="252"/>
      <c r="W476" s="252"/>
      <c r="X476" s="204" t="str">
        <f t="shared" ref="X476:X481" si="161">IF((K476-T476)&lt;=0,"",K476-T476)</f>
        <v/>
      </c>
      <c r="Y476" s="204" t="str">
        <f t="shared" ref="Y476:Y481" si="162">IF(L476="","",L476)</f>
        <v>盒</v>
      </c>
      <c r="Z476" s="252"/>
      <c r="AA476" s="252"/>
      <c r="AB476" s="252"/>
    </row>
    <row r="477" spans="1:28" s="255" customFormat="1" ht="19.899999999999999" customHeight="1" x14ac:dyDescent="0.15">
      <c r="A477" s="201">
        <v>475</v>
      </c>
      <c r="B477" s="252" t="s">
        <v>2649</v>
      </c>
      <c r="C477" s="203" t="s">
        <v>0</v>
      </c>
      <c r="D477" s="204" t="str">
        <f t="shared" si="158"/>
        <v>专用物耗</v>
      </c>
      <c r="E477" s="251" t="s">
        <v>2826</v>
      </c>
      <c r="F477" s="252" t="s">
        <v>902</v>
      </c>
      <c r="G477" s="252"/>
      <c r="H477" s="252"/>
      <c r="I477" s="206" t="s">
        <v>2739</v>
      </c>
      <c r="J477" s="203" t="s">
        <v>821</v>
      </c>
      <c r="K477" s="253">
        <v>1</v>
      </c>
      <c r="L477" s="203" t="s">
        <v>2579</v>
      </c>
      <c r="M477" s="204" t="str">
        <f t="shared" si="159"/>
        <v>常规</v>
      </c>
      <c r="N477" s="252"/>
      <c r="O477" s="208" t="s">
        <v>2703</v>
      </c>
      <c r="P477" s="254">
        <v>2</v>
      </c>
      <c r="Q477" s="252"/>
      <c r="R477" s="252"/>
      <c r="S477" s="252" t="s">
        <v>2701</v>
      </c>
      <c r="T477" s="253">
        <v>1</v>
      </c>
      <c r="U477" s="204" t="str">
        <f t="shared" si="160"/>
        <v>盒</v>
      </c>
      <c r="V477" s="252"/>
      <c r="W477" s="252"/>
      <c r="X477" s="204" t="str">
        <f t="shared" si="161"/>
        <v/>
      </c>
      <c r="Y477" s="204" t="str">
        <f t="shared" si="162"/>
        <v>盒</v>
      </c>
      <c r="Z477" s="252"/>
      <c r="AA477" s="252"/>
      <c r="AB477" s="252"/>
    </row>
    <row r="478" spans="1:28" s="255" customFormat="1" ht="19.899999999999999" customHeight="1" x14ac:dyDescent="0.15">
      <c r="A478" s="201">
        <v>476</v>
      </c>
      <c r="B478" s="251" t="s">
        <v>2871</v>
      </c>
      <c r="C478" s="203" t="s">
        <v>0</v>
      </c>
      <c r="D478" s="204" t="str">
        <f t="shared" si="158"/>
        <v>专用物耗</v>
      </c>
      <c r="E478" s="251" t="s">
        <v>2826</v>
      </c>
      <c r="F478" s="252" t="s">
        <v>2509</v>
      </c>
      <c r="G478" s="252"/>
      <c r="H478" s="252"/>
      <c r="I478" s="206" t="s">
        <v>2738</v>
      </c>
      <c r="J478" s="203" t="s">
        <v>821</v>
      </c>
      <c r="K478" s="253">
        <v>1</v>
      </c>
      <c r="L478" s="203" t="s">
        <v>2579</v>
      </c>
      <c r="M478" s="204" t="str">
        <f t="shared" si="159"/>
        <v>常规</v>
      </c>
      <c r="N478" s="252"/>
      <c r="O478" s="208" t="s">
        <v>2702</v>
      </c>
      <c r="P478" s="254">
        <v>2</v>
      </c>
      <c r="Q478" s="252"/>
      <c r="R478" s="252"/>
      <c r="S478" s="252" t="s">
        <v>2867</v>
      </c>
      <c r="T478" s="253">
        <v>1</v>
      </c>
      <c r="U478" s="204" t="str">
        <f t="shared" si="160"/>
        <v>盒</v>
      </c>
      <c r="V478" s="252"/>
      <c r="W478" s="252"/>
      <c r="X478" s="204" t="str">
        <f t="shared" si="161"/>
        <v/>
      </c>
      <c r="Y478" s="204" t="str">
        <f t="shared" si="162"/>
        <v>盒</v>
      </c>
      <c r="Z478" s="252"/>
      <c r="AA478" s="252"/>
      <c r="AB478" s="252"/>
    </row>
    <row r="479" spans="1:28" ht="19.899999999999999" customHeight="1" x14ac:dyDescent="0.15">
      <c r="A479" s="34">
        <v>477</v>
      </c>
      <c r="B479" s="152" t="s">
        <v>2650</v>
      </c>
      <c r="C479" s="29" t="s">
        <v>0</v>
      </c>
      <c r="D479" s="32" t="str">
        <f t="shared" si="158"/>
        <v>专用物耗</v>
      </c>
      <c r="E479" s="156" t="s">
        <v>2827</v>
      </c>
      <c r="F479" s="152" t="s">
        <v>2510</v>
      </c>
      <c r="G479" s="152"/>
      <c r="H479" s="152"/>
      <c r="I479" s="15" t="s">
        <v>2737</v>
      </c>
      <c r="J479" s="29" t="s">
        <v>821</v>
      </c>
      <c r="K479" s="155">
        <v>1</v>
      </c>
      <c r="L479" s="29" t="s">
        <v>2609</v>
      </c>
      <c r="M479" s="32" t="str">
        <f t="shared" si="159"/>
        <v>常规</v>
      </c>
      <c r="N479" s="152"/>
      <c r="O479" s="135" t="s">
        <v>2246</v>
      </c>
      <c r="P479" s="158">
        <v>5</v>
      </c>
      <c r="Q479" s="152"/>
      <c r="R479" s="152"/>
      <c r="S479" s="152"/>
      <c r="T479" s="155"/>
      <c r="U479" s="32" t="str">
        <f t="shared" si="160"/>
        <v>包</v>
      </c>
      <c r="V479" s="152"/>
      <c r="W479" s="152"/>
      <c r="X479" s="32">
        <f t="shared" si="161"/>
        <v>1</v>
      </c>
      <c r="Y479" s="32" t="str">
        <f t="shared" si="162"/>
        <v>包</v>
      </c>
      <c r="Z479" s="152"/>
      <c r="AA479" s="152"/>
      <c r="AB479" s="152"/>
    </row>
    <row r="480" spans="1:28" ht="19.899999999999999" customHeight="1" x14ac:dyDescent="0.15">
      <c r="A480" s="34">
        <v>478</v>
      </c>
      <c r="B480" s="156" t="s">
        <v>2843</v>
      </c>
      <c r="C480" s="29" t="s">
        <v>0</v>
      </c>
      <c r="D480" s="32" t="str">
        <f t="shared" si="158"/>
        <v>专用物耗</v>
      </c>
      <c r="E480" s="156" t="s">
        <v>2844</v>
      </c>
      <c r="F480" s="152" t="s">
        <v>2651</v>
      </c>
      <c r="G480" s="152"/>
      <c r="H480" s="152"/>
      <c r="I480" s="15" t="s">
        <v>2736</v>
      </c>
      <c r="J480" s="29" t="s">
        <v>821</v>
      </c>
      <c r="K480" s="155">
        <v>1</v>
      </c>
      <c r="L480" s="29" t="s">
        <v>1322</v>
      </c>
      <c r="M480" s="32" t="str">
        <f t="shared" si="159"/>
        <v>常规</v>
      </c>
      <c r="N480" s="152"/>
      <c r="O480" s="135" t="s">
        <v>2246</v>
      </c>
      <c r="P480" s="158">
        <v>3</v>
      </c>
      <c r="Q480" s="152"/>
      <c r="R480" s="152"/>
      <c r="S480" s="152"/>
      <c r="T480" s="155"/>
      <c r="U480" s="32" t="str">
        <f t="shared" si="160"/>
        <v>个</v>
      </c>
      <c r="V480" s="152"/>
      <c r="W480" s="152"/>
      <c r="X480" s="32">
        <f t="shared" si="161"/>
        <v>1</v>
      </c>
      <c r="Y480" s="32" t="str">
        <f t="shared" si="162"/>
        <v>个</v>
      </c>
      <c r="Z480" s="152"/>
      <c r="AA480" s="152"/>
      <c r="AB480" s="152"/>
    </row>
    <row r="481" spans="1:28" s="186" customFormat="1" ht="19.899999999999999" customHeight="1" x14ac:dyDescent="0.15">
      <c r="A481" s="163">
        <v>479</v>
      </c>
      <c r="B481" s="182" t="s">
        <v>2652</v>
      </c>
      <c r="C481" s="165" t="s">
        <v>0</v>
      </c>
      <c r="D481" s="166" t="str">
        <f t="shared" si="158"/>
        <v>专用物耗</v>
      </c>
      <c r="E481" s="261" t="s">
        <v>2841</v>
      </c>
      <c r="F481" s="182" t="s">
        <v>2511</v>
      </c>
      <c r="G481" s="182"/>
      <c r="H481" s="182"/>
      <c r="I481" s="167" t="s">
        <v>2735</v>
      </c>
      <c r="J481" s="165" t="s">
        <v>821</v>
      </c>
      <c r="K481" s="183">
        <v>100</v>
      </c>
      <c r="L481" s="165" t="s">
        <v>1320</v>
      </c>
      <c r="M481" s="166" t="str">
        <f t="shared" si="159"/>
        <v>常规</v>
      </c>
      <c r="N481" s="182"/>
      <c r="O481" s="180" t="s">
        <v>2245</v>
      </c>
      <c r="P481" s="184">
        <v>5</v>
      </c>
      <c r="Q481" s="182"/>
      <c r="R481" s="182"/>
      <c r="S481" s="182" t="s">
        <v>3022</v>
      </c>
      <c r="T481" s="183">
        <v>100</v>
      </c>
      <c r="U481" s="166" t="str">
        <f t="shared" si="160"/>
        <v>只</v>
      </c>
      <c r="V481" s="182"/>
      <c r="W481" s="182"/>
      <c r="X481" s="166" t="str">
        <f t="shared" si="161"/>
        <v/>
      </c>
      <c r="Y481" s="166" t="str">
        <f t="shared" si="162"/>
        <v>只</v>
      </c>
      <c r="Z481" s="182"/>
      <c r="AA481" s="182"/>
      <c r="AB481" s="182" t="s">
        <v>3049</v>
      </c>
    </row>
    <row r="482" spans="1:28" s="186" customFormat="1" ht="19.899999999999999" customHeight="1" x14ac:dyDescent="0.15">
      <c r="A482" s="163">
        <v>480</v>
      </c>
      <c r="B482" s="319" t="s">
        <v>2512</v>
      </c>
      <c r="C482" s="165" t="s">
        <v>0</v>
      </c>
      <c r="D482" s="166" t="str">
        <f t="shared" ref="D482:D507" si="163">IF(C482="J1","常规化学品",IF(C482="J2","危险化学品",IF(C482="J3","标准物质",IF(C482="J4","玻璃仪器",IF(C482="J5","实验气体",IF(C482="J6","专用物耗",IF(C482="J7","备品配件",IF(C482="J8","专用工具",IF(C482="Z1","劳保物资",IF(C482="Z2","办公耗材",IF(C482="Z3","食品饮料",IF(C482="Z4","特殊物耗",IF(C482="Z5","通用物耗",IF(C482="Z6","通用工具",""))))))))))))))</f>
        <v>专用物耗</v>
      </c>
      <c r="E482" s="261" t="s">
        <v>2828</v>
      </c>
      <c r="F482" s="182" t="s">
        <v>2660</v>
      </c>
      <c r="G482" s="182"/>
      <c r="H482" s="182"/>
      <c r="I482" s="167" t="s">
        <v>2734</v>
      </c>
      <c r="J482" s="165" t="s">
        <v>821</v>
      </c>
      <c r="K482" s="183">
        <v>1</v>
      </c>
      <c r="L482" s="165" t="s">
        <v>2609</v>
      </c>
      <c r="M482" s="166" t="str">
        <f t="shared" ref="M482:M507" si="164">IF(D482="危险化学品","五双",IF(D482="标准物资","严控",IF(D482&lt;&gt;"","常规","")))</f>
        <v>常规</v>
      </c>
      <c r="N482" s="182"/>
      <c r="O482" s="180">
        <v>212</v>
      </c>
      <c r="P482" s="294" t="s">
        <v>2704</v>
      </c>
      <c r="Q482" s="182"/>
      <c r="R482" s="182"/>
      <c r="S482" s="182" t="s">
        <v>3075</v>
      </c>
      <c r="T482" s="183">
        <v>1</v>
      </c>
      <c r="U482" s="166" t="str">
        <f t="shared" ref="U482:U507" si="165">IF(L482="","",L482)</f>
        <v>包</v>
      </c>
      <c r="V482" s="182"/>
      <c r="W482" s="182"/>
      <c r="X482" s="166" t="str">
        <f t="shared" ref="X482:X507" si="166">IF((K482-T482)&lt;=0,"",K482-T482)</f>
        <v/>
      </c>
      <c r="Y482" s="166" t="str">
        <f t="shared" ref="Y482:Y507" si="167">IF(L482="","",L482)</f>
        <v>包</v>
      </c>
      <c r="Z482" s="182"/>
      <c r="AA482" s="182"/>
      <c r="AB482" s="182"/>
    </row>
    <row r="483" spans="1:28" s="255" customFormat="1" ht="19.899999999999999" customHeight="1" x14ac:dyDescent="0.15">
      <c r="A483" s="201">
        <v>481</v>
      </c>
      <c r="B483" s="256" t="s">
        <v>2513</v>
      </c>
      <c r="C483" s="203" t="s">
        <v>0</v>
      </c>
      <c r="D483" s="204" t="str">
        <f t="shared" si="163"/>
        <v>专用物耗</v>
      </c>
      <c r="E483" s="251" t="s">
        <v>2828</v>
      </c>
      <c r="F483" s="252" t="s">
        <v>2660</v>
      </c>
      <c r="G483" s="252"/>
      <c r="H483" s="252"/>
      <c r="I483" s="206" t="s">
        <v>2733</v>
      </c>
      <c r="J483" s="203" t="s">
        <v>821</v>
      </c>
      <c r="K483" s="253">
        <v>1</v>
      </c>
      <c r="L483" s="203" t="s">
        <v>2609</v>
      </c>
      <c r="M483" s="204" t="str">
        <f t="shared" si="164"/>
        <v>常规</v>
      </c>
      <c r="N483" s="252"/>
      <c r="O483" s="208">
        <v>212</v>
      </c>
      <c r="P483" s="257" t="s">
        <v>2705</v>
      </c>
      <c r="Q483" s="252"/>
      <c r="R483" s="252"/>
      <c r="S483" s="252" t="s">
        <v>2699</v>
      </c>
      <c r="T483" s="253">
        <v>1</v>
      </c>
      <c r="U483" s="204" t="str">
        <f t="shared" si="165"/>
        <v>包</v>
      </c>
      <c r="V483" s="252"/>
      <c r="W483" s="252"/>
      <c r="X483" s="204" t="str">
        <f t="shared" si="166"/>
        <v/>
      </c>
      <c r="Y483" s="204" t="str">
        <f t="shared" si="167"/>
        <v>包</v>
      </c>
      <c r="Z483" s="252"/>
      <c r="AA483" s="252"/>
      <c r="AB483" s="252"/>
    </row>
    <row r="484" spans="1:28" ht="19.899999999999999" customHeight="1" x14ac:dyDescent="0.15">
      <c r="A484" s="34">
        <v>482</v>
      </c>
      <c r="B484" s="156" t="s">
        <v>3099</v>
      </c>
      <c r="C484" s="29" t="s">
        <v>0</v>
      </c>
      <c r="D484" s="32" t="str">
        <f t="shared" si="163"/>
        <v>专用物耗</v>
      </c>
      <c r="E484" s="156" t="s">
        <v>2829</v>
      </c>
      <c r="F484" s="152" t="s">
        <v>2661</v>
      </c>
      <c r="G484" s="152"/>
      <c r="H484" s="152"/>
      <c r="I484" s="15" t="s">
        <v>2732</v>
      </c>
      <c r="J484" s="29" t="s">
        <v>821</v>
      </c>
      <c r="K484" s="155">
        <v>1</v>
      </c>
      <c r="L484" s="29" t="s">
        <v>2579</v>
      </c>
      <c r="M484" s="32" t="str">
        <f t="shared" si="164"/>
        <v>常规</v>
      </c>
      <c r="N484" s="152"/>
      <c r="O484" s="135" t="s">
        <v>2254</v>
      </c>
      <c r="P484" s="158">
        <v>4</v>
      </c>
      <c r="Q484" s="152"/>
      <c r="R484" s="152"/>
      <c r="S484" s="152"/>
      <c r="T484" s="155"/>
      <c r="U484" s="32" t="str">
        <f t="shared" si="165"/>
        <v>盒</v>
      </c>
      <c r="V484" s="152"/>
      <c r="W484" s="152"/>
      <c r="X484" s="32">
        <f t="shared" si="166"/>
        <v>1</v>
      </c>
      <c r="Y484" s="32" t="str">
        <f t="shared" si="167"/>
        <v>盒</v>
      </c>
      <c r="Z484" s="152"/>
      <c r="AA484" s="152"/>
      <c r="AB484" s="152"/>
    </row>
    <row r="485" spans="1:28" s="186" customFormat="1" ht="19.899999999999999" customHeight="1" x14ac:dyDescent="0.15">
      <c r="A485" s="163">
        <v>483</v>
      </c>
      <c r="B485" s="182" t="s">
        <v>2645</v>
      </c>
      <c r="C485" s="165" t="s">
        <v>0</v>
      </c>
      <c r="D485" s="166" t="str">
        <f t="shared" si="163"/>
        <v>专用物耗</v>
      </c>
      <c r="E485" s="261" t="s">
        <v>2830</v>
      </c>
      <c r="F485" s="182" t="s">
        <v>2499</v>
      </c>
      <c r="G485" s="182"/>
      <c r="H485" s="182"/>
      <c r="I485" s="167" t="s">
        <v>2731</v>
      </c>
      <c r="J485" s="165" t="s">
        <v>821</v>
      </c>
      <c r="K485" s="183">
        <v>2</v>
      </c>
      <c r="L485" s="244" t="s">
        <v>2295</v>
      </c>
      <c r="M485" s="166" t="str">
        <f t="shared" si="164"/>
        <v>常规</v>
      </c>
      <c r="N485" s="182"/>
      <c r="O485" s="180">
        <v>212</v>
      </c>
      <c r="P485" s="294" t="s">
        <v>2704</v>
      </c>
      <c r="Q485" s="182"/>
      <c r="R485" s="182"/>
      <c r="S485" s="182" t="s">
        <v>3076</v>
      </c>
      <c r="T485" s="183">
        <v>2</v>
      </c>
      <c r="U485" s="166" t="str">
        <f t="shared" si="165"/>
        <v>包</v>
      </c>
      <c r="V485" s="182"/>
      <c r="W485" s="182"/>
      <c r="X485" s="166" t="str">
        <f t="shared" si="166"/>
        <v/>
      </c>
      <c r="Y485" s="166" t="str">
        <f t="shared" si="167"/>
        <v>包</v>
      </c>
      <c r="Z485" s="182"/>
      <c r="AA485" s="182"/>
      <c r="AB485" s="182"/>
    </row>
    <row r="486" spans="1:28" s="186" customFormat="1" ht="19.899999999999999" customHeight="1" x14ac:dyDescent="0.15">
      <c r="A486" s="163">
        <v>484</v>
      </c>
      <c r="B486" s="320" t="s">
        <v>2663</v>
      </c>
      <c r="C486" s="165" t="s">
        <v>0</v>
      </c>
      <c r="D486" s="166" t="str">
        <f t="shared" si="163"/>
        <v>专用物耗</v>
      </c>
      <c r="E486" s="261" t="s">
        <v>2830</v>
      </c>
      <c r="F486" s="182" t="s">
        <v>2499</v>
      </c>
      <c r="G486" s="182"/>
      <c r="H486" s="182"/>
      <c r="I486" s="167" t="s">
        <v>2730</v>
      </c>
      <c r="J486" s="165" t="s">
        <v>821</v>
      </c>
      <c r="K486" s="183">
        <v>2</v>
      </c>
      <c r="L486" s="244" t="s">
        <v>2295</v>
      </c>
      <c r="M486" s="166" t="str">
        <f t="shared" si="164"/>
        <v>常规</v>
      </c>
      <c r="N486" s="182"/>
      <c r="O486" s="180">
        <v>212</v>
      </c>
      <c r="P486" s="294" t="s">
        <v>2704</v>
      </c>
      <c r="Q486" s="182"/>
      <c r="R486" s="182"/>
      <c r="S486" s="182" t="s">
        <v>3077</v>
      </c>
      <c r="T486" s="183">
        <v>2</v>
      </c>
      <c r="U486" s="166" t="str">
        <f t="shared" si="165"/>
        <v>包</v>
      </c>
      <c r="V486" s="182"/>
      <c r="W486" s="182"/>
      <c r="X486" s="166" t="str">
        <f t="shared" si="166"/>
        <v/>
      </c>
      <c r="Y486" s="166" t="str">
        <f t="shared" si="167"/>
        <v>包</v>
      </c>
      <c r="Z486" s="182"/>
      <c r="AA486" s="182"/>
      <c r="AB486" s="182"/>
    </row>
    <row r="487" spans="1:28" s="186" customFormat="1" ht="19.899999999999999" customHeight="1" x14ac:dyDescent="0.15">
      <c r="A487" s="163">
        <v>485</v>
      </c>
      <c r="B487" s="182" t="s">
        <v>2646</v>
      </c>
      <c r="C487" s="165" t="s">
        <v>0</v>
      </c>
      <c r="D487" s="166" t="str">
        <f t="shared" si="163"/>
        <v>专用物耗</v>
      </c>
      <c r="E487" s="261" t="s">
        <v>2830</v>
      </c>
      <c r="F487" s="182" t="s">
        <v>2499</v>
      </c>
      <c r="G487" s="182"/>
      <c r="H487" s="182"/>
      <c r="I487" s="167" t="s">
        <v>2729</v>
      </c>
      <c r="J487" s="165" t="s">
        <v>821</v>
      </c>
      <c r="K487" s="183">
        <v>2</v>
      </c>
      <c r="L487" s="244" t="s">
        <v>2295</v>
      </c>
      <c r="M487" s="166" t="str">
        <f t="shared" si="164"/>
        <v>常规</v>
      </c>
      <c r="N487" s="182"/>
      <c r="O487" s="180">
        <v>212</v>
      </c>
      <c r="P487" s="294" t="s">
        <v>2704</v>
      </c>
      <c r="Q487" s="182"/>
      <c r="R487" s="182"/>
      <c r="S487" s="182" t="s">
        <v>3078</v>
      </c>
      <c r="T487" s="183">
        <v>2</v>
      </c>
      <c r="U487" s="166" t="str">
        <f t="shared" si="165"/>
        <v>包</v>
      </c>
      <c r="V487" s="182"/>
      <c r="W487" s="182"/>
      <c r="X487" s="166" t="str">
        <f t="shared" si="166"/>
        <v/>
      </c>
      <c r="Y487" s="166" t="str">
        <f t="shared" si="167"/>
        <v>包</v>
      </c>
      <c r="Z487" s="182"/>
      <c r="AA487" s="182"/>
      <c r="AB487" s="182"/>
    </row>
    <row r="488" spans="1:28" ht="19.899999999999999" customHeight="1" x14ac:dyDescent="0.15">
      <c r="A488" s="34">
        <v>486</v>
      </c>
      <c r="B488" s="152" t="s">
        <v>2653</v>
      </c>
      <c r="C488" s="29" t="s">
        <v>0</v>
      </c>
      <c r="D488" s="32" t="str">
        <f t="shared" si="163"/>
        <v>专用物耗</v>
      </c>
      <c r="E488" s="156" t="s">
        <v>2831</v>
      </c>
      <c r="F488" s="152" t="s">
        <v>2662</v>
      </c>
      <c r="G488" s="152"/>
      <c r="H488" s="152"/>
      <c r="I488" s="15" t="s">
        <v>2728</v>
      </c>
      <c r="J488" s="29" t="s">
        <v>821</v>
      </c>
      <c r="K488" s="155">
        <v>1</v>
      </c>
      <c r="L488" s="94" t="s">
        <v>2069</v>
      </c>
      <c r="M488" s="32" t="str">
        <f t="shared" si="164"/>
        <v>常规</v>
      </c>
      <c r="N488" s="152"/>
      <c r="O488" s="135" t="s">
        <v>2702</v>
      </c>
      <c r="P488" s="158">
        <v>4</v>
      </c>
      <c r="Q488" s="152"/>
      <c r="R488" s="152"/>
      <c r="S488" s="152"/>
      <c r="T488" s="155"/>
      <c r="U488" s="32" t="str">
        <f t="shared" si="165"/>
        <v>盒</v>
      </c>
      <c r="V488" s="152"/>
      <c r="W488" s="152"/>
      <c r="X488" s="32">
        <f t="shared" si="166"/>
        <v>1</v>
      </c>
      <c r="Y488" s="32" t="str">
        <f t="shared" si="167"/>
        <v>盒</v>
      </c>
      <c r="Z488" s="152"/>
      <c r="AA488" s="152"/>
      <c r="AB488" s="152"/>
    </row>
    <row r="489" spans="1:28" ht="19.899999999999999" customHeight="1" x14ac:dyDescent="0.15">
      <c r="A489" s="34">
        <v>487</v>
      </c>
      <c r="B489" s="152" t="s">
        <v>2654</v>
      </c>
      <c r="C489" s="29" t="s">
        <v>0</v>
      </c>
      <c r="D489" s="32" t="str">
        <f t="shared" si="163"/>
        <v>专用物耗</v>
      </c>
      <c r="E489" s="156" t="s">
        <v>2831</v>
      </c>
      <c r="F489" s="152" t="s">
        <v>2662</v>
      </c>
      <c r="G489" s="152"/>
      <c r="H489" s="152"/>
      <c r="I489" s="15" t="s">
        <v>2727</v>
      </c>
      <c r="J489" s="29" t="s">
        <v>821</v>
      </c>
      <c r="K489" s="155">
        <v>1</v>
      </c>
      <c r="L489" s="94" t="s">
        <v>2069</v>
      </c>
      <c r="M489" s="32" t="str">
        <f t="shared" si="164"/>
        <v>常规</v>
      </c>
      <c r="N489" s="152"/>
      <c r="O489" s="135" t="s">
        <v>2702</v>
      </c>
      <c r="P489" s="158">
        <v>4</v>
      </c>
      <c r="Q489" s="152"/>
      <c r="R489" s="152"/>
      <c r="S489" s="152"/>
      <c r="T489" s="155"/>
      <c r="U489" s="32" t="str">
        <f t="shared" si="165"/>
        <v>盒</v>
      </c>
      <c r="V489" s="152"/>
      <c r="W489" s="152"/>
      <c r="X489" s="32">
        <f t="shared" si="166"/>
        <v>1</v>
      </c>
      <c r="Y489" s="32" t="str">
        <f t="shared" si="167"/>
        <v>盒</v>
      </c>
      <c r="Z489" s="152"/>
      <c r="AA489" s="152"/>
      <c r="AB489" s="152"/>
    </row>
    <row r="490" spans="1:28" ht="19.899999999999999" customHeight="1" x14ac:dyDescent="0.15">
      <c r="A490" s="34">
        <v>488</v>
      </c>
      <c r="B490" s="152" t="s">
        <v>2655</v>
      </c>
      <c r="C490" s="29" t="s">
        <v>0</v>
      </c>
      <c r="D490" s="32" t="str">
        <f t="shared" si="163"/>
        <v>专用物耗</v>
      </c>
      <c r="E490" s="156" t="s">
        <v>2845</v>
      </c>
      <c r="F490" s="152" t="s">
        <v>2664</v>
      </c>
      <c r="G490" s="152"/>
      <c r="H490" s="152"/>
      <c r="I490" s="15" t="s">
        <v>2726</v>
      </c>
      <c r="J490" s="29" t="s">
        <v>821</v>
      </c>
      <c r="K490" s="155">
        <v>1</v>
      </c>
      <c r="L490" s="94" t="s">
        <v>2295</v>
      </c>
      <c r="M490" s="32" t="str">
        <f t="shared" si="164"/>
        <v>常规</v>
      </c>
      <c r="N490" s="152"/>
      <c r="O490" s="135" t="s">
        <v>2747</v>
      </c>
      <c r="P490" s="158">
        <v>2</v>
      </c>
      <c r="Q490" s="152"/>
      <c r="R490" s="152"/>
      <c r="S490" s="152"/>
      <c r="T490" s="155"/>
      <c r="U490" s="32" t="str">
        <f t="shared" si="165"/>
        <v>包</v>
      </c>
      <c r="V490" s="152"/>
      <c r="W490" s="152"/>
      <c r="X490" s="32">
        <f t="shared" si="166"/>
        <v>1</v>
      </c>
      <c r="Y490" s="32" t="str">
        <f t="shared" si="167"/>
        <v>包</v>
      </c>
      <c r="Z490" s="152"/>
      <c r="AA490" s="152"/>
      <c r="AB490" s="152"/>
    </row>
    <row r="491" spans="1:28" ht="19.899999999999999" customHeight="1" x14ac:dyDescent="0.15">
      <c r="A491" s="34">
        <v>489</v>
      </c>
      <c r="B491" s="152" t="s">
        <v>2655</v>
      </c>
      <c r="C491" s="29" t="s">
        <v>0</v>
      </c>
      <c r="D491" s="32" t="str">
        <f t="shared" si="163"/>
        <v>专用物耗</v>
      </c>
      <c r="E491" s="156" t="s">
        <v>2845</v>
      </c>
      <c r="F491" s="152" t="s">
        <v>2665</v>
      </c>
      <c r="G491" s="152"/>
      <c r="H491" s="152"/>
      <c r="I491" s="15" t="s">
        <v>2725</v>
      </c>
      <c r="J491" s="29" t="s">
        <v>821</v>
      </c>
      <c r="K491" s="155">
        <v>1</v>
      </c>
      <c r="L491" s="94" t="s">
        <v>2295</v>
      </c>
      <c r="M491" s="32" t="str">
        <f t="shared" si="164"/>
        <v>常规</v>
      </c>
      <c r="N491" s="152"/>
      <c r="O491" s="135" t="s">
        <v>2747</v>
      </c>
      <c r="P491" s="158">
        <v>2</v>
      </c>
      <c r="Q491" s="152"/>
      <c r="R491" s="152"/>
      <c r="S491" s="152"/>
      <c r="T491" s="155"/>
      <c r="U491" s="32" t="str">
        <f t="shared" si="165"/>
        <v>包</v>
      </c>
      <c r="V491" s="152"/>
      <c r="W491" s="152"/>
      <c r="X491" s="32">
        <f t="shared" si="166"/>
        <v>1</v>
      </c>
      <c r="Y491" s="32" t="str">
        <f t="shared" si="167"/>
        <v>包</v>
      </c>
      <c r="Z491" s="152"/>
      <c r="AA491" s="152"/>
      <c r="AB491" s="152"/>
    </row>
    <row r="492" spans="1:28" ht="19.899999999999999" customHeight="1" x14ac:dyDescent="0.15">
      <c r="A492" s="34">
        <v>490</v>
      </c>
      <c r="B492" s="152" t="s">
        <v>2655</v>
      </c>
      <c r="C492" s="29" t="s">
        <v>0</v>
      </c>
      <c r="D492" s="32" t="str">
        <f t="shared" si="163"/>
        <v>专用物耗</v>
      </c>
      <c r="E492" s="156" t="s">
        <v>2845</v>
      </c>
      <c r="F492" s="152" t="s">
        <v>2666</v>
      </c>
      <c r="G492" s="152"/>
      <c r="H492" s="152"/>
      <c r="I492" s="15" t="s">
        <v>2724</v>
      </c>
      <c r="J492" s="29" t="s">
        <v>821</v>
      </c>
      <c r="K492" s="155">
        <v>1</v>
      </c>
      <c r="L492" s="94" t="s">
        <v>2295</v>
      </c>
      <c r="M492" s="32" t="str">
        <f t="shared" si="164"/>
        <v>常规</v>
      </c>
      <c r="N492" s="152"/>
      <c r="O492" s="135" t="s">
        <v>2747</v>
      </c>
      <c r="P492" s="158">
        <v>2</v>
      </c>
      <c r="Q492" s="152"/>
      <c r="R492" s="152"/>
      <c r="S492" s="152"/>
      <c r="T492" s="155"/>
      <c r="U492" s="32" t="str">
        <f t="shared" si="165"/>
        <v>包</v>
      </c>
      <c r="V492" s="152"/>
      <c r="W492" s="152"/>
      <c r="X492" s="32">
        <f t="shared" si="166"/>
        <v>1</v>
      </c>
      <c r="Y492" s="32" t="str">
        <f t="shared" si="167"/>
        <v>包</v>
      </c>
      <c r="Z492" s="152"/>
      <c r="AA492" s="152"/>
      <c r="AB492" s="152"/>
    </row>
    <row r="493" spans="1:28" ht="19.899999999999999" customHeight="1" x14ac:dyDescent="0.15">
      <c r="A493" s="34">
        <v>491</v>
      </c>
      <c r="B493" s="152" t="s">
        <v>2655</v>
      </c>
      <c r="C493" s="29" t="s">
        <v>0</v>
      </c>
      <c r="D493" s="32" t="str">
        <f t="shared" si="163"/>
        <v>专用物耗</v>
      </c>
      <c r="E493" s="156" t="s">
        <v>2845</v>
      </c>
      <c r="F493" s="152" t="s">
        <v>2667</v>
      </c>
      <c r="G493" s="152"/>
      <c r="H493" s="152"/>
      <c r="I493" s="15" t="s">
        <v>2723</v>
      </c>
      <c r="J493" s="29" t="s">
        <v>821</v>
      </c>
      <c r="K493" s="155">
        <v>1</v>
      </c>
      <c r="L493" s="94" t="s">
        <v>2295</v>
      </c>
      <c r="M493" s="32" t="str">
        <f t="shared" si="164"/>
        <v>常规</v>
      </c>
      <c r="N493" s="152"/>
      <c r="O493" s="135" t="s">
        <v>2747</v>
      </c>
      <c r="P493" s="158">
        <v>2</v>
      </c>
      <c r="Q493" s="152"/>
      <c r="R493" s="152"/>
      <c r="S493" s="152"/>
      <c r="T493" s="155"/>
      <c r="U493" s="32" t="str">
        <f t="shared" si="165"/>
        <v>包</v>
      </c>
      <c r="V493" s="152"/>
      <c r="W493" s="152"/>
      <c r="X493" s="32">
        <f t="shared" si="166"/>
        <v>1</v>
      </c>
      <c r="Y493" s="32" t="str">
        <f t="shared" si="167"/>
        <v>包</v>
      </c>
      <c r="Z493" s="152"/>
      <c r="AA493" s="152"/>
      <c r="AB493" s="152"/>
    </row>
    <row r="494" spans="1:28" ht="19.899999999999999" customHeight="1" x14ac:dyDescent="0.15">
      <c r="A494" s="34">
        <v>492</v>
      </c>
      <c r="B494" s="152" t="s">
        <v>2655</v>
      </c>
      <c r="C494" s="29" t="s">
        <v>0</v>
      </c>
      <c r="D494" s="32" t="str">
        <f t="shared" si="163"/>
        <v>专用物耗</v>
      </c>
      <c r="E494" s="156" t="s">
        <v>2845</v>
      </c>
      <c r="F494" s="152" t="s">
        <v>2668</v>
      </c>
      <c r="G494" s="152"/>
      <c r="H494" s="152"/>
      <c r="I494" s="15" t="s">
        <v>2722</v>
      </c>
      <c r="J494" s="29" t="s">
        <v>821</v>
      </c>
      <c r="K494" s="155">
        <v>1</v>
      </c>
      <c r="L494" s="94" t="s">
        <v>2295</v>
      </c>
      <c r="M494" s="32" t="str">
        <f t="shared" si="164"/>
        <v>常规</v>
      </c>
      <c r="N494" s="152"/>
      <c r="O494" s="135" t="s">
        <v>2747</v>
      </c>
      <c r="P494" s="158">
        <v>2</v>
      </c>
      <c r="Q494" s="152"/>
      <c r="R494" s="152"/>
      <c r="S494" s="152"/>
      <c r="T494" s="155"/>
      <c r="U494" s="32" t="str">
        <f t="shared" si="165"/>
        <v>包</v>
      </c>
      <c r="V494" s="152"/>
      <c r="W494" s="152"/>
      <c r="X494" s="32">
        <f t="shared" si="166"/>
        <v>1</v>
      </c>
      <c r="Y494" s="32" t="str">
        <f t="shared" si="167"/>
        <v>包</v>
      </c>
      <c r="Z494" s="152"/>
      <c r="AA494" s="152"/>
      <c r="AB494" s="152"/>
    </row>
    <row r="495" spans="1:28" ht="19.899999999999999" customHeight="1" x14ac:dyDescent="0.15">
      <c r="A495" s="34">
        <v>493</v>
      </c>
      <c r="B495" s="152" t="s">
        <v>2656</v>
      </c>
      <c r="C495" s="29" t="s">
        <v>0</v>
      </c>
      <c r="D495" s="32" t="str">
        <f t="shared" si="163"/>
        <v>专用物耗</v>
      </c>
      <c r="E495" s="156" t="s">
        <v>2845</v>
      </c>
      <c r="F495" s="152" t="s">
        <v>2669</v>
      </c>
      <c r="G495" s="152"/>
      <c r="H495" s="152"/>
      <c r="I495" s="15" t="s">
        <v>2721</v>
      </c>
      <c r="J495" s="29" t="s">
        <v>821</v>
      </c>
      <c r="K495" s="155">
        <v>1</v>
      </c>
      <c r="L495" s="94" t="s">
        <v>2670</v>
      </c>
      <c r="M495" s="32" t="str">
        <f t="shared" si="164"/>
        <v>常规</v>
      </c>
      <c r="N495" s="152"/>
      <c r="O495" s="135" t="s">
        <v>2742</v>
      </c>
      <c r="P495" s="158">
        <v>4</v>
      </c>
      <c r="Q495" s="152"/>
      <c r="R495" s="152"/>
      <c r="S495" s="152"/>
      <c r="T495" s="155"/>
      <c r="U495" s="32" t="str">
        <f t="shared" si="165"/>
        <v>卷</v>
      </c>
      <c r="V495" s="152"/>
      <c r="W495" s="152"/>
      <c r="X495" s="32">
        <f t="shared" si="166"/>
        <v>1</v>
      </c>
      <c r="Y495" s="32" t="str">
        <f t="shared" si="167"/>
        <v>卷</v>
      </c>
      <c r="Z495" s="152"/>
      <c r="AA495" s="152"/>
      <c r="AB495" s="152"/>
    </row>
    <row r="496" spans="1:28" ht="19.899999999999999" customHeight="1" x14ac:dyDescent="0.15">
      <c r="A496" s="34">
        <v>494</v>
      </c>
      <c r="B496" s="152" t="s">
        <v>2657</v>
      </c>
      <c r="C496" s="29" t="s">
        <v>0</v>
      </c>
      <c r="D496" s="32" t="str">
        <f t="shared" si="163"/>
        <v>专用物耗</v>
      </c>
      <c r="E496" s="156" t="s">
        <v>2827</v>
      </c>
      <c r="F496" s="152" t="s">
        <v>2671</v>
      </c>
      <c r="G496" s="152"/>
      <c r="H496" s="152"/>
      <c r="I496" s="15" t="s">
        <v>2720</v>
      </c>
      <c r="J496" s="29" t="s">
        <v>821</v>
      </c>
      <c r="K496" s="155">
        <v>1</v>
      </c>
      <c r="L496" s="94" t="s">
        <v>2295</v>
      </c>
      <c r="M496" s="32" t="str">
        <f t="shared" si="164"/>
        <v>常规</v>
      </c>
      <c r="N496" s="152"/>
      <c r="O496" s="135" t="s">
        <v>2746</v>
      </c>
      <c r="P496" s="158">
        <v>5</v>
      </c>
      <c r="Q496" s="152"/>
      <c r="R496" s="152"/>
      <c r="S496" s="152"/>
      <c r="T496" s="155"/>
      <c r="U496" s="32" t="str">
        <f t="shared" si="165"/>
        <v>包</v>
      </c>
      <c r="V496" s="152"/>
      <c r="W496" s="152"/>
      <c r="X496" s="32">
        <f t="shared" si="166"/>
        <v>1</v>
      </c>
      <c r="Y496" s="32" t="str">
        <f t="shared" si="167"/>
        <v>包</v>
      </c>
      <c r="Z496" s="152"/>
      <c r="AA496" s="152"/>
      <c r="AB496" s="152"/>
    </row>
    <row r="497" spans="1:28" ht="19.899999999999999" customHeight="1" x14ac:dyDescent="0.15">
      <c r="A497" s="34">
        <v>495</v>
      </c>
      <c r="B497" s="152" t="s">
        <v>2658</v>
      </c>
      <c r="C497" s="29" t="s">
        <v>0</v>
      </c>
      <c r="D497" s="32" t="str">
        <f t="shared" si="163"/>
        <v>专用物耗</v>
      </c>
      <c r="E497" s="156" t="s">
        <v>2832</v>
      </c>
      <c r="F497" s="152" t="s">
        <v>2671</v>
      </c>
      <c r="G497" s="152"/>
      <c r="H497" s="152"/>
      <c r="I497" s="15" t="s">
        <v>2719</v>
      </c>
      <c r="J497" s="29" t="s">
        <v>821</v>
      </c>
      <c r="K497" s="155">
        <v>1</v>
      </c>
      <c r="L497" s="94" t="s">
        <v>2295</v>
      </c>
      <c r="M497" s="32" t="str">
        <f t="shared" si="164"/>
        <v>常规</v>
      </c>
      <c r="N497" s="152"/>
      <c r="O497" s="135" t="s">
        <v>2746</v>
      </c>
      <c r="P497" s="158">
        <v>5</v>
      </c>
      <c r="Q497" s="152"/>
      <c r="R497" s="152"/>
      <c r="S497" s="152"/>
      <c r="T497" s="155"/>
      <c r="U497" s="32" t="str">
        <f t="shared" si="165"/>
        <v>包</v>
      </c>
      <c r="V497" s="152"/>
      <c r="W497" s="152"/>
      <c r="X497" s="32">
        <f t="shared" si="166"/>
        <v>1</v>
      </c>
      <c r="Y497" s="32" t="str">
        <f t="shared" si="167"/>
        <v>包</v>
      </c>
      <c r="Z497" s="152"/>
      <c r="AA497" s="152"/>
      <c r="AB497" s="152"/>
    </row>
    <row r="498" spans="1:28" ht="19.899999999999999" customHeight="1" x14ac:dyDescent="0.15">
      <c r="A498" s="34">
        <v>496</v>
      </c>
      <c r="B498" s="152" t="s">
        <v>2659</v>
      </c>
      <c r="C498" s="29" t="s">
        <v>0</v>
      </c>
      <c r="D498" s="32" t="str">
        <f t="shared" si="163"/>
        <v>专用物耗</v>
      </c>
      <c r="E498" s="156" t="s">
        <v>2833</v>
      </c>
      <c r="F498" s="152" t="s">
        <v>2671</v>
      </c>
      <c r="G498" s="152"/>
      <c r="H498" s="152"/>
      <c r="I498" s="15" t="s">
        <v>2718</v>
      </c>
      <c r="J498" s="29" t="s">
        <v>821</v>
      </c>
      <c r="K498" s="155">
        <v>2</v>
      </c>
      <c r="L498" s="94" t="s">
        <v>2330</v>
      </c>
      <c r="M498" s="32" t="str">
        <f t="shared" si="164"/>
        <v>常规</v>
      </c>
      <c r="N498" s="152"/>
      <c r="O498" s="135" t="s">
        <v>2260</v>
      </c>
      <c r="P498" s="137" t="s">
        <v>2593</v>
      </c>
      <c r="Q498" s="152"/>
      <c r="R498" s="152"/>
      <c r="S498" s="152"/>
      <c r="T498" s="155"/>
      <c r="U498" s="32" t="str">
        <f t="shared" si="165"/>
        <v>瓶</v>
      </c>
      <c r="V498" s="152"/>
      <c r="W498" s="152"/>
      <c r="X498" s="32">
        <f t="shared" si="166"/>
        <v>2</v>
      </c>
      <c r="Y498" s="32" t="str">
        <f t="shared" si="167"/>
        <v>瓶</v>
      </c>
      <c r="Z498" s="152"/>
      <c r="AA498" s="152"/>
      <c r="AB498" s="152"/>
    </row>
    <row r="499" spans="1:28" s="186" customFormat="1" ht="19.899999999999999" customHeight="1" x14ac:dyDescent="0.15">
      <c r="A499" s="163">
        <v>497</v>
      </c>
      <c r="B499" s="261" t="s">
        <v>2672</v>
      </c>
      <c r="C499" s="165" t="s">
        <v>0</v>
      </c>
      <c r="D499" s="166" t="str">
        <f t="shared" si="163"/>
        <v>专用物耗</v>
      </c>
      <c r="E499" s="261" t="s">
        <v>2675</v>
      </c>
      <c r="F499" s="182" t="s">
        <v>2676</v>
      </c>
      <c r="G499" s="182"/>
      <c r="H499" s="182"/>
      <c r="I499" s="167" t="s">
        <v>2717</v>
      </c>
      <c r="J499" s="165" t="s">
        <v>821</v>
      </c>
      <c r="K499" s="183">
        <v>8</v>
      </c>
      <c r="L499" s="244" t="s">
        <v>2330</v>
      </c>
      <c r="M499" s="166" t="str">
        <f t="shared" si="164"/>
        <v>常规</v>
      </c>
      <c r="N499" s="182"/>
      <c r="O499" s="180" t="s">
        <v>2260</v>
      </c>
      <c r="P499" s="169" t="s">
        <v>2593</v>
      </c>
      <c r="Q499" s="182"/>
      <c r="R499" s="182"/>
      <c r="S499" s="176" t="s">
        <v>2855</v>
      </c>
      <c r="T499" s="183">
        <v>8</v>
      </c>
      <c r="U499" s="166" t="str">
        <f t="shared" si="165"/>
        <v>瓶</v>
      </c>
      <c r="V499" s="182"/>
      <c r="W499" s="182"/>
      <c r="X499" s="166" t="str">
        <f t="shared" si="166"/>
        <v/>
      </c>
      <c r="Y499" s="166" t="str">
        <f t="shared" si="167"/>
        <v>瓶</v>
      </c>
      <c r="Z499" s="182"/>
      <c r="AA499" s="182"/>
      <c r="AB499" s="182"/>
    </row>
    <row r="500" spans="1:28" ht="19.899999999999999" customHeight="1" x14ac:dyDescent="0.15">
      <c r="A500" s="34">
        <v>498</v>
      </c>
      <c r="B500" s="156" t="s">
        <v>2673</v>
      </c>
      <c r="C500" s="29" t="s">
        <v>0</v>
      </c>
      <c r="D500" s="32" t="str">
        <f t="shared" si="163"/>
        <v>专用物耗</v>
      </c>
      <c r="E500" s="156" t="s">
        <v>2834</v>
      </c>
      <c r="F500" s="152" t="s">
        <v>2677</v>
      </c>
      <c r="G500" s="152"/>
      <c r="H500" s="152"/>
      <c r="I500" s="15" t="s">
        <v>2716</v>
      </c>
      <c r="J500" s="29" t="s">
        <v>821</v>
      </c>
      <c r="K500" s="155">
        <v>1</v>
      </c>
      <c r="L500" s="94" t="s">
        <v>2338</v>
      </c>
      <c r="M500" s="32" t="str">
        <f t="shared" si="164"/>
        <v>常规</v>
      </c>
      <c r="N500" s="152"/>
      <c r="O500" s="135" t="s">
        <v>2744</v>
      </c>
      <c r="P500" s="158">
        <v>5</v>
      </c>
      <c r="Q500" s="152"/>
      <c r="R500" s="152"/>
      <c r="S500" s="152"/>
      <c r="T500" s="155"/>
      <c r="U500" s="32" t="str">
        <f t="shared" si="165"/>
        <v>双</v>
      </c>
      <c r="V500" s="152"/>
      <c r="W500" s="152"/>
      <c r="X500" s="32">
        <f t="shared" si="166"/>
        <v>1</v>
      </c>
      <c r="Y500" s="32" t="str">
        <f t="shared" si="167"/>
        <v>双</v>
      </c>
      <c r="Z500" s="152"/>
      <c r="AA500" s="152"/>
      <c r="AB500" s="152"/>
    </row>
    <row r="501" spans="1:28" ht="19.899999999999999" customHeight="1" x14ac:dyDescent="0.15">
      <c r="A501" s="34">
        <v>499</v>
      </c>
      <c r="B501" s="156" t="s">
        <v>2674</v>
      </c>
      <c r="C501" s="29" t="s">
        <v>0</v>
      </c>
      <c r="D501" s="32" t="str">
        <f t="shared" si="163"/>
        <v>专用物耗</v>
      </c>
      <c r="E501" s="152" t="s">
        <v>2823</v>
      </c>
      <c r="F501" s="152" t="s">
        <v>2678</v>
      </c>
      <c r="G501" s="152"/>
      <c r="H501" s="152"/>
      <c r="I501" s="15" t="s">
        <v>2715</v>
      </c>
      <c r="J501" s="29" t="s">
        <v>821</v>
      </c>
      <c r="K501" s="155">
        <v>1</v>
      </c>
      <c r="L501" s="94" t="s">
        <v>2295</v>
      </c>
      <c r="M501" s="32" t="str">
        <f t="shared" si="164"/>
        <v>常规</v>
      </c>
      <c r="N501" s="152"/>
      <c r="O501" s="135" t="s">
        <v>2742</v>
      </c>
      <c r="P501" s="158">
        <v>2</v>
      </c>
      <c r="Q501" s="152"/>
      <c r="R501" s="152"/>
      <c r="S501" s="152"/>
      <c r="T501" s="155"/>
      <c r="U501" s="32" t="str">
        <f t="shared" si="165"/>
        <v>包</v>
      </c>
      <c r="V501" s="152"/>
      <c r="W501" s="152"/>
      <c r="X501" s="32">
        <f t="shared" si="166"/>
        <v>1</v>
      </c>
      <c r="Y501" s="32" t="str">
        <f t="shared" si="167"/>
        <v>包</v>
      </c>
      <c r="Z501" s="152"/>
      <c r="AA501" s="152"/>
      <c r="AB501" s="152"/>
    </row>
    <row r="502" spans="1:28" ht="19.899999999999999" customHeight="1" x14ac:dyDescent="0.15">
      <c r="A502" s="34">
        <v>500</v>
      </c>
      <c r="B502" s="156" t="s">
        <v>2674</v>
      </c>
      <c r="C502" s="29" t="s">
        <v>0</v>
      </c>
      <c r="D502" s="32" t="str">
        <f t="shared" si="163"/>
        <v>专用物耗</v>
      </c>
      <c r="E502" s="152" t="s">
        <v>2823</v>
      </c>
      <c r="F502" s="152" t="s">
        <v>2679</v>
      </c>
      <c r="G502" s="152"/>
      <c r="H502" s="152"/>
      <c r="I502" s="15" t="s">
        <v>2714</v>
      </c>
      <c r="J502" s="29" t="s">
        <v>821</v>
      </c>
      <c r="K502" s="155">
        <v>1</v>
      </c>
      <c r="L502" s="94" t="s">
        <v>2295</v>
      </c>
      <c r="M502" s="32" t="str">
        <f t="shared" si="164"/>
        <v>常规</v>
      </c>
      <c r="N502" s="152"/>
      <c r="O502" s="135" t="s">
        <v>2742</v>
      </c>
      <c r="P502" s="158">
        <v>2</v>
      </c>
      <c r="Q502" s="152"/>
      <c r="R502" s="152"/>
      <c r="S502" s="152"/>
      <c r="T502" s="155"/>
      <c r="U502" s="32" t="str">
        <f t="shared" si="165"/>
        <v>包</v>
      </c>
      <c r="V502" s="152"/>
      <c r="W502" s="152"/>
      <c r="X502" s="32">
        <f t="shared" si="166"/>
        <v>1</v>
      </c>
      <c r="Y502" s="32" t="str">
        <f t="shared" si="167"/>
        <v>包</v>
      </c>
      <c r="Z502" s="152"/>
      <c r="AA502" s="152"/>
      <c r="AB502" s="152"/>
    </row>
    <row r="503" spans="1:28" s="236" customFormat="1" ht="19.899999999999999" customHeight="1" x14ac:dyDescent="0.15">
      <c r="A503" s="223">
        <v>501</v>
      </c>
      <c r="B503" s="231" t="s">
        <v>2674</v>
      </c>
      <c r="C503" s="224" t="s">
        <v>0</v>
      </c>
      <c r="D503" s="225" t="str">
        <f t="shared" si="163"/>
        <v>专用物耗</v>
      </c>
      <c r="E503" s="232" t="s">
        <v>2823</v>
      </c>
      <c r="F503" s="232" t="s">
        <v>2680</v>
      </c>
      <c r="G503" s="232"/>
      <c r="H503" s="232"/>
      <c r="I503" s="226" t="s">
        <v>2743</v>
      </c>
      <c r="J503" s="224" t="s">
        <v>821</v>
      </c>
      <c r="K503" s="233">
        <v>1</v>
      </c>
      <c r="L503" s="227" t="s">
        <v>2295</v>
      </c>
      <c r="M503" s="225" t="str">
        <f t="shared" si="164"/>
        <v>常规</v>
      </c>
      <c r="N503" s="232"/>
      <c r="O503" s="234" t="s">
        <v>2745</v>
      </c>
      <c r="P503" s="235">
        <v>2</v>
      </c>
      <c r="Q503" s="232"/>
      <c r="R503" s="232"/>
      <c r="S503" s="232" t="s">
        <v>2700</v>
      </c>
      <c r="T503" s="233">
        <v>0</v>
      </c>
      <c r="U503" s="225" t="str">
        <f t="shared" si="165"/>
        <v>包</v>
      </c>
      <c r="V503" s="232"/>
      <c r="W503" s="232"/>
      <c r="X503" s="225">
        <f t="shared" si="166"/>
        <v>1</v>
      </c>
      <c r="Y503" s="225" t="str">
        <f t="shared" si="167"/>
        <v>包</v>
      </c>
      <c r="Z503" s="232"/>
      <c r="AA503" s="232"/>
      <c r="AB503" s="232"/>
    </row>
    <row r="504" spans="1:28" ht="19.899999999999999" customHeight="1" x14ac:dyDescent="0.15">
      <c r="A504" s="34">
        <v>502</v>
      </c>
      <c r="B504" s="156" t="s">
        <v>2674</v>
      </c>
      <c r="C504" s="29" t="s">
        <v>0</v>
      </c>
      <c r="D504" s="32" t="str">
        <f t="shared" si="163"/>
        <v>专用物耗</v>
      </c>
      <c r="E504" s="152" t="s">
        <v>2823</v>
      </c>
      <c r="F504" s="152" t="s">
        <v>2681</v>
      </c>
      <c r="G504" s="152"/>
      <c r="H504" s="152"/>
      <c r="I504" s="15" t="s">
        <v>2713</v>
      </c>
      <c r="J504" s="29" t="s">
        <v>821</v>
      </c>
      <c r="K504" s="155">
        <v>1</v>
      </c>
      <c r="L504" s="94" t="s">
        <v>2295</v>
      </c>
      <c r="M504" s="32" t="str">
        <f t="shared" si="164"/>
        <v>常规</v>
      </c>
      <c r="N504" s="152"/>
      <c r="O504" s="135" t="s">
        <v>2742</v>
      </c>
      <c r="P504" s="158">
        <v>2</v>
      </c>
      <c r="Q504" s="152"/>
      <c r="R504" s="152"/>
      <c r="S504" s="152"/>
      <c r="T504" s="155"/>
      <c r="U504" s="32" t="str">
        <f t="shared" si="165"/>
        <v>包</v>
      </c>
      <c r="V504" s="152"/>
      <c r="W504" s="152"/>
      <c r="X504" s="32">
        <f t="shared" si="166"/>
        <v>1</v>
      </c>
      <c r="Y504" s="32" t="str">
        <f t="shared" si="167"/>
        <v>包</v>
      </c>
      <c r="Z504" s="152"/>
      <c r="AA504" s="152"/>
      <c r="AB504" s="152"/>
    </row>
    <row r="505" spans="1:28" ht="19.899999999999999" customHeight="1" x14ac:dyDescent="0.15">
      <c r="A505" s="34">
        <v>503</v>
      </c>
      <c r="B505" s="156" t="s">
        <v>2682</v>
      </c>
      <c r="C505" s="29" t="s">
        <v>0</v>
      </c>
      <c r="D505" s="32" t="str">
        <f t="shared" si="163"/>
        <v>专用物耗</v>
      </c>
      <c r="E505" s="156" t="s">
        <v>2905</v>
      </c>
      <c r="F505" s="152" t="s">
        <v>1398</v>
      </c>
      <c r="G505" s="152"/>
      <c r="H505" s="152"/>
      <c r="I505" s="15" t="s">
        <v>2712</v>
      </c>
      <c r="J505" s="29" t="s">
        <v>821</v>
      </c>
      <c r="K505" s="155">
        <v>3</v>
      </c>
      <c r="L505" s="94" t="s">
        <v>2069</v>
      </c>
      <c r="M505" s="32" t="str">
        <f t="shared" si="164"/>
        <v>常规</v>
      </c>
      <c r="N505" s="152"/>
      <c r="O505" s="135" t="s">
        <v>2744</v>
      </c>
      <c r="P505" s="158">
        <v>5</v>
      </c>
      <c r="Q505" s="152"/>
      <c r="R505" s="152"/>
      <c r="S505" s="152" t="s">
        <v>2904</v>
      </c>
      <c r="T505" s="155">
        <v>1</v>
      </c>
      <c r="U505" s="32" t="str">
        <f t="shared" si="165"/>
        <v>盒</v>
      </c>
      <c r="V505" s="152"/>
      <c r="W505" s="152"/>
      <c r="X505" s="32">
        <f t="shared" si="166"/>
        <v>2</v>
      </c>
      <c r="Y505" s="32" t="str">
        <f t="shared" si="167"/>
        <v>盒</v>
      </c>
      <c r="Z505" s="152"/>
      <c r="AA505" s="152"/>
      <c r="AB505" s="152"/>
    </row>
    <row r="506" spans="1:28" ht="19.899999999999999" customHeight="1" x14ac:dyDescent="0.15">
      <c r="A506" s="34">
        <v>504</v>
      </c>
      <c r="B506" s="156" t="s">
        <v>2683</v>
      </c>
      <c r="C506" s="29" t="s">
        <v>0</v>
      </c>
      <c r="D506" s="32" t="str">
        <f t="shared" si="163"/>
        <v>专用物耗</v>
      </c>
      <c r="E506" s="156" t="s">
        <v>2846</v>
      </c>
      <c r="F506" s="152" t="s">
        <v>2685</v>
      </c>
      <c r="G506" s="152"/>
      <c r="H506" s="152"/>
      <c r="I506" s="15" t="s">
        <v>2711</v>
      </c>
      <c r="J506" s="29" t="s">
        <v>821</v>
      </c>
      <c r="K506" s="155">
        <v>12</v>
      </c>
      <c r="L506" s="94" t="s">
        <v>2338</v>
      </c>
      <c r="M506" s="32" t="str">
        <f t="shared" si="164"/>
        <v>常规</v>
      </c>
      <c r="N506" s="152"/>
      <c r="O506" s="135" t="s">
        <v>2744</v>
      </c>
      <c r="P506" s="158">
        <v>5</v>
      </c>
      <c r="Q506" s="152"/>
      <c r="R506" s="152"/>
      <c r="S506" s="152"/>
      <c r="T506" s="155"/>
      <c r="U506" s="32" t="str">
        <f t="shared" si="165"/>
        <v>双</v>
      </c>
      <c r="V506" s="152"/>
      <c r="W506" s="152"/>
      <c r="X506" s="32">
        <f t="shared" si="166"/>
        <v>12</v>
      </c>
      <c r="Y506" s="32" t="str">
        <f t="shared" si="167"/>
        <v>双</v>
      </c>
      <c r="Z506" s="152"/>
      <c r="AA506" s="152"/>
      <c r="AB506" s="152"/>
    </row>
    <row r="507" spans="1:28" ht="19.899999999999999" customHeight="1" x14ac:dyDescent="0.15">
      <c r="A507" s="34">
        <v>505</v>
      </c>
      <c r="B507" s="156" t="s">
        <v>2684</v>
      </c>
      <c r="C507" s="29" t="s">
        <v>0</v>
      </c>
      <c r="D507" s="32" t="str">
        <f t="shared" si="163"/>
        <v>专用物耗</v>
      </c>
      <c r="E507" s="156" t="s">
        <v>2835</v>
      </c>
      <c r="F507" s="152" t="s">
        <v>2686</v>
      </c>
      <c r="G507" s="152"/>
      <c r="H507" s="152"/>
      <c r="I507" s="15" t="s">
        <v>2710</v>
      </c>
      <c r="J507" s="29" t="s">
        <v>821</v>
      </c>
      <c r="K507" s="155">
        <v>4</v>
      </c>
      <c r="L507" s="94" t="s">
        <v>2069</v>
      </c>
      <c r="M507" s="32" t="str">
        <f t="shared" si="164"/>
        <v>常规</v>
      </c>
      <c r="N507" s="152"/>
      <c r="O507" s="135" t="s">
        <v>2742</v>
      </c>
      <c r="P507" s="158">
        <v>2</v>
      </c>
      <c r="Q507" s="152"/>
      <c r="R507" s="152"/>
      <c r="S507" s="152"/>
      <c r="T507" s="155"/>
      <c r="U507" s="32" t="str">
        <f t="shared" si="165"/>
        <v>盒</v>
      </c>
      <c r="V507" s="152"/>
      <c r="W507" s="152"/>
      <c r="X507" s="32">
        <f t="shared" si="166"/>
        <v>4</v>
      </c>
      <c r="Y507" s="32" t="str">
        <f t="shared" si="167"/>
        <v>盒</v>
      </c>
      <c r="Z507" s="152"/>
      <c r="AA507" s="152"/>
      <c r="AB507" s="152"/>
    </row>
    <row r="508" spans="1:28" ht="19.899999999999999" customHeight="1" x14ac:dyDescent="0.15">
      <c r="A508" s="34">
        <v>506</v>
      </c>
      <c r="B508" s="156" t="s">
        <v>2706</v>
      </c>
      <c r="C508" s="29" t="s">
        <v>0</v>
      </c>
      <c r="D508" s="32" t="str">
        <f t="shared" ref="D508" si="168">IF(C508="J1","常规化学品",IF(C508="J2","危险化学品",IF(C508="J3","标准物质",IF(C508="J4","玻璃仪器",IF(C508="J5","实验气体",IF(C508="J6","专用物耗",IF(C508="J7","备品配件",IF(C508="J8","专用工具",IF(C508="Z1","劳保物资",IF(C508="Z2","办公耗材",IF(C508="Z3","食品饮料",IF(C508="Z4","特殊物耗",IF(C508="Z5","通用物耗",IF(C508="Z6","通用工具",""))))))))))))))</f>
        <v>专用物耗</v>
      </c>
      <c r="E508" s="156" t="s">
        <v>2707</v>
      </c>
      <c r="F508" s="152" t="s">
        <v>2849</v>
      </c>
      <c r="G508" s="152"/>
      <c r="H508" s="152"/>
      <c r="I508" s="15" t="s">
        <v>2708</v>
      </c>
      <c r="J508" s="29" t="s">
        <v>821</v>
      </c>
      <c r="K508" s="155">
        <v>1</v>
      </c>
      <c r="L508" s="94" t="s">
        <v>2709</v>
      </c>
      <c r="M508" s="32" t="str">
        <f t="shared" ref="M508" si="169">IF(D508="危险化学品","五双",IF(D508="标准物资","严控",IF(D508&lt;&gt;"","常规","")))</f>
        <v>常规</v>
      </c>
      <c r="N508" s="152"/>
      <c r="O508" s="135" t="s">
        <v>2742</v>
      </c>
      <c r="P508" s="158">
        <v>2</v>
      </c>
      <c r="Q508" s="152"/>
      <c r="R508" s="152"/>
      <c r="S508" s="152"/>
      <c r="T508" s="155"/>
      <c r="U508" s="32" t="str">
        <f t="shared" ref="U508" si="170">IF(L508="","",L508)</f>
        <v>本</v>
      </c>
      <c r="V508" s="152"/>
      <c r="W508" s="152"/>
      <c r="X508" s="32">
        <f>IF((K508-T508)&lt;=0,"",K508-T508)</f>
        <v>1</v>
      </c>
      <c r="Y508" s="32" t="str">
        <f t="shared" ref="Y508" si="171">IF(L508="","",L508)</f>
        <v>本</v>
      </c>
      <c r="Z508" s="152"/>
      <c r="AA508" s="152"/>
      <c r="AB508" s="152"/>
    </row>
    <row r="509" spans="1:28" s="255" customFormat="1" ht="16.5" customHeight="1" x14ac:dyDescent="0.15">
      <c r="A509" s="201">
        <v>507</v>
      </c>
      <c r="B509" s="251" t="s">
        <v>2748</v>
      </c>
      <c r="C509" s="203" t="s">
        <v>0</v>
      </c>
      <c r="D509" s="204" t="str">
        <f t="shared" ref="D509" si="172">IF(C509="J1","常规化学品",IF(C509="J2","危险化学品",IF(C509="J3","标准物质",IF(C509="J4","玻璃仪器",IF(C509="J5","实验气体",IF(C509="J6","专用物耗",IF(C509="J7","备品配件",IF(C509="J8","专用工具",IF(C509="Z1","劳保物资",IF(C509="Z2","办公耗材",IF(C509="Z3","食品饮料",IF(C509="Z4","特殊物耗",IF(C509="Z5","通用物耗",IF(C509="Z6","通用工具",""))))))))))))))</f>
        <v>专用物耗</v>
      </c>
      <c r="E509" s="251" t="s">
        <v>2776</v>
      </c>
      <c r="F509" s="252" t="s">
        <v>2778</v>
      </c>
      <c r="G509" s="252"/>
      <c r="H509" s="252"/>
      <c r="I509" s="206" t="s">
        <v>2749</v>
      </c>
      <c r="J509" s="203" t="s">
        <v>821</v>
      </c>
      <c r="K509" s="253">
        <v>1</v>
      </c>
      <c r="L509" s="218" t="s">
        <v>2069</v>
      </c>
      <c r="M509" s="204" t="str">
        <f t="shared" ref="M509" si="173">IF(D509="危险化学品","五双",IF(D509="标准物资","严控",IF(D509&lt;&gt;"","常规","")))</f>
        <v>常规</v>
      </c>
      <c r="N509" s="252"/>
      <c r="O509" s="208" t="s">
        <v>2254</v>
      </c>
      <c r="P509" s="254">
        <v>4</v>
      </c>
      <c r="Q509" s="252"/>
      <c r="R509" s="252"/>
      <c r="S509" s="252" t="s">
        <v>2750</v>
      </c>
      <c r="T509" s="253">
        <v>1</v>
      </c>
      <c r="U509" s="204" t="str">
        <f t="shared" ref="U509" si="174">IF(L509="","",L509)</f>
        <v>盒</v>
      </c>
      <c r="V509" s="252"/>
      <c r="W509" s="252"/>
      <c r="X509" s="204" t="str">
        <f>IF((K509-T509)&lt;=0,"",K509-T509)</f>
        <v/>
      </c>
      <c r="Y509" s="204" t="str">
        <f t="shared" ref="Y509" si="175">IF(L509="","",L509)</f>
        <v>盒</v>
      </c>
      <c r="Z509" s="252"/>
      <c r="AA509" s="252"/>
      <c r="AB509" s="252"/>
    </row>
    <row r="510" spans="1:28" s="255" customFormat="1" ht="16.5" customHeight="1" x14ac:dyDescent="0.15">
      <c r="A510" s="201">
        <v>508</v>
      </c>
      <c r="B510" s="251" t="s">
        <v>2775</v>
      </c>
      <c r="C510" s="203" t="s">
        <v>0</v>
      </c>
      <c r="D510" s="204" t="str">
        <f t="shared" ref="D510:D511" si="176">IF(C510="J1","常规化学品",IF(C510="J2","危险化学品",IF(C510="J3","标准物质",IF(C510="J4","玻璃仪器",IF(C510="J5","实验气体",IF(C510="J6","专用物耗",IF(C510="J7","备品配件",IF(C510="J8","专用工具",IF(C510="Z1","劳保物资",IF(C510="Z2","办公耗材",IF(C510="Z3","食品饮料",IF(C510="Z4","特殊物耗",IF(C510="Z5","通用物耗",IF(C510="Z6","通用工具",""))))))))))))))</f>
        <v>专用物耗</v>
      </c>
      <c r="E510" s="251" t="s">
        <v>2777</v>
      </c>
      <c r="F510" s="252" t="s">
        <v>2779</v>
      </c>
      <c r="G510" s="252"/>
      <c r="H510" s="252"/>
      <c r="I510" s="206" t="s">
        <v>2751</v>
      </c>
      <c r="J510" s="203" t="s">
        <v>821</v>
      </c>
      <c r="K510" s="253">
        <v>1</v>
      </c>
      <c r="L510" s="218" t="s">
        <v>2069</v>
      </c>
      <c r="M510" s="204" t="str">
        <f t="shared" ref="M510:M511" si="177">IF(D510="危险化学品","五双",IF(D510="标准物资","严控",IF(D510&lt;&gt;"","常规","")))</f>
        <v>常规</v>
      </c>
      <c r="N510" s="252"/>
      <c r="O510" s="208" t="s">
        <v>2254</v>
      </c>
      <c r="P510" s="254">
        <v>4</v>
      </c>
      <c r="Q510" s="252"/>
      <c r="R510" s="252"/>
      <c r="S510" s="252" t="s">
        <v>2752</v>
      </c>
      <c r="T510" s="253">
        <v>1</v>
      </c>
      <c r="U510" s="204" t="str">
        <f t="shared" ref="U510:U511" si="178">IF(L510="","",L510)</f>
        <v>盒</v>
      </c>
      <c r="V510" s="252"/>
      <c r="W510" s="252"/>
      <c r="X510" s="204" t="str">
        <f>IF((K510-T510)&lt;=0,"",K510-T510)</f>
        <v/>
      </c>
      <c r="Y510" s="204" t="str">
        <f t="shared" ref="Y510:Y511" si="179">IF(L510="","",L510)</f>
        <v>盒</v>
      </c>
      <c r="Z510" s="252"/>
      <c r="AA510" s="252"/>
      <c r="AB510" s="252"/>
    </row>
    <row r="511" spans="1:28" ht="16.5" customHeight="1" x14ac:dyDescent="0.15">
      <c r="A511" s="34">
        <v>509</v>
      </c>
      <c r="B511" s="156" t="s">
        <v>2672</v>
      </c>
      <c r="C511" s="29" t="s">
        <v>0</v>
      </c>
      <c r="D511" s="32" t="str">
        <f t="shared" si="176"/>
        <v>专用物耗</v>
      </c>
      <c r="E511" s="156" t="s">
        <v>2675</v>
      </c>
      <c r="F511" s="152" t="s">
        <v>2676</v>
      </c>
      <c r="G511" s="152"/>
      <c r="H511" s="152"/>
      <c r="I511" s="15" t="s">
        <v>2856</v>
      </c>
      <c r="J511" s="29" t="s">
        <v>821</v>
      </c>
      <c r="K511" s="155">
        <v>8</v>
      </c>
      <c r="L511" s="94" t="s">
        <v>2330</v>
      </c>
      <c r="M511" s="32" t="str">
        <f t="shared" si="177"/>
        <v>常规</v>
      </c>
      <c r="N511" s="152"/>
      <c r="O511" s="136" t="s">
        <v>2260</v>
      </c>
      <c r="P511" s="142" t="s">
        <v>2858</v>
      </c>
      <c r="Q511" s="152"/>
      <c r="R511" s="152"/>
      <c r="S511" s="52"/>
      <c r="T511" s="155"/>
      <c r="U511" s="32" t="str">
        <f t="shared" si="178"/>
        <v>瓶</v>
      </c>
      <c r="V511" s="152"/>
      <c r="W511" s="152"/>
      <c r="X511" s="32">
        <f t="shared" ref="X511" si="180">IF((K511-T511)&lt;=0,"",K511-T511)</f>
        <v>8</v>
      </c>
      <c r="Y511" s="32" t="str">
        <f t="shared" si="179"/>
        <v>瓶</v>
      </c>
      <c r="Z511" s="152"/>
      <c r="AA511" s="152"/>
      <c r="AB511" s="152"/>
    </row>
    <row r="512" spans="1:28" ht="16.5" customHeight="1" x14ac:dyDescent="0.15">
      <c r="A512" s="34">
        <v>510</v>
      </c>
      <c r="B512" s="156" t="s">
        <v>2871</v>
      </c>
      <c r="C512" s="29" t="s">
        <v>0</v>
      </c>
      <c r="D512" s="32" t="str">
        <f t="shared" ref="D512:D513" si="181">IF(C512="J1","常规化学品",IF(C512="J2","危险化学品",IF(C512="J3","标准物质",IF(C512="J4","玻璃仪器",IF(C512="J5","实验气体",IF(C512="J6","专用物耗",IF(C512="J7","备品配件",IF(C512="J8","专用工具",IF(C512="Z1","劳保物资",IF(C512="Z2","办公耗材",IF(C512="Z3","食品饮料",IF(C512="Z4","特殊物耗",IF(C512="Z5","通用物耗",IF(C512="Z6","通用工具",""))))))))))))))</f>
        <v>专用物耗</v>
      </c>
      <c r="E512" s="156" t="s">
        <v>2826</v>
      </c>
      <c r="F512" s="152" t="s">
        <v>2508</v>
      </c>
      <c r="G512" s="152"/>
      <c r="H512" s="152"/>
      <c r="I512" s="15" t="s">
        <v>2883</v>
      </c>
      <c r="J512" s="29" t="s">
        <v>821</v>
      </c>
      <c r="K512" s="155">
        <v>2</v>
      </c>
      <c r="L512" s="94" t="s">
        <v>2069</v>
      </c>
      <c r="M512" s="32" t="str">
        <f t="shared" ref="M512:M513" si="182">IF(D512="危险化学品","五双",IF(D512="标准物资","严控",IF(D512&lt;&gt;"","常规","")))</f>
        <v>常规</v>
      </c>
      <c r="N512" s="152"/>
      <c r="O512" s="136" t="s">
        <v>2260</v>
      </c>
      <c r="P512" s="142">
        <v>2</v>
      </c>
      <c r="Q512" s="152"/>
      <c r="R512" s="152"/>
      <c r="S512" s="52" t="s">
        <v>2907</v>
      </c>
      <c r="T512" s="155">
        <v>1</v>
      </c>
      <c r="U512" s="32" t="str">
        <f t="shared" ref="U512:U513" si="183">IF(L512="","",L512)</f>
        <v>盒</v>
      </c>
      <c r="V512" s="152"/>
      <c r="W512" s="152"/>
      <c r="X512" s="32">
        <f>IF((K512-T512)&lt;=0,"",K512-T512)</f>
        <v>1</v>
      </c>
      <c r="Y512" s="32" t="str">
        <f t="shared" ref="Y512:Y513" si="184">IF(L512="","",L512)</f>
        <v>盒</v>
      </c>
      <c r="Z512" s="152"/>
      <c r="AA512" s="152"/>
      <c r="AB512" s="152"/>
    </row>
    <row r="513" spans="1:28" ht="16.5" customHeight="1" x14ac:dyDescent="0.15">
      <c r="A513" s="34">
        <v>511</v>
      </c>
      <c r="B513" s="156" t="s">
        <v>2871</v>
      </c>
      <c r="C513" s="29" t="s">
        <v>0</v>
      </c>
      <c r="D513" s="32" t="str">
        <f t="shared" si="181"/>
        <v>专用物耗</v>
      </c>
      <c r="E513" s="156" t="s">
        <v>2826</v>
      </c>
      <c r="F513" s="152" t="s">
        <v>902</v>
      </c>
      <c r="G513" s="152"/>
      <c r="H513" s="152"/>
      <c r="I513" s="15" t="s">
        <v>2884</v>
      </c>
      <c r="J513" s="29" t="s">
        <v>821</v>
      </c>
      <c r="K513" s="155">
        <v>2</v>
      </c>
      <c r="L513" s="94" t="s">
        <v>2069</v>
      </c>
      <c r="M513" s="32" t="str">
        <f t="shared" si="182"/>
        <v>常规</v>
      </c>
      <c r="N513" s="152"/>
      <c r="O513" s="136" t="s">
        <v>2260</v>
      </c>
      <c r="P513" s="142">
        <v>2</v>
      </c>
      <c r="Q513" s="152"/>
      <c r="R513" s="152"/>
      <c r="S513" s="52"/>
      <c r="T513" s="155"/>
      <c r="U513" s="32" t="str">
        <f t="shared" si="183"/>
        <v>盒</v>
      </c>
      <c r="V513" s="152"/>
      <c r="W513" s="152"/>
      <c r="X513" s="32">
        <f>IF((K513-T513)&lt;=0,"",K513-T513)</f>
        <v>2</v>
      </c>
      <c r="Y513" s="32" t="str">
        <f t="shared" si="184"/>
        <v>盒</v>
      </c>
      <c r="Z513" s="152"/>
      <c r="AA513" s="152"/>
      <c r="AB513" s="152"/>
    </row>
    <row r="514" spans="1:28" ht="16.5" customHeight="1" x14ac:dyDescent="0.15">
      <c r="A514" s="34">
        <v>511</v>
      </c>
      <c r="B514" s="156" t="s">
        <v>2878</v>
      </c>
      <c r="C514" s="29" t="s">
        <v>0</v>
      </c>
      <c r="D514" s="32" t="str">
        <f t="shared" ref="D514:D515" si="185">IF(C514="J1","常规化学品",IF(C514="J2","危险化学品",IF(C514="J3","标准物质",IF(C514="J4","玻璃仪器",IF(C514="J5","实验气体",IF(C514="J6","专用物耗",IF(C514="J7","备品配件",IF(C514="J8","专用工具",IF(C514="Z1","劳保物资",IF(C514="Z2","办公耗材",IF(C514="Z3","食品饮料",IF(C514="Z4","特殊物耗",IF(C514="Z5","通用物耗",IF(C514="Z6","通用工具",""))))))))))))))</f>
        <v>专用物耗</v>
      </c>
      <c r="E514" s="156" t="s">
        <v>2879</v>
      </c>
      <c r="F514" s="152" t="s">
        <v>2880</v>
      </c>
      <c r="G514" s="152"/>
      <c r="H514" s="152"/>
      <c r="I514" s="15" t="s">
        <v>2885</v>
      </c>
      <c r="J514" s="29" t="s">
        <v>821</v>
      </c>
      <c r="K514" s="155">
        <v>1</v>
      </c>
      <c r="L514" s="94" t="s">
        <v>2888</v>
      </c>
      <c r="M514" s="32" t="str">
        <f t="shared" ref="M514:M515" si="186">IF(D514="危险化学品","五双",IF(D514="标准物资","严控",IF(D514&lt;&gt;"","常规","")))</f>
        <v>常规</v>
      </c>
      <c r="N514" s="152"/>
      <c r="O514" s="136" t="s">
        <v>2245</v>
      </c>
      <c r="P514" s="142">
        <v>5</v>
      </c>
      <c r="Q514" s="152"/>
      <c r="R514" s="152"/>
      <c r="S514" s="52"/>
      <c r="T514" s="155"/>
      <c r="U514" s="32" t="str">
        <f t="shared" ref="U514:U515" si="187">IF(L514="","",L514)</f>
        <v>捆</v>
      </c>
      <c r="V514" s="152"/>
      <c r="W514" s="152"/>
      <c r="X514" s="32">
        <f t="shared" ref="X514:X515" si="188">IF((K514-T514)&lt;=0,"",K514-T514)</f>
        <v>1</v>
      </c>
      <c r="Y514" s="32" t="str">
        <f t="shared" ref="Y514:Y515" si="189">IF(L514="","",L514)</f>
        <v>捆</v>
      </c>
      <c r="Z514" s="152"/>
      <c r="AA514" s="152"/>
      <c r="AB514" s="152" t="s">
        <v>2891</v>
      </c>
    </row>
    <row r="515" spans="1:28" ht="16.5" customHeight="1" x14ac:dyDescent="0.15">
      <c r="A515" s="34">
        <v>511</v>
      </c>
      <c r="B515" s="156" t="s">
        <v>2674</v>
      </c>
      <c r="C515" s="29" t="s">
        <v>0</v>
      </c>
      <c r="D515" s="32" t="str">
        <f t="shared" si="185"/>
        <v>专用物耗</v>
      </c>
      <c r="E515" s="156" t="s">
        <v>3100</v>
      </c>
      <c r="F515" s="152" t="s">
        <v>2881</v>
      </c>
      <c r="G515" s="152"/>
      <c r="H515" s="152"/>
      <c r="I515" s="15" t="s">
        <v>2882</v>
      </c>
      <c r="J515" s="29" t="s">
        <v>821</v>
      </c>
      <c r="K515" s="155">
        <v>3</v>
      </c>
      <c r="L515" s="94" t="s">
        <v>2889</v>
      </c>
      <c r="M515" s="32" t="str">
        <f t="shared" si="186"/>
        <v>常规</v>
      </c>
      <c r="N515" s="152"/>
      <c r="O515" s="136" t="s">
        <v>2244</v>
      </c>
      <c r="P515" s="142" t="s">
        <v>2890</v>
      </c>
      <c r="Q515" s="152"/>
      <c r="R515" s="152"/>
      <c r="S515" s="52"/>
      <c r="T515" s="155"/>
      <c r="U515" s="32" t="str">
        <f t="shared" si="187"/>
        <v>袋</v>
      </c>
      <c r="V515" s="152"/>
      <c r="W515" s="152"/>
      <c r="X515" s="32">
        <f t="shared" si="188"/>
        <v>3</v>
      </c>
      <c r="Y515" s="32" t="str">
        <f t="shared" si="189"/>
        <v>袋</v>
      </c>
      <c r="Z515" s="152"/>
      <c r="AA515" s="152"/>
      <c r="AB515" s="152" t="s">
        <v>2891</v>
      </c>
    </row>
    <row r="516" spans="1:28" ht="16.5" customHeight="1" x14ac:dyDescent="0.15">
      <c r="A516" s="34">
        <v>511</v>
      </c>
      <c r="B516" s="156" t="s">
        <v>2674</v>
      </c>
      <c r="C516" s="29" t="s">
        <v>0</v>
      </c>
      <c r="D516" s="32" t="str">
        <f t="shared" ref="D516:D518" si="190">IF(C516="J1","常规化学品",IF(C516="J2","危险化学品",IF(C516="J3","标准物质",IF(C516="J4","玻璃仪器",IF(C516="J5","实验气体",IF(C516="J6","专用物耗",IF(C516="J7","备品配件",IF(C516="J8","专用工具",IF(C516="Z1","劳保物资",IF(C516="Z2","办公耗材",IF(C516="Z3","食品饮料",IF(C516="Z4","特殊物耗",IF(C516="Z5","通用物耗",IF(C516="Z6","通用工具",""))))))))))))))</f>
        <v>专用物耗</v>
      </c>
      <c r="E516" s="156" t="s">
        <v>3100</v>
      </c>
      <c r="F516" s="152" t="s">
        <v>1028</v>
      </c>
      <c r="G516" s="152"/>
      <c r="H516" s="152"/>
      <c r="I516" s="15" t="s">
        <v>2886</v>
      </c>
      <c r="J516" s="29" t="s">
        <v>821</v>
      </c>
      <c r="K516" s="155">
        <v>2</v>
      </c>
      <c r="L516" s="94" t="s">
        <v>2889</v>
      </c>
      <c r="M516" s="32" t="str">
        <f t="shared" ref="M516:M518" si="191">IF(D516="危险化学品","五双",IF(D516="标准物资","严控",IF(D516&lt;&gt;"","常规","")))</f>
        <v>常规</v>
      </c>
      <c r="N516" s="152"/>
      <c r="O516" s="136" t="s">
        <v>2244</v>
      </c>
      <c r="P516" s="142" t="s">
        <v>2890</v>
      </c>
      <c r="Q516" s="152"/>
      <c r="R516" s="152"/>
      <c r="S516" s="52"/>
      <c r="T516" s="155"/>
      <c r="U516" s="32" t="str">
        <f t="shared" ref="U516:U518" si="192">IF(L516="","",L516)</f>
        <v>袋</v>
      </c>
      <c r="V516" s="152"/>
      <c r="W516" s="152"/>
      <c r="X516" s="32">
        <f t="shared" ref="X516:X518" si="193">IF((K516-T516)&lt;=0,"",K516-T516)</f>
        <v>2</v>
      </c>
      <c r="Y516" s="32" t="str">
        <f t="shared" ref="Y516:Y518" si="194">IF(L516="","",L516)</f>
        <v>袋</v>
      </c>
      <c r="Z516" s="152"/>
      <c r="AA516" s="152"/>
      <c r="AB516" s="152" t="s">
        <v>2891</v>
      </c>
    </row>
    <row r="517" spans="1:28" s="186" customFormat="1" ht="16.5" customHeight="1" x14ac:dyDescent="0.15">
      <c r="A517" s="163">
        <v>511</v>
      </c>
      <c r="B517" s="261" t="s">
        <v>2674</v>
      </c>
      <c r="C517" s="165" t="s">
        <v>0</v>
      </c>
      <c r="D517" s="166" t="str">
        <f t="shared" si="190"/>
        <v>专用物耗</v>
      </c>
      <c r="E517" s="261" t="s">
        <v>3100</v>
      </c>
      <c r="F517" s="182" t="s">
        <v>2754</v>
      </c>
      <c r="G517" s="182"/>
      <c r="H517" s="182"/>
      <c r="I517" s="167" t="s">
        <v>2887</v>
      </c>
      <c r="J517" s="165" t="s">
        <v>821</v>
      </c>
      <c r="K517" s="183">
        <v>1</v>
      </c>
      <c r="L517" s="244" t="s">
        <v>2889</v>
      </c>
      <c r="M517" s="166" t="str">
        <f t="shared" si="191"/>
        <v>常规</v>
      </c>
      <c r="N517" s="182"/>
      <c r="O517" s="180" t="s">
        <v>2244</v>
      </c>
      <c r="P517" s="307" t="s">
        <v>2890</v>
      </c>
      <c r="Q517" s="182"/>
      <c r="R517" s="182"/>
      <c r="S517" s="176" t="s">
        <v>3001</v>
      </c>
      <c r="T517" s="183">
        <v>1</v>
      </c>
      <c r="U517" s="166" t="str">
        <f t="shared" si="192"/>
        <v>袋</v>
      </c>
      <c r="V517" s="182"/>
      <c r="W517" s="182"/>
      <c r="X517" s="166" t="str">
        <f t="shared" si="193"/>
        <v/>
      </c>
      <c r="Y517" s="166" t="str">
        <f t="shared" si="194"/>
        <v>袋</v>
      </c>
      <c r="Z517" s="182"/>
      <c r="AA517" s="182"/>
      <c r="AB517" s="182" t="s">
        <v>2891</v>
      </c>
    </row>
    <row r="518" spans="1:28" ht="16.5" customHeight="1" x14ac:dyDescent="0.15">
      <c r="A518" s="264" t="s">
        <v>2917</v>
      </c>
      <c r="B518" s="265" t="s">
        <v>2913</v>
      </c>
      <c r="C518" s="203" t="s">
        <v>0</v>
      </c>
      <c r="D518" s="204" t="str">
        <f t="shared" si="190"/>
        <v>专用物耗</v>
      </c>
      <c r="E518" s="257" t="s">
        <v>2914</v>
      </c>
      <c r="F518" s="267" t="s">
        <v>2923</v>
      </c>
      <c r="G518" s="266"/>
      <c r="H518" s="252"/>
      <c r="I518" s="206" t="s">
        <v>2915</v>
      </c>
      <c r="J518" s="203" t="s">
        <v>821</v>
      </c>
      <c r="K518" s="267">
        <v>3</v>
      </c>
      <c r="L518" s="268" t="s">
        <v>2916</v>
      </c>
      <c r="M518" s="204" t="str">
        <f t="shared" si="191"/>
        <v>常规</v>
      </c>
      <c r="N518" s="252"/>
      <c r="O518" s="254" t="s">
        <v>2918</v>
      </c>
      <c r="P518" s="269" t="s">
        <v>2919</v>
      </c>
      <c r="Q518" s="254"/>
      <c r="R518" s="252"/>
      <c r="S518" s="219" t="s">
        <v>2920</v>
      </c>
      <c r="T518" s="252">
        <v>3</v>
      </c>
      <c r="U518" s="270" t="str">
        <f t="shared" si="192"/>
        <v>盒</v>
      </c>
      <c r="V518" s="254"/>
      <c r="W518" s="252"/>
      <c r="X518" s="271" t="str">
        <f t="shared" si="193"/>
        <v/>
      </c>
      <c r="Y518" s="270" t="str">
        <f t="shared" si="194"/>
        <v>盒</v>
      </c>
      <c r="Z518" s="254"/>
      <c r="AA518" s="252"/>
      <c r="AB518" s="272"/>
    </row>
    <row r="519" spans="1:28" ht="16.5" customHeight="1" x14ac:dyDescent="0.15">
      <c r="A519" s="273" t="s">
        <v>2929</v>
      </c>
      <c r="B519" s="274" t="s">
        <v>2924</v>
      </c>
      <c r="C519" s="29" t="s">
        <v>0</v>
      </c>
      <c r="D519" s="32" t="str">
        <f t="shared" ref="D519" si="195">IF(C519="J1","常规化学品",IF(C519="J2","危险化学品",IF(C519="J3","标准物质",IF(C519="J4","玻璃仪器",IF(C519="J5","实验气体",IF(C519="J6","专用物耗",IF(C519="J7","备品配件",IF(C519="J8","专用工具",IF(C519="Z1","劳保物资",IF(C519="Z2","办公耗材",IF(C519="Z3","食品饮料",IF(C519="Z4","特殊物耗",IF(C519="Z5","通用物耗",IF(C519="Z6","通用工具",""))))))))))))))</f>
        <v>专用物耗</v>
      </c>
      <c r="E519" s="277" t="s">
        <v>2926</v>
      </c>
      <c r="F519" s="275"/>
      <c r="G519" s="276"/>
      <c r="H519" s="152"/>
      <c r="I519" s="15" t="s">
        <v>2925</v>
      </c>
      <c r="J519" s="29" t="s">
        <v>2570</v>
      </c>
      <c r="K519" s="275">
        <v>1</v>
      </c>
      <c r="L519" s="278" t="s">
        <v>2928</v>
      </c>
      <c r="M519" s="32" t="str">
        <f t="shared" ref="M519" si="196">IF(D519="危险化学品","五双",IF(D519="标准物资","严控",IF(D519&lt;&gt;"","常规","")))</f>
        <v>常规</v>
      </c>
      <c r="N519" s="152"/>
      <c r="O519" s="135" t="s">
        <v>2245</v>
      </c>
      <c r="P519" s="158">
        <v>4</v>
      </c>
      <c r="Q519" s="158"/>
      <c r="R519" s="152"/>
      <c r="S519" s="137"/>
      <c r="T519" s="152"/>
      <c r="U519" s="279" t="str">
        <f t="shared" ref="U519" si="197">IF(L519="","",L519)</f>
        <v>片</v>
      </c>
      <c r="V519" s="158"/>
      <c r="W519" s="152"/>
      <c r="X519" s="280">
        <f t="shared" ref="X519" si="198">IF((K519-T519)&lt;=0,"",K519-T519)</f>
        <v>1</v>
      </c>
      <c r="Y519" s="279" t="str">
        <f t="shared" ref="Y519" si="199">IF(L519="","",L519)</f>
        <v>片</v>
      </c>
      <c r="Z519" s="158"/>
      <c r="AA519" s="152"/>
      <c r="AB519" s="52" t="s">
        <v>2927</v>
      </c>
    </row>
    <row r="520" spans="1:28" s="186" customFormat="1" ht="16.5" customHeight="1" x14ac:dyDescent="0.15">
      <c r="A520" s="292" t="s">
        <v>2930</v>
      </c>
      <c r="B520" s="321" t="s">
        <v>2931</v>
      </c>
      <c r="C520" s="165" t="s">
        <v>0</v>
      </c>
      <c r="D520" s="166" t="str">
        <f t="shared" ref="D520" si="200">IF(C520="J1","常规化学品",IF(C520="J2","危险化学品",IF(C520="J3","标准物质",IF(C520="J4","玻璃仪器",IF(C520="J5","实验气体",IF(C520="J6","专用物耗",IF(C520="J7","备品配件",IF(C520="J8","专用工具",IF(C520="Z1","劳保物资",IF(C520="Z2","办公耗材",IF(C520="Z3","食品饮料",IF(C520="Z4","特殊物耗",IF(C520="Z5","通用物耗",IF(C520="Z6","通用工具",""))))))))))))))</f>
        <v>专用物耗</v>
      </c>
      <c r="E520" s="322"/>
      <c r="F520" s="295" t="s">
        <v>2937</v>
      </c>
      <c r="G520" s="296"/>
      <c r="H520" s="182"/>
      <c r="I520" s="167" t="s">
        <v>2932</v>
      </c>
      <c r="J520" s="165" t="s">
        <v>821</v>
      </c>
      <c r="K520" s="295">
        <v>1</v>
      </c>
      <c r="L520" s="297" t="s">
        <v>2933</v>
      </c>
      <c r="M520" s="166" t="str">
        <f t="shared" ref="M520" si="201">IF(D520="危险化学品","五双",IF(D520="标准物资","严控",IF(D520&lt;&gt;"","常规","")))</f>
        <v>常规</v>
      </c>
      <c r="N520" s="182"/>
      <c r="O520" s="169" t="s">
        <v>2943</v>
      </c>
      <c r="P520" s="167"/>
      <c r="Q520" s="307" t="s">
        <v>2016</v>
      </c>
      <c r="R520" s="182"/>
      <c r="S520" s="169" t="s">
        <v>3079</v>
      </c>
      <c r="T520" s="182">
        <v>1</v>
      </c>
      <c r="U520" s="299" t="str">
        <f t="shared" ref="U520" si="202">IF(L520="","",L520)</f>
        <v>个</v>
      </c>
      <c r="V520" s="184"/>
      <c r="W520" s="182"/>
      <c r="X520" s="300" t="str">
        <f t="shared" ref="X520" si="203">IF((K520-T520)&lt;=0,"",K520-T520)</f>
        <v/>
      </c>
      <c r="Y520" s="299" t="str">
        <f t="shared" ref="Y520" si="204">IF(L520="","",L520)</f>
        <v>个</v>
      </c>
      <c r="Z520" s="184"/>
      <c r="AA520" s="182"/>
      <c r="AB520" s="247"/>
    </row>
    <row r="521" spans="1:28" s="186" customFormat="1" ht="16.5" customHeight="1" x14ac:dyDescent="0.15">
      <c r="A521" s="292" t="s">
        <v>2934</v>
      </c>
      <c r="B521" s="321" t="s">
        <v>2935</v>
      </c>
      <c r="C521" s="165" t="s">
        <v>0</v>
      </c>
      <c r="D521" s="166" t="str">
        <f t="shared" ref="D521:D522" si="205">IF(C521="J1","常规化学品",IF(C521="J2","危险化学品",IF(C521="J3","标准物质",IF(C521="J4","玻璃仪器",IF(C521="J5","实验气体",IF(C521="J6","专用物耗",IF(C521="J7","备品配件",IF(C521="J8","专用工具",IF(C521="Z1","劳保物资",IF(C521="Z2","办公耗材",IF(C521="Z3","食品饮料",IF(C521="Z4","特殊物耗",IF(C521="Z5","通用物耗",IF(C521="Z6","通用工具",""))))))))))))))</f>
        <v>专用物耗</v>
      </c>
      <c r="E521" s="322"/>
      <c r="F521" s="295" t="s">
        <v>2937</v>
      </c>
      <c r="G521" s="296"/>
      <c r="H521" s="182"/>
      <c r="I521" s="167" t="s">
        <v>2936</v>
      </c>
      <c r="J521" s="165" t="s">
        <v>821</v>
      </c>
      <c r="K521" s="295">
        <v>10</v>
      </c>
      <c r="L521" s="297" t="s">
        <v>2933</v>
      </c>
      <c r="M521" s="166" t="str">
        <f t="shared" ref="M521:M522" si="206">IF(D521="危险化学品","五双",IF(D521="标准物资","严控",IF(D521&lt;&gt;"","常规","")))</f>
        <v>常规</v>
      </c>
      <c r="N521" s="182"/>
      <c r="O521" s="169" t="s">
        <v>2944</v>
      </c>
      <c r="P521" s="167"/>
      <c r="Q521" s="307" t="s">
        <v>2016</v>
      </c>
      <c r="R521" s="182"/>
      <c r="S521" s="169" t="s">
        <v>3080</v>
      </c>
      <c r="T521" s="182">
        <v>10</v>
      </c>
      <c r="U521" s="299" t="str">
        <f t="shared" ref="U521:U522" si="207">IF(L521="","",L521)</f>
        <v>个</v>
      </c>
      <c r="V521" s="184"/>
      <c r="W521" s="182"/>
      <c r="X521" s="300" t="str">
        <f t="shared" ref="X521:X522" si="208">IF((K521-T521)&lt;=0,"",K521-T521)</f>
        <v/>
      </c>
      <c r="Y521" s="299" t="str">
        <f t="shared" ref="Y521:Y522" si="209">IF(L521="","",L521)</f>
        <v>个</v>
      </c>
      <c r="Z521" s="184"/>
      <c r="AA521" s="182"/>
      <c r="AB521" s="247"/>
    </row>
    <row r="522" spans="1:28" s="175" customFormat="1" ht="19.899999999999999" customHeight="1" x14ac:dyDescent="0.15">
      <c r="A522" s="163">
        <v>516</v>
      </c>
      <c r="B522" s="176" t="s">
        <v>2938</v>
      </c>
      <c r="C522" s="165" t="s">
        <v>0</v>
      </c>
      <c r="D522" s="166" t="str">
        <f t="shared" si="205"/>
        <v>专用物耗</v>
      </c>
      <c r="E522" s="167"/>
      <c r="F522" s="176" t="s">
        <v>1437</v>
      </c>
      <c r="G522" s="167"/>
      <c r="H522" s="167"/>
      <c r="I522" s="167" t="s">
        <v>2939</v>
      </c>
      <c r="J522" s="165" t="s">
        <v>821</v>
      </c>
      <c r="K522" s="167">
        <v>15</v>
      </c>
      <c r="L522" s="165" t="s">
        <v>884</v>
      </c>
      <c r="M522" s="166" t="str">
        <f t="shared" si="206"/>
        <v>常规</v>
      </c>
      <c r="N522" s="167"/>
      <c r="O522" s="169" t="s">
        <v>2945</v>
      </c>
      <c r="P522" s="170"/>
      <c r="Q522" s="307" t="s">
        <v>2946</v>
      </c>
      <c r="R522" s="167"/>
      <c r="S522" s="169" t="s">
        <v>3081</v>
      </c>
      <c r="T522" s="167">
        <v>15</v>
      </c>
      <c r="U522" s="166" t="str">
        <f t="shared" si="207"/>
        <v>m</v>
      </c>
      <c r="V522" s="167"/>
      <c r="W522" s="167"/>
      <c r="X522" s="166" t="str">
        <f t="shared" si="208"/>
        <v/>
      </c>
      <c r="Y522" s="166" t="str">
        <f t="shared" si="209"/>
        <v>m</v>
      </c>
      <c r="Z522" s="167"/>
      <c r="AA522" s="167"/>
      <c r="AB522" s="200" t="s">
        <v>2940</v>
      </c>
    </row>
    <row r="523" spans="1:28" s="46" customFormat="1" ht="19.899999999999999" customHeight="1" x14ac:dyDescent="0.15">
      <c r="A523" s="34">
        <v>517</v>
      </c>
      <c r="B523" s="91" t="s">
        <v>2950</v>
      </c>
      <c r="C523" s="29" t="s">
        <v>0</v>
      </c>
      <c r="D523" s="32" t="str">
        <f t="shared" ref="D523:D524" si="210">IF(C523="J1","常规化学品",IF(C523="J2","危险化学品",IF(C523="J3","标准物质",IF(C523="J4","玻璃仪器",IF(C523="J5","实验气体",IF(C523="J6","专用物耗",IF(C523="J7","备品配件",IF(C523="J8","专用工具",IF(C523="Z1","劳保物资",IF(C523="Z2","办公耗材",IF(C523="Z3","食品饮料",IF(C523="Z4","特殊物耗",IF(C523="Z5","通用物耗",IF(C523="Z6","通用工具",""))))))))))))))</f>
        <v>专用物耗</v>
      </c>
      <c r="E523" s="15"/>
      <c r="F523" s="91" t="s">
        <v>2948</v>
      </c>
      <c r="G523" s="15"/>
      <c r="H523" s="15"/>
      <c r="I523" s="15" t="s">
        <v>2947</v>
      </c>
      <c r="J523" s="29" t="s">
        <v>821</v>
      </c>
      <c r="K523" s="15">
        <v>3</v>
      </c>
      <c r="L523" s="94" t="s">
        <v>2942</v>
      </c>
      <c r="M523" s="32" t="str">
        <f t="shared" ref="M523:M524" si="211">IF(D523="危险化学品","五双",IF(D523="标准物资","严控",IF(D523&lt;&gt;"","常规","")))</f>
        <v>常规</v>
      </c>
      <c r="N523" s="15"/>
      <c r="O523" s="135" t="s">
        <v>2245</v>
      </c>
      <c r="P523" s="158">
        <v>4</v>
      </c>
      <c r="Q523" s="137"/>
      <c r="R523" s="15"/>
      <c r="S523" s="15"/>
      <c r="T523" s="15"/>
      <c r="U523" s="32" t="str">
        <f t="shared" ref="U523:U524" si="212">IF(L523="","",L523)</f>
        <v>个</v>
      </c>
      <c r="V523" s="15"/>
      <c r="W523" s="15"/>
      <c r="X523" s="32">
        <f t="shared" ref="X523:X524" si="213">IF((K523-T523)&lt;=0,"",K523-T523)</f>
        <v>3</v>
      </c>
      <c r="Y523" s="32" t="str">
        <f t="shared" ref="Y523:Y524" si="214">IF(L523="","",L523)</f>
        <v>个</v>
      </c>
      <c r="Z523" s="15"/>
      <c r="AA523" s="15"/>
      <c r="AB523" s="93"/>
    </row>
    <row r="524" spans="1:28" s="186" customFormat="1" ht="16.5" customHeight="1" x14ac:dyDescent="0.15">
      <c r="A524" s="292" t="s">
        <v>2968</v>
      </c>
      <c r="B524" s="293" t="s">
        <v>2913</v>
      </c>
      <c r="C524" s="165" t="s">
        <v>0</v>
      </c>
      <c r="D524" s="166" t="str">
        <f t="shared" si="210"/>
        <v>专用物耗</v>
      </c>
      <c r="E524" s="294" t="s">
        <v>2914</v>
      </c>
      <c r="F524" s="295" t="s">
        <v>2923</v>
      </c>
      <c r="G524" s="296"/>
      <c r="H524" s="182"/>
      <c r="I524" s="167" t="s">
        <v>2969</v>
      </c>
      <c r="J524" s="165" t="s">
        <v>821</v>
      </c>
      <c r="K524" s="295">
        <v>3</v>
      </c>
      <c r="L524" s="297" t="s">
        <v>2916</v>
      </c>
      <c r="M524" s="166" t="str">
        <f t="shared" si="211"/>
        <v>常规</v>
      </c>
      <c r="N524" s="182"/>
      <c r="O524" s="184" t="s">
        <v>2918</v>
      </c>
      <c r="P524" s="298" t="s">
        <v>2919</v>
      </c>
      <c r="Q524" s="184"/>
      <c r="R524" s="182"/>
      <c r="S524" s="169" t="s">
        <v>2970</v>
      </c>
      <c r="T524" s="182">
        <v>3</v>
      </c>
      <c r="U524" s="299" t="str">
        <f t="shared" si="212"/>
        <v>盒</v>
      </c>
      <c r="V524" s="184"/>
      <c r="W524" s="182"/>
      <c r="X524" s="300" t="str">
        <f t="shared" si="213"/>
        <v/>
      </c>
      <c r="Y524" s="299" t="str">
        <f t="shared" si="214"/>
        <v>盒</v>
      </c>
      <c r="Z524" s="184"/>
      <c r="AA524" s="182"/>
      <c r="AB524" s="176"/>
    </row>
    <row r="525" spans="1:28" ht="16.5" customHeight="1" x14ac:dyDescent="0.15">
      <c r="A525" s="273" t="s">
        <v>3002</v>
      </c>
      <c r="B525" s="281" t="s">
        <v>3012</v>
      </c>
      <c r="C525" s="29" t="s">
        <v>0</v>
      </c>
      <c r="D525" s="32" t="str">
        <f t="shared" ref="D525" si="215">IF(C525="J1","常规化学品",IF(C525="J2","危险化学品",IF(C525="J3","标准物质",IF(C525="J4","玻璃仪器",IF(C525="J5","实验气体",IF(C525="J6","专用物耗",IF(C525="J7","备品配件",IF(C525="J8","专用工具",IF(C525="Z1","劳保物资",IF(C525="Z2","办公耗材",IF(C525="Z3","食品饮料",IF(C525="Z4","特殊物耗",IF(C525="Z5","通用物耗",IF(C525="Z6","通用工具",""))))))))))))))</f>
        <v>专用物耗</v>
      </c>
      <c r="E525" s="277" t="s">
        <v>3084</v>
      </c>
      <c r="F525" s="155" t="s">
        <v>3085</v>
      </c>
      <c r="G525" s="276"/>
      <c r="H525" s="152"/>
      <c r="I525" s="15" t="s">
        <v>3003</v>
      </c>
      <c r="J525" s="29" t="s">
        <v>2595</v>
      </c>
      <c r="K525" s="275">
        <v>2</v>
      </c>
      <c r="L525" s="278" t="s">
        <v>2163</v>
      </c>
      <c r="M525" s="32" t="str">
        <f t="shared" ref="M525" si="216">IF(D525="危险化学品","五双",IF(D525="标准物资","严控",IF(D525&lt;&gt;"","常规","")))</f>
        <v>常规</v>
      </c>
      <c r="N525" s="152"/>
      <c r="O525" s="158" t="s">
        <v>2258</v>
      </c>
      <c r="P525" s="308" t="s">
        <v>3004</v>
      </c>
      <c r="Q525" s="158"/>
      <c r="R525" s="152"/>
      <c r="S525" s="137"/>
      <c r="T525" s="152"/>
      <c r="U525" s="279" t="str">
        <f t="shared" ref="U525" si="217">IF(L525="","",L525)</f>
        <v>个</v>
      </c>
      <c r="V525" s="158"/>
      <c r="W525" s="152"/>
      <c r="X525" s="280">
        <f t="shared" ref="X525" si="218">IF((K525-T525)&lt;=0,"",K525-T525)</f>
        <v>2</v>
      </c>
      <c r="Y525" s="279" t="str">
        <f t="shared" ref="Y525" si="219">IF(L525="","",L525)</f>
        <v>个</v>
      </c>
      <c r="Z525" s="158"/>
      <c r="AA525" s="152"/>
      <c r="AB525" s="52"/>
    </row>
  </sheetData>
  <sheetProtection formatCells="0" insertRows="0" deleteRows="0" autoFilter="0"/>
  <mergeCells count="16">
    <mergeCell ref="M2:M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  <mergeCell ref="R2:R3"/>
    <mergeCell ref="W2:W3"/>
    <mergeCell ref="AA2:AA3"/>
    <mergeCell ref="AB2:AB3"/>
    <mergeCell ref="N2:N3"/>
  </mergeCells>
  <phoneticPr fontId="36" type="noConversion"/>
  <dataValidations count="3">
    <dataValidation type="list" allowBlank="1" showInputMessage="1" showErrorMessage="1" sqref="C4:C447" xr:uid="{00000000-0002-0000-0100-000000000000}">
      <formula1>"J1,J2,J3,J4,J5,J6,J7,J8,Z1,Z2,Z3,Z4,Z5,Z6"</formula1>
    </dataValidation>
    <dataValidation type="list" allowBlank="1" showInputMessage="1" showErrorMessage="1" sqref="J4:J447" xr:uid="{00000000-0002-0000-0100-000001000000}">
      <formula1>"购置,返还,其它"</formula1>
    </dataValidation>
    <dataValidation type="list" allowBlank="1" showInputMessage="1" showErrorMessage="1" sqref="L4:L447" xr:uid="{00000000-0002-0000-0100-000002000000}">
      <formula1>"μg,mg,g,kg,t,mL,L,mm,cm,m,Pa,kPa,MPa,%,个,支,只,顶,扇,件,粒,颗,部,台,本,张,把,桶,瓶,罐,壶,口,框,盒,包,箱,堆,卷,袋,叠,套,双,副,待定"</formula1>
    </dataValidation>
  </dataValidations>
  <printOptions horizontalCentered="1"/>
  <pageMargins left="0.19685039370078741" right="0.19685039370078741" top="0.59055118110236227" bottom="0.59055118110236227" header="0.19685039370078741" footer="0.19685039370078741"/>
  <pageSetup paperSize="9" scale="90" orientation="landscape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5"/>
  <sheetViews>
    <sheetView showZeros="0" zoomScaleNormal="100" workbookViewId="0">
      <pane xSplit="2" ySplit="3" topLeftCell="F10" activePane="bottomRight" state="frozen"/>
      <selection pane="topRight" activeCell="C1" sqref="C1"/>
      <selection pane="bottomLeft" activeCell="A4" sqref="A4"/>
      <selection pane="bottomRight" activeCell="S42" sqref="S42"/>
    </sheetView>
  </sheetViews>
  <sheetFormatPr defaultColWidth="8.875" defaultRowHeight="16.5" customHeight="1" outlineLevelCol="1" x14ac:dyDescent="0.15"/>
  <cols>
    <col min="1" max="1" width="5.625" style="10" customWidth="1"/>
    <col min="2" max="2" width="25.625" style="10" customWidth="1" outlineLevel="1"/>
    <col min="3" max="3" width="5.5" style="31" customWidth="1" outlineLevel="1"/>
    <col min="4" max="4" width="9.375" style="33" bestFit="1" customWidth="1" outlineLevel="1"/>
    <col min="5" max="6" width="25.625" style="10" customWidth="1" outlineLevel="1"/>
    <col min="7" max="7" width="9.75" style="11" customWidth="1" outlineLevel="1"/>
    <col min="8" max="8" width="2.625" style="11" customWidth="1"/>
    <col min="9" max="9" width="17.875" style="54" customWidth="1" outlineLevel="1"/>
    <col min="10" max="10" width="5.625" style="30" customWidth="1" outlineLevel="1"/>
    <col min="11" max="11" width="5.625" style="11" customWidth="1" outlineLevel="1"/>
    <col min="12" max="12" width="5.625" style="30" customWidth="1" outlineLevel="1"/>
    <col min="13" max="13" width="5.625" style="33" customWidth="1" outlineLevel="1"/>
    <col min="14" max="14" width="9.75" style="11" customWidth="1" outlineLevel="1"/>
    <col min="15" max="16" width="9.625" style="10" customWidth="1" outlineLevel="1"/>
    <col min="17" max="17" width="9.75" style="10" customWidth="1" outlineLevel="1"/>
    <col min="18" max="18" width="2.625" style="11" customWidth="1"/>
    <col min="19" max="19" width="17.875" style="54" customWidth="1" outlineLevel="1"/>
    <col min="20" max="20" width="5.625" style="47" customWidth="1" outlineLevel="1"/>
    <col min="21" max="21" width="5.625" style="33" customWidth="1" outlineLevel="1"/>
    <col min="22" max="22" width="9.75" style="10" customWidth="1" outlineLevel="1"/>
    <col min="23" max="23" width="2.625" style="11" customWidth="1"/>
    <col min="24" max="25" width="5.625" style="33" customWidth="1" outlineLevel="1"/>
    <col min="26" max="26" width="9.75" style="10" customWidth="1" outlineLevel="1"/>
    <col min="27" max="27" width="2.625" style="11" customWidth="1"/>
    <col min="28" max="28" width="9.75" style="11" customWidth="1"/>
    <col min="29" max="16384" width="8.875" style="11"/>
  </cols>
  <sheetData>
    <row r="1" spans="1:28" s="71" customFormat="1" ht="30" customHeight="1" x14ac:dyDescent="0.15">
      <c r="A1" s="71" t="s">
        <v>1568</v>
      </c>
      <c r="C1" s="80"/>
      <c r="D1" s="81"/>
      <c r="I1" s="51"/>
      <c r="J1" s="82"/>
      <c r="L1" s="82"/>
      <c r="M1" s="81"/>
      <c r="O1" s="49"/>
      <c r="P1" s="49"/>
      <c r="Q1" s="49"/>
      <c r="S1" s="51"/>
      <c r="T1" s="83"/>
      <c r="U1" s="81"/>
      <c r="V1" s="49"/>
      <c r="X1" s="81"/>
      <c r="Y1" s="81"/>
      <c r="Z1" s="49"/>
      <c r="AA1" s="84" t="s">
        <v>1533</v>
      </c>
      <c r="AB1" s="85">
        <f>COUNTA(A4:A1476)</f>
        <v>68</v>
      </c>
    </row>
    <row r="2" spans="1:28" s="71" customFormat="1" ht="19.899999999999999" customHeight="1" x14ac:dyDescent="0.15">
      <c r="A2" s="328" t="s">
        <v>1506</v>
      </c>
      <c r="B2" s="328" t="s">
        <v>1507</v>
      </c>
      <c r="C2" s="62" t="s">
        <v>1508</v>
      </c>
      <c r="D2" s="63"/>
      <c r="E2" s="328" t="s">
        <v>1509</v>
      </c>
      <c r="F2" s="328" t="s">
        <v>1510</v>
      </c>
      <c r="G2" s="344" t="s">
        <v>1560</v>
      </c>
      <c r="H2" s="332" t="s">
        <v>1512</v>
      </c>
      <c r="I2" s="337" t="s">
        <v>1239</v>
      </c>
      <c r="J2" s="333" t="s">
        <v>1513</v>
      </c>
      <c r="K2" s="338" t="s">
        <v>1514</v>
      </c>
      <c r="L2" s="340" t="s">
        <v>1515</v>
      </c>
      <c r="M2" s="342" t="s">
        <v>1516</v>
      </c>
      <c r="N2" s="344" t="s">
        <v>1561</v>
      </c>
      <c r="O2" s="55" t="s">
        <v>1517</v>
      </c>
      <c r="P2" s="64"/>
      <c r="Q2" s="65"/>
      <c r="R2" s="332" t="s">
        <v>1518</v>
      </c>
      <c r="S2" s="56" t="s">
        <v>1519</v>
      </c>
      <c r="T2" s="66"/>
      <c r="U2" s="67"/>
      <c r="V2" s="68"/>
      <c r="W2" s="332" t="s">
        <v>1520</v>
      </c>
      <c r="X2" s="55" t="s">
        <v>1521</v>
      </c>
      <c r="Y2" s="69"/>
      <c r="Z2" s="70"/>
      <c r="AA2" s="330" t="s">
        <v>1559</v>
      </c>
      <c r="AB2" s="347" t="s">
        <v>1522</v>
      </c>
    </row>
    <row r="3" spans="1:28" s="79" customFormat="1" ht="19.899999999999999" customHeight="1" x14ac:dyDescent="0.3">
      <c r="A3" s="329"/>
      <c r="B3" s="329"/>
      <c r="C3" s="72" t="s">
        <v>1523</v>
      </c>
      <c r="D3" s="73" t="s">
        <v>1524</v>
      </c>
      <c r="E3" s="329"/>
      <c r="F3" s="329"/>
      <c r="G3" s="336"/>
      <c r="H3" s="331"/>
      <c r="I3" s="337"/>
      <c r="J3" s="334"/>
      <c r="K3" s="339"/>
      <c r="L3" s="341"/>
      <c r="M3" s="343"/>
      <c r="N3" s="336"/>
      <c r="O3" s="74" t="s">
        <v>1525</v>
      </c>
      <c r="P3" s="74" t="s">
        <v>1526</v>
      </c>
      <c r="Q3" s="75" t="s">
        <v>1527</v>
      </c>
      <c r="R3" s="331"/>
      <c r="S3" s="57" t="s">
        <v>1244</v>
      </c>
      <c r="T3" s="76" t="s">
        <v>1528</v>
      </c>
      <c r="U3" s="77" t="s">
        <v>1529</v>
      </c>
      <c r="V3" s="75" t="s">
        <v>1530</v>
      </c>
      <c r="W3" s="331"/>
      <c r="X3" s="78" t="s">
        <v>1531</v>
      </c>
      <c r="Y3" s="78" t="s">
        <v>1529</v>
      </c>
      <c r="Z3" s="75" t="s">
        <v>1532</v>
      </c>
      <c r="AA3" s="331"/>
      <c r="AB3" s="348"/>
    </row>
    <row r="4" spans="1:28" s="175" customFormat="1" ht="19.899999999999999" customHeight="1" x14ac:dyDescent="0.15">
      <c r="A4" s="163">
        <v>1</v>
      </c>
      <c r="B4" s="167" t="s">
        <v>767</v>
      </c>
      <c r="C4" s="165" t="s">
        <v>140</v>
      </c>
      <c r="D4" s="301" t="str">
        <f t="shared" ref="D4:D35" si="0"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>专用工具</v>
      </c>
      <c r="E4" s="167"/>
      <c r="F4" s="167" t="s">
        <v>768</v>
      </c>
      <c r="G4" s="167"/>
      <c r="H4" s="167"/>
      <c r="I4" s="167"/>
      <c r="J4" s="165" t="s">
        <v>1608</v>
      </c>
      <c r="K4" s="167">
        <v>1</v>
      </c>
      <c r="L4" s="165" t="s">
        <v>836</v>
      </c>
      <c r="M4" s="301" t="str">
        <f t="shared" ref="M4:M35" si="1">IF(D4="危险化学品","五双",IF(D4="标准物资","严控",IF(D4&lt;&gt;"","常规","")))</f>
        <v>常规</v>
      </c>
      <c r="N4" s="167"/>
      <c r="O4" s="167" t="s">
        <v>2230</v>
      </c>
      <c r="P4" s="167"/>
      <c r="Q4" s="174"/>
      <c r="R4" s="167"/>
      <c r="S4" s="167" t="s">
        <v>2977</v>
      </c>
      <c r="T4" s="167">
        <v>1</v>
      </c>
      <c r="U4" s="301" t="str">
        <f t="shared" ref="U4:U54" si="2">IF(L4="","",L4)</f>
        <v>把</v>
      </c>
      <c r="V4" s="174"/>
      <c r="W4" s="172"/>
      <c r="X4" s="301" t="str">
        <f t="shared" ref="X4:X5" si="3">IF((K4-T4)&lt;=0,"",K4-T4)</f>
        <v/>
      </c>
      <c r="Y4" s="301" t="str">
        <f t="shared" ref="Y4:Y55" si="4">IF(L4="","",L4)</f>
        <v>把</v>
      </c>
      <c r="Z4" s="174"/>
      <c r="AA4" s="167"/>
      <c r="AB4" s="302" t="s">
        <v>2989</v>
      </c>
    </row>
    <row r="5" spans="1:28" s="175" customFormat="1" ht="19.899999999999999" customHeight="1" x14ac:dyDescent="0.15">
      <c r="A5" s="163">
        <v>2</v>
      </c>
      <c r="B5" s="167" t="s">
        <v>767</v>
      </c>
      <c r="C5" s="165" t="s">
        <v>140</v>
      </c>
      <c r="D5" s="166" t="str">
        <f t="shared" si="0"/>
        <v>专用工具</v>
      </c>
      <c r="E5" s="167"/>
      <c r="F5" s="167" t="s">
        <v>769</v>
      </c>
      <c r="G5" s="167"/>
      <c r="H5" s="167"/>
      <c r="I5" s="167"/>
      <c r="J5" s="165" t="s">
        <v>1608</v>
      </c>
      <c r="K5" s="167">
        <v>1</v>
      </c>
      <c r="L5" s="165" t="s">
        <v>836</v>
      </c>
      <c r="M5" s="166" t="str">
        <f t="shared" si="1"/>
        <v>常规</v>
      </c>
      <c r="N5" s="167"/>
      <c r="O5" s="167" t="s">
        <v>2230</v>
      </c>
      <c r="P5" s="167"/>
      <c r="Q5" s="174"/>
      <c r="R5" s="167"/>
      <c r="S5" s="167" t="s">
        <v>2978</v>
      </c>
      <c r="T5" s="167">
        <v>2</v>
      </c>
      <c r="U5" s="166" t="str">
        <f t="shared" si="2"/>
        <v>把</v>
      </c>
      <c r="V5" s="174"/>
      <c r="W5" s="172"/>
      <c r="X5" s="166" t="str">
        <f t="shared" si="3"/>
        <v/>
      </c>
      <c r="Y5" s="166" t="str">
        <f t="shared" si="4"/>
        <v>把</v>
      </c>
      <c r="Z5" s="174"/>
      <c r="AA5" s="167"/>
      <c r="AB5" s="302" t="s">
        <v>2989</v>
      </c>
    </row>
    <row r="6" spans="1:28" s="175" customFormat="1" ht="19.899999999999999" customHeight="1" x14ac:dyDescent="0.15">
      <c r="A6" s="163">
        <v>3</v>
      </c>
      <c r="B6" s="167" t="s">
        <v>767</v>
      </c>
      <c r="C6" s="165" t="s">
        <v>140</v>
      </c>
      <c r="D6" s="166" t="str">
        <f t="shared" si="0"/>
        <v>专用工具</v>
      </c>
      <c r="E6" s="167"/>
      <c r="F6" s="167" t="s">
        <v>770</v>
      </c>
      <c r="G6" s="167"/>
      <c r="H6" s="167"/>
      <c r="I6" s="167"/>
      <c r="J6" s="165" t="s">
        <v>1608</v>
      </c>
      <c r="K6" s="167">
        <v>1</v>
      </c>
      <c r="L6" s="165" t="s">
        <v>836</v>
      </c>
      <c r="M6" s="166" t="str">
        <f t="shared" si="1"/>
        <v>常规</v>
      </c>
      <c r="N6" s="167"/>
      <c r="O6" s="167" t="s">
        <v>2230</v>
      </c>
      <c r="P6" s="167"/>
      <c r="Q6" s="174"/>
      <c r="R6" s="167"/>
      <c r="S6" s="167" t="s">
        <v>2979</v>
      </c>
      <c r="T6" s="167">
        <v>3</v>
      </c>
      <c r="U6" s="166" t="str">
        <f t="shared" si="2"/>
        <v>把</v>
      </c>
      <c r="V6" s="174"/>
      <c r="W6" s="172"/>
      <c r="X6" s="166" t="str">
        <f t="shared" ref="X6:X37" si="5">IF((K6-T6)&lt;=0,"",K6-T6)</f>
        <v/>
      </c>
      <c r="Y6" s="166" t="str">
        <f t="shared" si="4"/>
        <v>把</v>
      </c>
      <c r="Z6" s="174"/>
      <c r="AA6" s="167"/>
      <c r="AB6" s="302" t="s">
        <v>2989</v>
      </c>
    </row>
    <row r="7" spans="1:28" s="175" customFormat="1" ht="19.899999999999999" customHeight="1" x14ac:dyDescent="0.15">
      <c r="A7" s="163">
        <v>4</v>
      </c>
      <c r="B7" s="167" t="s">
        <v>771</v>
      </c>
      <c r="C7" s="165" t="s">
        <v>140</v>
      </c>
      <c r="D7" s="166" t="str">
        <f t="shared" si="0"/>
        <v>专用工具</v>
      </c>
      <c r="E7" s="167"/>
      <c r="F7" s="167"/>
      <c r="G7" s="167" t="s">
        <v>772</v>
      </c>
      <c r="H7" s="167"/>
      <c r="I7" s="167"/>
      <c r="J7" s="165" t="s">
        <v>1608</v>
      </c>
      <c r="K7" s="167">
        <v>1</v>
      </c>
      <c r="L7" s="165" t="s">
        <v>836</v>
      </c>
      <c r="M7" s="166" t="str">
        <f t="shared" si="1"/>
        <v>常规</v>
      </c>
      <c r="N7" s="167"/>
      <c r="O7" s="167" t="s">
        <v>2230</v>
      </c>
      <c r="P7" s="167"/>
      <c r="Q7" s="174"/>
      <c r="R7" s="167"/>
      <c r="S7" s="167" t="s">
        <v>2980</v>
      </c>
      <c r="T7" s="167">
        <v>4</v>
      </c>
      <c r="U7" s="166" t="str">
        <f t="shared" si="2"/>
        <v>把</v>
      </c>
      <c r="V7" s="174"/>
      <c r="W7" s="172"/>
      <c r="X7" s="166" t="str">
        <f t="shared" si="5"/>
        <v/>
      </c>
      <c r="Y7" s="166" t="str">
        <f t="shared" si="4"/>
        <v>把</v>
      </c>
      <c r="Z7" s="174"/>
      <c r="AA7" s="167"/>
      <c r="AB7" s="302" t="s">
        <v>2989</v>
      </c>
    </row>
    <row r="8" spans="1:28" s="175" customFormat="1" ht="19.899999999999999" customHeight="1" x14ac:dyDescent="0.15">
      <c r="A8" s="163">
        <v>5</v>
      </c>
      <c r="B8" s="167" t="s">
        <v>773</v>
      </c>
      <c r="C8" s="165" t="s">
        <v>140</v>
      </c>
      <c r="D8" s="166" t="str">
        <f t="shared" si="0"/>
        <v>专用工具</v>
      </c>
      <c r="E8" s="167"/>
      <c r="F8" s="167"/>
      <c r="G8" s="167" t="s">
        <v>774</v>
      </c>
      <c r="H8" s="167"/>
      <c r="I8" s="167"/>
      <c r="J8" s="165" t="s">
        <v>1608</v>
      </c>
      <c r="K8" s="167">
        <v>1</v>
      </c>
      <c r="L8" s="165" t="s">
        <v>836</v>
      </c>
      <c r="M8" s="166" t="str">
        <f t="shared" si="1"/>
        <v>常规</v>
      </c>
      <c r="N8" s="167"/>
      <c r="O8" s="167" t="s">
        <v>2230</v>
      </c>
      <c r="P8" s="167"/>
      <c r="Q8" s="174"/>
      <c r="R8" s="167"/>
      <c r="S8" s="167" t="s">
        <v>2981</v>
      </c>
      <c r="T8" s="167">
        <v>5</v>
      </c>
      <c r="U8" s="166" t="str">
        <f t="shared" si="2"/>
        <v>把</v>
      </c>
      <c r="V8" s="174"/>
      <c r="W8" s="172"/>
      <c r="X8" s="166" t="str">
        <f t="shared" si="5"/>
        <v/>
      </c>
      <c r="Y8" s="166" t="str">
        <f t="shared" si="4"/>
        <v>把</v>
      </c>
      <c r="Z8" s="174"/>
      <c r="AA8" s="167"/>
      <c r="AB8" s="302" t="s">
        <v>2989</v>
      </c>
    </row>
    <row r="9" spans="1:28" s="175" customFormat="1" ht="19.899999999999999" customHeight="1" x14ac:dyDescent="0.15">
      <c r="A9" s="163">
        <v>6</v>
      </c>
      <c r="B9" s="167" t="s">
        <v>775</v>
      </c>
      <c r="C9" s="165" t="s">
        <v>140</v>
      </c>
      <c r="D9" s="166" t="str">
        <f t="shared" si="0"/>
        <v>专用工具</v>
      </c>
      <c r="E9" s="167"/>
      <c r="F9" s="167"/>
      <c r="G9" s="167" t="s">
        <v>772</v>
      </c>
      <c r="H9" s="167"/>
      <c r="I9" s="167"/>
      <c r="J9" s="165" t="s">
        <v>1608</v>
      </c>
      <c r="K9" s="167">
        <v>1</v>
      </c>
      <c r="L9" s="165" t="s">
        <v>836</v>
      </c>
      <c r="M9" s="166" t="str">
        <f t="shared" si="1"/>
        <v>常规</v>
      </c>
      <c r="N9" s="167"/>
      <c r="O9" s="167" t="s">
        <v>2230</v>
      </c>
      <c r="P9" s="167"/>
      <c r="Q9" s="174"/>
      <c r="R9" s="167"/>
      <c r="S9" s="167" t="s">
        <v>2982</v>
      </c>
      <c r="T9" s="167">
        <v>6</v>
      </c>
      <c r="U9" s="166" t="str">
        <f t="shared" si="2"/>
        <v>把</v>
      </c>
      <c r="V9" s="174"/>
      <c r="W9" s="172"/>
      <c r="X9" s="166" t="str">
        <f t="shared" si="5"/>
        <v/>
      </c>
      <c r="Y9" s="166" t="str">
        <f t="shared" si="4"/>
        <v>把</v>
      </c>
      <c r="Z9" s="174"/>
      <c r="AA9" s="167"/>
      <c r="AB9" s="302" t="s">
        <v>2989</v>
      </c>
    </row>
    <row r="10" spans="1:28" s="175" customFormat="1" ht="19.899999999999999" customHeight="1" x14ac:dyDescent="0.15">
      <c r="A10" s="163">
        <v>7</v>
      </c>
      <c r="B10" s="167" t="s">
        <v>776</v>
      </c>
      <c r="C10" s="165" t="s">
        <v>140</v>
      </c>
      <c r="D10" s="166" t="str">
        <f t="shared" si="0"/>
        <v>专用工具</v>
      </c>
      <c r="E10" s="167"/>
      <c r="F10" s="167"/>
      <c r="G10" s="167" t="s">
        <v>772</v>
      </c>
      <c r="H10" s="167"/>
      <c r="I10" s="167"/>
      <c r="J10" s="165" t="s">
        <v>1608</v>
      </c>
      <c r="K10" s="167">
        <v>1</v>
      </c>
      <c r="L10" s="165" t="s">
        <v>836</v>
      </c>
      <c r="M10" s="166" t="str">
        <f t="shared" si="1"/>
        <v>常规</v>
      </c>
      <c r="N10" s="167"/>
      <c r="O10" s="167" t="s">
        <v>2230</v>
      </c>
      <c r="P10" s="167"/>
      <c r="Q10" s="174"/>
      <c r="R10" s="167"/>
      <c r="S10" s="167" t="s">
        <v>2983</v>
      </c>
      <c r="T10" s="167">
        <v>7</v>
      </c>
      <c r="U10" s="166" t="str">
        <f t="shared" si="2"/>
        <v>把</v>
      </c>
      <c r="V10" s="174"/>
      <c r="W10" s="172"/>
      <c r="X10" s="166" t="str">
        <f t="shared" si="5"/>
        <v/>
      </c>
      <c r="Y10" s="166" t="str">
        <f t="shared" si="4"/>
        <v>把</v>
      </c>
      <c r="Z10" s="174"/>
      <c r="AA10" s="167"/>
      <c r="AB10" s="302" t="s">
        <v>2989</v>
      </c>
    </row>
    <row r="11" spans="1:28" s="175" customFormat="1" ht="19.899999999999999" customHeight="1" x14ac:dyDescent="0.15">
      <c r="A11" s="163">
        <v>8</v>
      </c>
      <c r="B11" s="167" t="s">
        <v>777</v>
      </c>
      <c r="C11" s="165" t="s">
        <v>140</v>
      </c>
      <c r="D11" s="166" t="str">
        <f t="shared" si="0"/>
        <v>专用工具</v>
      </c>
      <c r="E11" s="167"/>
      <c r="F11" s="167"/>
      <c r="G11" s="167" t="s">
        <v>778</v>
      </c>
      <c r="H11" s="167"/>
      <c r="I11" s="167"/>
      <c r="J11" s="165" t="s">
        <v>1608</v>
      </c>
      <c r="K11" s="167">
        <v>1</v>
      </c>
      <c r="L11" s="165" t="s">
        <v>836</v>
      </c>
      <c r="M11" s="166" t="str">
        <f t="shared" si="1"/>
        <v>常规</v>
      </c>
      <c r="N11" s="167"/>
      <c r="O11" s="167" t="s">
        <v>2230</v>
      </c>
      <c r="P11" s="167"/>
      <c r="Q11" s="174"/>
      <c r="R11" s="167"/>
      <c r="S11" s="167" t="s">
        <v>2984</v>
      </c>
      <c r="T11" s="167">
        <v>8</v>
      </c>
      <c r="U11" s="166" t="str">
        <f t="shared" si="2"/>
        <v>把</v>
      </c>
      <c r="V11" s="174"/>
      <c r="W11" s="172"/>
      <c r="X11" s="166" t="str">
        <f t="shared" si="5"/>
        <v/>
      </c>
      <c r="Y11" s="166" t="str">
        <f t="shared" si="4"/>
        <v>把</v>
      </c>
      <c r="Z11" s="174"/>
      <c r="AA11" s="167"/>
      <c r="AB11" s="302" t="s">
        <v>2989</v>
      </c>
    </row>
    <row r="12" spans="1:28" s="175" customFormat="1" ht="19.899999999999999" customHeight="1" x14ac:dyDescent="0.15">
      <c r="A12" s="163">
        <v>9</v>
      </c>
      <c r="B12" s="167" t="s">
        <v>779</v>
      </c>
      <c r="C12" s="165" t="s">
        <v>140</v>
      </c>
      <c r="D12" s="166" t="str">
        <f t="shared" si="0"/>
        <v>专用工具</v>
      </c>
      <c r="E12" s="167"/>
      <c r="F12" s="167"/>
      <c r="G12" s="167" t="s">
        <v>780</v>
      </c>
      <c r="H12" s="167"/>
      <c r="I12" s="167"/>
      <c r="J12" s="165" t="s">
        <v>1608</v>
      </c>
      <c r="K12" s="167">
        <v>1</v>
      </c>
      <c r="L12" s="165" t="s">
        <v>836</v>
      </c>
      <c r="M12" s="166" t="str">
        <f t="shared" si="1"/>
        <v>常规</v>
      </c>
      <c r="N12" s="167"/>
      <c r="O12" s="167" t="s">
        <v>2230</v>
      </c>
      <c r="P12" s="167"/>
      <c r="Q12" s="174"/>
      <c r="R12" s="167"/>
      <c r="S12" s="167" t="s">
        <v>2985</v>
      </c>
      <c r="T12" s="167">
        <v>9</v>
      </c>
      <c r="U12" s="166" t="str">
        <f t="shared" si="2"/>
        <v>把</v>
      </c>
      <c r="V12" s="174"/>
      <c r="W12" s="172"/>
      <c r="X12" s="166" t="str">
        <f t="shared" si="5"/>
        <v/>
      </c>
      <c r="Y12" s="166" t="str">
        <f t="shared" si="4"/>
        <v>把</v>
      </c>
      <c r="Z12" s="174"/>
      <c r="AA12" s="167"/>
      <c r="AB12" s="302" t="s">
        <v>2989</v>
      </c>
    </row>
    <row r="13" spans="1:28" s="175" customFormat="1" ht="19.899999999999999" customHeight="1" x14ac:dyDescent="0.15">
      <c r="A13" s="163">
        <v>10</v>
      </c>
      <c r="B13" s="167" t="s">
        <v>779</v>
      </c>
      <c r="C13" s="165" t="s">
        <v>140</v>
      </c>
      <c r="D13" s="166" t="str">
        <f t="shared" si="0"/>
        <v>专用工具</v>
      </c>
      <c r="E13" s="167"/>
      <c r="F13" s="167"/>
      <c r="G13" s="167" t="s">
        <v>781</v>
      </c>
      <c r="H13" s="167"/>
      <c r="I13" s="167"/>
      <c r="J13" s="165" t="s">
        <v>1608</v>
      </c>
      <c r="K13" s="167">
        <v>1</v>
      </c>
      <c r="L13" s="165" t="s">
        <v>827</v>
      </c>
      <c r="M13" s="166" t="str">
        <f t="shared" si="1"/>
        <v>常规</v>
      </c>
      <c r="N13" s="167"/>
      <c r="O13" s="167" t="s">
        <v>2230</v>
      </c>
      <c r="P13" s="167"/>
      <c r="Q13" s="174"/>
      <c r="R13" s="167"/>
      <c r="S13" s="167" t="s">
        <v>2986</v>
      </c>
      <c r="T13" s="167">
        <v>10</v>
      </c>
      <c r="U13" s="166" t="str">
        <f t="shared" si="2"/>
        <v>套</v>
      </c>
      <c r="V13" s="174"/>
      <c r="W13" s="172"/>
      <c r="X13" s="166" t="str">
        <f t="shared" si="5"/>
        <v/>
      </c>
      <c r="Y13" s="166" t="str">
        <f t="shared" si="4"/>
        <v>套</v>
      </c>
      <c r="Z13" s="174"/>
      <c r="AA13" s="167"/>
      <c r="AB13" s="302" t="s">
        <v>2989</v>
      </c>
    </row>
    <row r="14" spans="1:28" s="175" customFormat="1" ht="19.899999999999999" customHeight="1" x14ac:dyDescent="0.15">
      <c r="A14" s="163">
        <v>11</v>
      </c>
      <c r="B14" s="167" t="s">
        <v>782</v>
      </c>
      <c r="C14" s="165" t="s">
        <v>140</v>
      </c>
      <c r="D14" s="166" t="str">
        <f t="shared" si="0"/>
        <v>专用工具</v>
      </c>
      <c r="E14" s="167"/>
      <c r="F14" s="167" t="s">
        <v>783</v>
      </c>
      <c r="G14" s="167"/>
      <c r="H14" s="167"/>
      <c r="I14" s="167"/>
      <c r="J14" s="165" t="s">
        <v>1608</v>
      </c>
      <c r="K14" s="167">
        <v>1</v>
      </c>
      <c r="L14" s="165" t="s">
        <v>836</v>
      </c>
      <c r="M14" s="166" t="str">
        <f t="shared" si="1"/>
        <v>常规</v>
      </c>
      <c r="N14" s="167"/>
      <c r="O14" s="167" t="s">
        <v>2470</v>
      </c>
      <c r="P14" s="167"/>
      <c r="Q14" s="200" t="s">
        <v>2016</v>
      </c>
      <c r="R14" s="167"/>
      <c r="S14" s="167" t="s">
        <v>2987</v>
      </c>
      <c r="T14" s="167">
        <v>1</v>
      </c>
      <c r="U14" s="166" t="str">
        <f t="shared" si="2"/>
        <v>把</v>
      </c>
      <c r="V14" s="167"/>
      <c r="W14" s="172"/>
      <c r="X14" s="166" t="str">
        <f t="shared" si="5"/>
        <v/>
      </c>
      <c r="Y14" s="166" t="str">
        <f t="shared" si="4"/>
        <v>把</v>
      </c>
      <c r="Z14" s="167"/>
      <c r="AA14" s="167"/>
      <c r="AB14" s="302" t="s">
        <v>2991</v>
      </c>
    </row>
    <row r="15" spans="1:28" s="175" customFormat="1" ht="19.899999999999999" customHeight="1" x14ac:dyDescent="0.15">
      <c r="A15" s="163">
        <v>12</v>
      </c>
      <c r="B15" s="167" t="s">
        <v>784</v>
      </c>
      <c r="C15" s="165" t="s">
        <v>140</v>
      </c>
      <c r="D15" s="166" t="str">
        <f t="shared" si="0"/>
        <v>专用工具</v>
      </c>
      <c r="E15" s="167"/>
      <c r="F15" s="167"/>
      <c r="G15" s="167"/>
      <c r="H15" s="167"/>
      <c r="I15" s="167"/>
      <c r="J15" s="165" t="s">
        <v>1608</v>
      </c>
      <c r="K15" s="167">
        <v>1</v>
      </c>
      <c r="L15" s="165" t="s">
        <v>836</v>
      </c>
      <c r="M15" s="166" t="str">
        <f t="shared" si="1"/>
        <v>常规</v>
      </c>
      <c r="N15" s="167"/>
      <c r="O15" s="167" t="s">
        <v>2470</v>
      </c>
      <c r="P15" s="167"/>
      <c r="Q15" s="200" t="s">
        <v>2016</v>
      </c>
      <c r="R15" s="167"/>
      <c r="S15" s="167" t="s">
        <v>2988</v>
      </c>
      <c r="T15" s="167">
        <v>1</v>
      </c>
      <c r="U15" s="166" t="str">
        <f t="shared" si="2"/>
        <v>把</v>
      </c>
      <c r="V15" s="167"/>
      <c r="W15" s="172"/>
      <c r="X15" s="166" t="str">
        <f t="shared" si="5"/>
        <v/>
      </c>
      <c r="Y15" s="166" t="str">
        <f t="shared" si="4"/>
        <v>把</v>
      </c>
      <c r="Z15" s="167"/>
      <c r="AA15" s="167"/>
      <c r="AB15" s="302" t="s">
        <v>2991</v>
      </c>
    </row>
    <row r="16" spans="1:28" s="175" customFormat="1" ht="19.899999999999999" customHeight="1" x14ac:dyDescent="0.15">
      <c r="A16" s="163">
        <v>13</v>
      </c>
      <c r="B16" s="167" t="s">
        <v>785</v>
      </c>
      <c r="C16" s="165" t="s">
        <v>140</v>
      </c>
      <c r="D16" s="166" t="str">
        <f t="shared" si="0"/>
        <v>专用工具</v>
      </c>
      <c r="E16" s="167"/>
      <c r="F16" s="167" t="s">
        <v>786</v>
      </c>
      <c r="G16" s="167"/>
      <c r="H16" s="167"/>
      <c r="I16" s="167" t="s">
        <v>3023</v>
      </c>
      <c r="J16" s="165" t="s">
        <v>1608</v>
      </c>
      <c r="K16" s="167">
        <v>2</v>
      </c>
      <c r="L16" s="165" t="s">
        <v>836</v>
      </c>
      <c r="M16" s="166" t="str">
        <f t="shared" si="1"/>
        <v>常规</v>
      </c>
      <c r="N16" s="167"/>
      <c r="O16" s="167" t="s">
        <v>2470</v>
      </c>
      <c r="P16" s="167"/>
      <c r="Q16" s="200" t="s">
        <v>2016</v>
      </c>
      <c r="R16" s="167"/>
      <c r="S16" s="167" t="s">
        <v>3025</v>
      </c>
      <c r="T16" s="167">
        <v>2</v>
      </c>
      <c r="U16" s="166" t="str">
        <f t="shared" si="2"/>
        <v>把</v>
      </c>
      <c r="V16" s="167"/>
      <c r="W16" s="172"/>
      <c r="X16" s="166" t="str">
        <f t="shared" si="5"/>
        <v/>
      </c>
      <c r="Y16" s="166" t="str">
        <f t="shared" si="4"/>
        <v>把</v>
      </c>
      <c r="Z16" s="167"/>
      <c r="AA16" s="167"/>
      <c r="AB16" s="172" t="s">
        <v>3024</v>
      </c>
    </row>
    <row r="17" spans="1:28" s="175" customFormat="1" ht="19.899999999999999" customHeight="1" x14ac:dyDescent="0.15">
      <c r="A17" s="163">
        <v>14</v>
      </c>
      <c r="B17" s="167" t="s">
        <v>779</v>
      </c>
      <c r="C17" s="165" t="s">
        <v>140</v>
      </c>
      <c r="D17" s="166" t="str">
        <f t="shared" si="0"/>
        <v>专用工具</v>
      </c>
      <c r="E17" s="167"/>
      <c r="F17" s="167"/>
      <c r="G17" s="167" t="s">
        <v>787</v>
      </c>
      <c r="H17" s="167"/>
      <c r="I17" s="167"/>
      <c r="J17" s="165" t="s">
        <v>1608</v>
      </c>
      <c r="K17" s="167">
        <v>1</v>
      </c>
      <c r="L17" s="165" t="s">
        <v>836</v>
      </c>
      <c r="M17" s="166" t="str">
        <f t="shared" si="1"/>
        <v>常规</v>
      </c>
      <c r="N17" s="167"/>
      <c r="O17" s="167" t="s">
        <v>2469</v>
      </c>
      <c r="P17" s="167"/>
      <c r="Q17" s="200" t="s">
        <v>2016</v>
      </c>
      <c r="R17" s="167"/>
      <c r="S17" s="167" t="s">
        <v>2990</v>
      </c>
      <c r="T17" s="167">
        <v>1</v>
      </c>
      <c r="U17" s="166" t="str">
        <f t="shared" si="2"/>
        <v>把</v>
      </c>
      <c r="V17" s="167"/>
      <c r="W17" s="172"/>
      <c r="X17" s="166" t="str">
        <f t="shared" si="5"/>
        <v/>
      </c>
      <c r="Y17" s="166" t="str">
        <f t="shared" si="4"/>
        <v>把</v>
      </c>
      <c r="Z17" s="167"/>
      <c r="AA17" s="167"/>
      <c r="AB17" s="302" t="s">
        <v>2991</v>
      </c>
    </row>
    <row r="18" spans="1:28" s="46" customFormat="1" ht="19.899999999999999" customHeight="1" x14ac:dyDescent="0.15">
      <c r="A18" s="34">
        <v>15</v>
      </c>
      <c r="B18" s="15" t="s">
        <v>788</v>
      </c>
      <c r="C18" s="29" t="s">
        <v>140</v>
      </c>
      <c r="D18" s="32" t="str">
        <f t="shared" si="0"/>
        <v>专用工具</v>
      </c>
      <c r="E18" s="15"/>
      <c r="F18" s="15"/>
      <c r="G18" s="15"/>
      <c r="H18" s="15"/>
      <c r="I18" s="15"/>
      <c r="J18" s="29" t="s">
        <v>1608</v>
      </c>
      <c r="K18" s="15">
        <v>1</v>
      </c>
      <c r="L18" s="29" t="s">
        <v>827</v>
      </c>
      <c r="M18" s="32" t="str">
        <f t="shared" si="1"/>
        <v>常规</v>
      </c>
      <c r="N18" s="15"/>
      <c r="O18" s="15" t="s">
        <v>3005</v>
      </c>
      <c r="P18" s="15"/>
      <c r="Q18" s="123" t="s">
        <v>3007</v>
      </c>
      <c r="R18" s="15"/>
      <c r="S18" s="15"/>
      <c r="T18" s="15"/>
      <c r="U18" s="32" t="str">
        <f t="shared" si="2"/>
        <v>套</v>
      </c>
      <c r="V18" s="15"/>
      <c r="W18" s="35"/>
      <c r="X18" s="32">
        <f t="shared" si="5"/>
        <v>1</v>
      </c>
      <c r="Y18" s="32" t="str">
        <f t="shared" si="4"/>
        <v>套</v>
      </c>
      <c r="Z18" s="15"/>
      <c r="AA18" s="15"/>
      <c r="AB18" s="35" t="s">
        <v>3008</v>
      </c>
    </row>
    <row r="19" spans="1:28" s="46" customFormat="1" ht="19.899999999999999" customHeight="1" x14ac:dyDescent="0.15">
      <c r="A19" s="34">
        <v>16</v>
      </c>
      <c r="B19" s="15" t="s">
        <v>789</v>
      </c>
      <c r="C19" s="29" t="s">
        <v>140</v>
      </c>
      <c r="D19" s="32" t="str">
        <f t="shared" si="0"/>
        <v>专用工具</v>
      </c>
      <c r="E19" s="15"/>
      <c r="F19" s="15"/>
      <c r="G19" s="15"/>
      <c r="H19" s="15"/>
      <c r="I19" s="15"/>
      <c r="J19" s="29" t="s">
        <v>1608</v>
      </c>
      <c r="K19" s="15">
        <v>3</v>
      </c>
      <c r="L19" s="29" t="s">
        <v>822</v>
      </c>
      <c r="M19" s="32" t="str">
        <f t="shared" si="1"/>
        <v>常规</v>
      </c>
      <c r="N19" s="15"/>
      <c r="O19" s="15" t="s">
        <v>2278</v>
      </c>
      <c r="P19" s="15"/>
      <c r="Q19" s="89" t="s">
        <v>2015</v>
      </c>
      <c r="R19" s="15"/>
      <c r="S19" s="15"/>
      <c r="T19" s="15"/>
      <c r="U19" s="32" t="str">
        <f t="shared" si="2"/>
        <v>只</v>
      </c>
      <c r="V19" s="15"/>
      <c r="W19" s="35"/>
      <c r="X19" s="32">
        <f t="shared" si="5"/>
        <v>3</v>
      </c>
      <c r="Y19" s="32" t="str">
        <f t="shared" si="4"/>
        <v>只</v>
      </c>
      <c r="Z19" s="15"/>
      <c r="AA19" s="15"/>
      <c r="AB19" s="35"/>
    </row>
    <row r="20" spans="1:28" s="46" customFormat="1" ht="19.899999999999999" customHeight="1" x14ac:dyDescent="0.15">
      <c r="A20" s="34">
        <v>17</v>
      </c>
      <c r="B20" s="15" t="s">
        <v>790</v>
      </c>
      <c r="C20" s="29" t="s">
        <v>140</v>
      </c>
      <c r="D20" s="32" t="str">
        <f t="shared" si="0"/>
        <v>专用工具</v>
      </c>
      <c r="E20" s="15"/>
      <c r="F20" s="303" t="s">
        <v>141</v>
      </c>
      <c r="G20" s="15"/>
      <c r="H20" s="15"/>
      <c r="I20" s="15"/>
      <c r="J20" s="29" t="s">
        <v>1608</v>
      </c>
      <c r="K20" s="15">
        <v>2</v>
      </c>
      <c r="L20" s="29" t="s">
        <v>836</v>
      </c>
      <c r="M20" s="32" t="str">
        <f t="shared" si="1"/>
        <v>常规</v>
      </c>
      <c r="N20" s="15"/>
      <c r="O20" s="15" t="s">
        <v>2278</v>
      </c>
      <c r="P20" s="15"/>
      <c r="Q20" s="89" t="s">
        <v>2015</v>
      </c>
      <c r="R20" s="15"/>
      <c r="S20" s="15" t="s">
        <v>2994</v>
      </c>
      <c r="T20" s="15">
        <v>1</v>
      </c>
      <c r="U20" s="32" t="str">
        <f t="shared" si="2"/>
        <v>把</v>
      </c>
      <c r="V20" s="15"/>
      <c r="W20" s="35"/>
      <c r="X20" s="32">
        <f t="shared" si="5"/>
        <v>1</v>
      </c>
      <c r="Y20" s="32" t="str">
        <f t="shared" si="4"/>
        <v>把</v>
      </c>
      <c r="Z20" s="15"/>
      <c r="AA20" s="15"/>
      <c r="AB20" s="35" t="s">
        <v>2992</v>
      </c>
    </row>
    <row r="21" spans="1:28" s="46" customFormat="1" ht="19.899999999999999" customHeight="1" x14ac:dyDescent="0.15">
      <c r="A21" s="34">
        <v>18</v>
      </c>
      <c r="B21" s="15" t="s">
        <v>767</v>
      </c>
      <c r="C21" s="29" t="s">
        <v>140</v>
      </c>
      <c r="D21" s="32" t="str">
        <f t="shared" si="0"/>
        <v>专用工具</v>
      </c>
      <c r="E21" s="15"/>
      <c r="F21" s="15" t="s">
        <v>791</v>
      </c>
      <c r="G21" s="15"/>
      <c r="H21" s="15"/>
      <c r="I21" s="15"/>
      <c r="J21" s="29" t="s">
        <v>1608</v>
      </c>
      <c r="K21" s="15">
        <v>4</v>
      </c>
      <c r="L21" s="29" t="s">
        <v>836</v>
      </c>
      <c r="M21" s="32" t="str">
        <f t="shared" si="1"/>
        <v>常规</v>
      </c>
      <c r="N21" s="15"/>
      <c r="O21" s="15" t="s">
        <v>2278</v>
      </c>
      <c r="P21" s="15"/>
      <c r="Q21" s="89" t="s">
        <v>2015</v>
      </c>
      <c r="R21" s="15"/>
      <c r="S21" s="15" t="s">
        <v>2995</v>
      </c>
      <c r="T21" s="15">
        <v>1</v>
      </c>
      <c r="U21" s="32" t="str">
        <f t="shared" si="2"/>
        <v>把</v>
      </c>
      <c r="V21" s="15"/>
      <c r="W21" s="35"/>
      <c r="X21" s="32">
        <f t="shared" si="5"/>
        <v>3</v>
      </c>
      <c r="Y21" s="32" t="str">
        <f t="shared" si="4"/>
        <v>把</v>
      </c>
      <c r="Z21" s="15"/>
      <c r="AA21" s="15"/>
      <c r="AB21" s="35" t="s">
        <v>2992</v>
      </c>
    </row>
    <row r="22" spans="1:28" s="46" customFormat="1" ht="19.899999999999999" customHeight="1" x14ac:dyDescent="0.15">
      <c r="A22" s="34">
        <v>19</v>
      </c>
      <c r="B22" s="15" t="s">
        <v>767</v>
      </c>
      <c r="C22" s="29" t="s">
        <v>140</v>
      </c>
      <c r="D22" s="32" t="str">
        <f t="shared" si="0"/>
        <v>专用工具</v>
      </c>
      <c r="E22" s="15"/>
      <c r="F22" s="15" t="s">
        <v>792</v>
      </c>
      <c r="G22" s="15"/>
      <c r="H22" s="15"/>
      <c r="I22" s="15"/>
      <c r="J22" s="29" t="s">
        <v>1608</v>
      </c>
      <c r="K22" s="15">
        <v>1</v>
      </c>
      <c r="L22" s="29" t="s">
        <v>836</v>
      </c>
      <c r="M22" s="32" t="str">
        <f t="shared" si="1"/>
        <v>常规</v>
      </c>
      <c r="N22" s="15"/>
      <c r="O22" s="15" t="s">
        <v>2278</v>
      </c>
      <c r="P22" s="15"/>
      <c r="Q22" s="89" t="s">
        <v>2015</v>
      </c>
      <c r="R22" s="15"/>
      <c r="S22" s="15"/>
      <c r="T22" s="15"/>
      <c r="U22" s="32" t="str">
        <f t="shared" si="2"/>
        <v>把</v>
      </c>
      <c r="V22" s="15"/>
      <c r="W22" s="35"/>
      <c r="X22" s="32">
        <f t="shared" si="5"/>
        <v>1</v>
      </c>
      <c r="Y22" s="32" t="str">
        <f t="shared" si="4"/>
        <v>把</v>
      </c>
      <c r="Z22" s="15"/>
      <c r="AA22" s="15"/>
      <c r="AB22" s="35"/>
    </row>
    <row r="23" spans="1:28" s="175" customFormat="1" ht="19.899999999999999" customHeight="1" x14ac:dyDescent="0.15">
      <c r="A23" s="163">
        <v>20</v>
      </c>
      <c r="B23" s="167" t="s">
        <v>793</v>
      </c>
      <c r="C23" s="165" t="s">
        <v>140</v>
      </c>
      <c r="D23" s="166" t="str">
        <f t="shared" si="0"/>
        <v>专用工具</v>
      </c>
      <c r="E23" s="167"/>
      <c r="F23" s="167"/>
      <c r="G23" s="167"/>
      <c r="H23" s="167"/>
      <c r="I23" s="167"/>
      <c r="J23" s="165" t="s">
        <v>1608</v>
      </c>
      <c r="K23" s="167">
        <v>1</v>
      </c>
      <c r="L23" s="165" t="s">
        <v>823</v>
      </c>
      <c r="M23" s="166" t="str">
        <f t="shared" si="1"/>
        <v>常规</v>
      </c>
      <c r="N23" s="167"/>
      <c r="O23" s="167" t="s">
        <v>2278</v>
      </c>
      <c r="P23" s="167"/>
      <c r="Q23" s="248" t="s">
        <v>2015</v>
      </c>
      <c r="R23" s="167"/>
      <c r="S23" s="167" t="s">
        <v>2951</v>
      </c>
      <c r="T23" s="167">
        <v>1</v>
      </c>
      <c r="U23" s="166" t="str">
        <f t="shared" si="2"/>
        <v>个</v>
      </c>
      <c r="V23" s="167" t="s">
        <v>2952</v>
      </c>
      <c r="W23" s="172"/>
      <c r="X23" s="166" t="str">
        <f t="shared" si="5"/>
        <v/>
      </c>
      <c r="Y23" s="166" t="str">
        <f t="shared" si="4"/>
        <v>个</v>
      </c>
      <c r="Z23" s="167"/>
      <c r="AA23" s="167"/>
      <c r="AB23" s="172" t="s">
        <v>2996</v>
      </c>
    </row>
    <row r="24" spans="1:28" s="46" customFormat="1" ht="19.899999999999999" customHeight="1" x14ac:dyDescent="0.15">
      <c r="A24" s="34">
        <v>21</v>
      </c>
      <c r="B24" s="15" t="s">
        <v>794</v>
      </c>
      <c r="C24" s="29" t="s">
        <v>140</v>
      </c>
      <c r="D24" s="32" t="str">
        <f t="shared" si="0"/>
        <v>专用工具</v>
      </c>
      <c r="E24" s="15"/>
      <c r="F24" s="15"/>
      <c r="G24" s="15" t="s">
        <v>795</v>
      </c>
      <c r="H24" s="15"/>
      <c r="I24" s="15"/>
      <c r="J24" s="29" t="s">
        <v>1608</v>
      </c>
      <c r="K24" s="15">
        <v>4</v>
      </c>
      <c r="L24" s="29" t="s">
        <v>836</v>
      </c>
      <c r="M24" s="32" t="str">
        <f t="shared" si="1"/>
        <v>常规</v>
      </c>
      <c r="N24" s="15"/>
      <c r="O24" s="15" t="s">
        <v>2278</v>
      </c>
      <c r="P24" s="15"/>
      <c r="Q24" s="89" t="s">
        <v>2015</v>
      </c>
      <c r="R24" s="15"/>
      <c r="S24" s="15" t="s">
        <v>2953</v>
      </c>
      <c r="T24" s="15">
        <v>3</v>
      </c>
      <c r="U24" s="32" t="str">
        <f t="shared" si="2"/>
        <v>把</v>
      </c>
      <c r="V24" s="15"/>
      <c r="W24" s="283"/>
      <c r="X24" s="32">
        <f t="shared" si="5"/>
        <v>1</v>
      </c>
      <c r="Y24" s="32" t="str">
        <f t="shared" si="4"/>
        <v>把</v>
      </c>
      <c r="Z24" s="15"/>
      <c r="AA24" s="15"/>
      <c r="AB24" s="282" t="s">
        <v>2993</v>
      </c>
    </row>
    <row r="25" spans="1:28" s="46" customFormat="1" ht="19.899999999999999" customHeight="1" x14ac:dyDescent="0.15">
      <c r="A25" s="34">
        <v>22</v>
      </c>
      <c r="B25" s="15" t="s">
        <v>779</v>
      </c>
      <c r="C25" s="29" t="s">
        <v>140</v>
      </c>
      <c r="D25" s="32" t="str">
        <f t="shared" si="0"/>
        <v>专用工具</v>
      </c>
      <c r="E25" s="15"/>
      <c r="F25" s="15" t="s">
        <v>796</v>
      </c>
      <c r="G25" s="15"/>
      <c r="H25" s="15"/>
      <c r="I25" s="15"/>
      <c r="J25" s="29" t="s">
        <v>1608</v>
      </c>
      <c r="K25" s="15">
        <v>1</v>
      </c>
      <c r="L25" s="29" t="s">
        <v>836</v>
      </c>
      <c r="M25" s="32" t="str">
        <f t="shared" si="1"/>
        <v>常规</v>
      </c>
      <c r="N25" s="15"/>
      <c r="O25" s="15" t="s">
        <v>2278</v>
      </c>
      <c r="P25" s="15"/>
      <c r="Q25" s="89" t="s">
        <v>2015</v>
      </c>
      <c r="R25" s="15"/>
      <c r="S25" s="15"/>
      <c r="T25" s="15"/>
      <c r="U25" s="32" t="str">
        <f t="shared" si="2"/>
        <v>把</v>
      </c>
      <c r="V25" s="15"/>
      <c r="W25" s="35"/>
      <c r="X25" s="32">
        <f t="shared" si="5"/>
        <v>1</v>
      </c>
      <c r="Y25" s="32" t="str">
        <f t="shared" si="4"/>
        <v>把</v>
      </c>
      <c r="Z25" s="15"/>
      <c r="AA25" s="15"/>
      <c r="AB25" s="35"/>
    </row>
    <row r="26" spans="1:28" s="46" customFormat="1" ht="19.899999999999999" customHeight="1" x14ac:dyDescent="0.15">
      <c r="A26" s="34">
        <v>23</v>
      </c>
      <c r="B26" s="15" t="s">
        <v>779</v>
      </c>
      <c r="C26" s="29" t="s">
        <v>140</v>
      </c>
      <c r="D26" s="32" t="str">
        <f t="shared" si="0"/>
        <v>专用工具</v>
      </c>
      <c r="E26" s="15"/>
      <c r="F26" s="15" t="s">
        <v>142</v>
      </c>
      <c r="G26" s="15"/>
      <c r="H26" s="15"/>
      <c r="I26" s="314" t="s">
        <v>3120</v>
      </c>
      <c r="J26" s="29" t="s">
        <v>1608</v>
      </c>
      <c r="K26" s="15">
        <v>1</v>
      </c>
      <c r="L26" s="29" t="s">
        <v>836</v>
      </c>
      <c r="M26" s="32" t="str">
        <f t="shared" si="1"/>
        <v>常规</v>
      </c>
      <c r="N26" s="15"/>
      <c r="O26" s="15" t="s">
        <v>2278</v>
      </c>
      <c r="P26" s="15"/>
      <c r="Q26" s="89" t="s">
        <v>2015</v>
      </c>
      <c r="R26" s="15"/>
      <c r="S26" s="15" t="s">
        <v>3119</v>
      </c>
      <c r="T26" s="15"/>
      <c r="U26" s="32" t="str">
        <f t="shared" si="2"/>
        <v>把</v>
      </c>
      <c r="V26" s="15"/>
      <c r="W26" s="35"/>
      <c r="X26" s="32">
        <f t="shared" si="5"/>
        <v>1</v>
      </c>
      <c r="Y26" s="32" t="str">
        <f t="shared" si="4"/>
        <v>把</v>
      </c>
      <c r="Z26" s="15"/>
      <c r="AA26" s="15"/>
      <c r="AB26" s="35"/>
    </row>
    <row r="27" spans="1:28" s="46" customFormat="1" ht="19.899999999999999" customHeight="1" x14ac:dyDescent="0.15">
      <c r="A27" s="34">
        <v>24</v>
      </c>
      <c r="B27" s="15" t="s">
        <v>779</v>
      </c>
      <c r="C27" s="29" t="s">
        <v>140</v>
      </c>
      <c r="D27" s="32" t="str">
        <f t="shared" si="0"/>
        <v>专用工具</v>
      </c>
      <c r="E27" s="15"/>
      <c r="F27" s="15" t="s">
        <v>143</v>
      </c>
      <c r="G27" s="15"/>
      <c r="H27" s="15"/>
      <c r="I27" s="314" t="s">
        <v>3121</v>
      </c>
      <c r="J27" s="29" t="s">
        <v>1608</v>
      </c>
      <c r="K27" s="15">
        <v>1</v>
      </c>
      <c r="L27" s="29" t="s">
        <v>836</v>
      </c>
      <c r="M27" s="32" t="str">
        <f t="shared" si="1"/>
        <v>常规</v>
      </c>
      <c r="N27" s="15"/>
      <c r="O27" s="15" t="s">
        <v>2278</v>
      </c>
      <c r="P27" s="15"/>
      <c r="Q27" s="89" t="s">
        <v>2015</v>
      </c>
      <c r="R27" s="15"/>
      <c r="S27" s="15" t="s">
        <v>3118</v>
      </c>
      <c r="T27" s="15"/>
      <c r="U27" s="32" t="str">
        <f t="shared" si="2"/>
        <v>把</v>
      </c>
      <c r="V27" s="15"/>
      <c r="W27" s="35"/>
      <c r="X27" s="32">
        <f t="shared" si="5"/>
        <v>1</v>
      </c>
      <c r="Y27" s="32" t="str">
        <f t="shared" si="4"/>
        <v>把</v>
      </c>
      <c r="Z27" s="15"/>
      <c r="AA27" s="15"/>
      <c r="AB27" s="35"/>
    </row>
    <row r="28" spans="1:28" s="46" customFormat="1" ht="19.899999999999999" customHeight="1" x14ac:dyDescent="0.15">
      <c r="A28" s="34">
        <v>25</v>
      </c>
      <c r="B28" s="15" t="s">
        <v>779</v>
      </c>
      <c r="C28" s="29" t="s">
        <v>140</v>
      </c>
      <c r="D28" s="32" t="str">
        <f t="shared" si="0"/>
        <v>专用工具</v>
      </c>
      <c r="E28" s="15"/>
      <c r="F28" s="15" t="s">
        <v>144</v>
      </c>
      <c r="G28" s="15"/>
      <c r="H28" s="15"/>
      <c r="I28" s="15"/>
      <c r="J28" s="29" t="s">
        <v>1608</v>
      </c>
      <c r="K28" s="15">
        <v>1</v>
      </c>
      <c r="L28" s="29" t="s">
        <v>836</v>
      </c>
      <c r="M28" s="32" t="str">
        <f t="shared" si="1"/>
        <v>常规</v>
      </c>
      <c r="N28" s="15"/>
      <c r="O28" s="15" t="s">
        <v>2278</v>
      </c>
      <c r="P28" s="15"/>
      <c r="Q28" s="89" t="s">
        <v>2015</v>
      </c>
      <c r="R28" s="15"/>
      <c r="S28" s="15"/>
      <c r="T28" s="15"/>
      <c r="U28" s="32" t="str">
        <f t="shared" si="2"/>
        <v>把</v>
      </c>
      <c r="V28" s="15"/>
      <c r="W28" s="35"/>
      <c r="X28" s="32">
        <f t="shared" si="5"/>
        <v>1</v>
      </c>
      <c r="Y28" s="32" t="str">
        <f t="shared" si="4"/>
        <v>把</v>
      </c>
      <c r="Z28" s="15"/>
      <c r="AA28" s="15"/>
      <c r="AB28" s="35"/>
    </row>
    <row r="29" spans="1:28" s="46" customFormat="1" ht="19.899999999999999" customHeight="1" x14ac:dyDescent="0.15">
      <c r="A29" s="34">
        <v>26</v>
      </c>
      <c r="B29" s="15" t="s">
        <v>797</v>
      </c>
      <c r="C29" s="29" t="s">
        <v>140</v>
      </c>
      <c r="D29" s="32" t="str">
        <f t="shared" si="0"/>
        <v>专用工具</v>
      </c>
      <c r="E29" s="15"/>
      <c r="F29" s="15"/>
      <c r="G29" s="15"/>
      <c r="H29" s="15"/>
      <c r="I29" s="15"/>
      <c r="J29" s="29" t="s">
        <v>1608</v>
      </c>
      <c r="K29" s="15">
        <v>1</v>
      </c>
      <c r="L29" s="29" t="s">
        <v>827</v>
      </c>
      <c r="M29" s="32" t="str">
        <f t="shared" si="1"/>
        <v>常规</v>
      </c>
      <c r="N29" s="15"/>
      <c r="O29" s="15" t="s">
        <v>2279</v>
      </c>
      <c r="P29" s="15"/>
      <c r="Q29" s="89" t="s">
        <v>2148</v>
      </c>
      <c r="R29" s="15"/>
      <c r="S29" s="15"/>
      <c r="T29" s="15"/>
      <c r="U29" s="32" t="str">
        <f t="shared" si="2"/>
        <v>套</v>
      </c>
      <c r="V29" s="15"/>
      <c r="W29" s="35"/>
      <c r="X29" s="32">
        <f t="shared" si="5"/>
        <v>1</v>
      </c>
      <c r="Y29" s="32" t="str">
        <f t="shared" si="4"/>
        <v>套</v>
      </c>
      <c r="Z29" s="15"/>
      <c r="AA29" s="15"/>
      <c r="AB29" s="35"/>
    </row>
    <row r="30" spans="1:28" s="46" customFormat="1" ht="19.899999999999999" customHeight="1" x14ac:dyDescent="0.15">
      <c r="A30" s="34">
        <v>27</v>
      </c>
      <c r="B30" s="15" t="s">
        <v>798</v>
      </c>
      <c r="C30" s="29" t="s">
        <v>140</v>
      </c>
      <c r="D30" s="32" t="str">
        <f t="shared" si="0"/>
        <v>专用工具</v>
      </c>
      <c r="E30" s="15"/>
      <c r="F30" s="15"/>
      <c r="G30" s="15"/>
      <c r="H30" s="15"/>
      <c r="I30" s="15"/>
      <c r="J30" s="29" t="s">
        <v>1608</v>
      </c>
      <c r="K30" s="15">
        <v>1</v>
      </c>
      <c r="L30" s="29" t="s">
        <v>831</v>
      </c>
      <c r="M30" s="32" t="str">
        <f t="shared" si="1"/>
        <v>常规</v>
      </c>
      <c r="N30" s="15"/>
      <c r="O30" s="15" t="s">
        <v>2278</v>
      </c>
      <c r="P30" s="15"/>
      <c r="Q30" s="89" t="s">
        <v>2997</v>
      </c>
      <c r="R30" s="15"/>
      <c r="S30" s="15"/>
      <c r="T30" s="15"/>
      <c r="U30" s="32" t="str">
        <f t="shared" si="2"/>
        <v>根</v>
      </c>
      <c r="V30" s="15"/>
      <c r="W30" s="35"/>
      <c r="X30" s="32">
        <f t="shared" si="5"/>
        <v>1</v>
      </c>
      <c r="Y30" s="32" t="str">
        <f t="shared" si="4"/>
        <v>根</v>
      </c>
      <c r="Z30" s="15"/>
      <c r="AA30" s="15"/>
      <c r="AB30" s="35"/>
    </row>
    <row r="31" spans="1:28" s="46" customFormat="1" ht="19.899999999999999" customHeight="1" x14ac:dyDescent="0.15">
      <c r="A31" s="34">
        <v>28</v>
      </c>
      <c r="B31" s="15" t="s">
        <v>767</v>
      </c>
      <c r="C31" s="29" t="s">
        <v>140</v>
      </c>
      <c r="D31" s="32" t="str">
        <f t="shared" si="0"/>
        <v>专用工具</v>
      </c>
      <c r="E31" s="15"/>
      <c r="F31" s="15" t="s">
        <v>145</v>
      </c>
      <c r="G31" s="15"/>
      <c r="H31" s="15"/>
      <c r="I31" s="15"/>
      <c r="J31" s="29" t="s">
        <v>1608</v>
      </c>
      <c r="K31" s="15">
        <v>1</v>
      </c>
      <c r="L31" s="29" t="s">
        <v>823</v>
      </c>
      <c r="M31" s="32" t="str">
        <f t="shared" si="1"/>
        <v>常规</v>
      </c>
      <c r="N31" s="15"/>
      <c r="O31" s="15" t="s">
        <v>2278</v>
      </c>
      <c r="P31" s="15"/>
      <c r="Q31" s="15"/>
      <c r="R31" s="15"/>
      <c r="S31" s="15"/>
      <c r="T31" s="15"/>
      <c r="U31" s="32" t="str">
        <f t="shared" si="2"/>
        <v>个</v>
      </c>
      <c r="V31" s="15"/>
      <c r="W31" s="35"/>
      <c r="X31" s="32">
        <f t="shared" si="5"/>
        <v>1</v>
      </c>
      <c r="Y31" s="32" t="str">
        <f t="shared" si="4"/>
        <v>个</v>
      </c>
      <c r="Z31" s="15"/>
      <c r="AA31" s="15"/>
      <c r="AB31" s="35"/>
    </row>
    <row r="32" spans="1:28" s="46" customFormat="1" ht="19.899999999999999" customHeight="1" x14ac:dyDescent="0.15">
      <c r="A32" s="34">
        <v>29</v>
      </c>
      <c r="B32" s="15" t="s">
        <v>767</v>
      </c>
      <c r="C32" s="29" t="s">
        <v>140</v>
      </c>
      <c r="D32" s="32" t="str">
        <f t="shared" si="0"/>
        <v>专用工具</v>
      </c>
      <c r="E32" s="15"/>
      <c r="F32" s="15" t="s">
        <v>146</v>
      </c>
      <c r="G32" s="15"/>
      <c r="H32" s="15"/>
      <c r="I32" s="15"/>
      <c r="J32" s="29" t="s">
        <v>1608</v>
      </c>
      <c r="K32" s="15">
        <v>1</v>
      </c>
      <c r="L32" s="29" t="s">
        <v>823</v>
      </c>
      <c r="M32" s="32" t="str">
        <f t="shared" si="1"/>
        <v>常规</v>
      </c>
      <c r="N32" s="15"/>
      <c r="O32" s="15" t="s">
        <v>2278</v>
      </c>
      <c r="P32" s="15"/>
      <c r="Q32" s="15"/>
      <c r="R32" s="15"/>
      <c r="S32" s="15"/>
      <c r="T32" s="15"/>
      <c r="U32" s="32" t="str">
        <f t="shared" si="2"/>
        <v>个</v>
      </c>
      <c r="V32" s="15"/>
      <c r="W32" s="35"/>
      <c r="X32" s="32">
        <f t="shared" si="5"/>
        <v>1</v>
      </c>
      <c r="Y32" s="32" t="str">
        <f t="shared" si="4"/>
        <v>个</v>
      </c>
      <c r="Z32" s="15"/>
      <c r="AA32" s="15"/>
      <c r="AB32" s="35"/>
    </row>
    <row r="33" spans="1:28" s="46" customFormat="1" ht="19.899999999999999" customHeight="1" x14ac:dyDescent="0.15">
      <c r="A33" s="34">
        <v>30</v>
      </c>
      <c r="B33" s="15" t="s">
        <v>767</v>
      </c>
      <c r="C33" s="29" t="s">
        <v>140</v>
      </c>
      <c r="D33" s="32" t="str">
        <f t="shared" si="0"/>
        <v>专用工具</v>
      </c>
      <c r="E33" s="15"/>
      <c r="F33" s="15" t="s">
        <v>2789</v>
      </c>
      <c r="G33" s="15"/>
      <c r="H33" s="15"/>
      <c r="I33" s="15"/>
      <c r="J33" s="29" t="s">
        <v>1608</v>
      </c>
      <c r="K33" s="15">
        <v>1</v>
      </c>
      <c r="L33" s="29" t="s">
        <v>823</v>
      </c>
      <c r="M33" s="32" t="str">
        <f t="shared" si="1"/>
        <v>常规</v>
      </c>
      <c r="N33" s="15"/>
      <c r="O33" s="15" t="s">
        <v>2278</v>
      </c>
      <c r="P33" s="15"/>
      <c r="Q33" s="15"/>
      <c r="R33" s="15"/>
      <c r="S33" s="15"/>
      <c r="T33" s="15"/>
      <c r="U33" s="32" t="str">
        <f t="shared" si="2"/>
        <v>个</v>
      </c>
      <c r="V33" s="15"/>
      <c r="W33" s="35"/>
      <c r="X33" s="32">
        <f t="shared" si="5"/>
        <v>1</v>
      </c>
      <c r="Y33" s="32" t="str">
        <f t="shared" si="4"/>
        <v>个</v>
      </c>
      <c r="Z33" s="15"/>
      <c r="AA33" s="15"/>
      <c r="AB33" s="35"/>
    </row>
    <row r="34" spans="1:28" s="46" customFormat="1" ht="19.899999999999999" customHeight="1" x14ac:dyDescent="0.15">
      <c r="A34" s="34">
        <v>31</v>
      </c>
      <c r="B34" s="15" t="s">
        <v>779</v>
      </c>
      <c r="C34" s="29" t="s">
        <v>140</v>
      </c>
      <c r="D34" s="32" t="str">
        <f t="shared" si="0"/>
        <v>专用工具</v>
      </c>
      <c r="E34" s="15"/>
      <c r="F34" s="15" t="s">
        <v>147</v>
      </c>
      <c r="G34" s="15"/>
      <c r="H34" s="15"/>
      <c r="I34" s="15"/>
      <c r="J34" s="29" t="s">
        <v>1608</v>
      </c>
      <c r="K34" s="15">
        <v>1</v>
      </c>
      <c r="L34" s="29" t="s">
        <v>823</v>
      </c>
      <c r="M34" s="32" t="str">
        <f t="shared" si="1"/>
        <v>常规</v>
      </c>
      <c r="N34" s="15"/>
      <c r="O34" s="15" t="s">
        <v>2278</v>
      </c>
      <c r="P34" s="15"/>
      <c r="Q34" s="15"/>
      <c r="R34" s="15"/>
      <c r="S34" s="15"/>
      <c r="T34" s="15"/>
      <c r="U34" s="32" t="str">
        <f t="shared" si="2"/>
        <v>个</v>
      </c>
      <c r="V34" s="15"/>
      <c r="W34" s="35"/>
      <c r="X34" s="32">
        <f t="shared" si="5"/>
        <v>1</v>
      </c>
      <c r="Y34" s="32" t="str">
        <f t="shared" si="4"/>
        <v>个</v>
      </c>
      <c r="Z34" s="15"/>
      <c r="AA34" s="15"/>
      <c r="AB34" s="35"/>
    </row>
    <row r="35" spans="1:28" s="46" customFormat="1" ht="19.899999999999999" customHeight="1" x14ac:dyDescent="0.15">
      <c r="A35" s="34">
        <v>32</v>
      </c>
      <c r="B35" s="15" t="s">
        <v>779</v>
      </c>
      <c r="C35" s="29" t="s">
        <v>140</v>
      </c>
      <c r="D35" s="32" t="str">
        <f t="shared" si="0"/>
        <v>专用工具</v>
      </c>
      <c r="E35" s="15"/>
      <c r="F35" s="15" t="s">
        <v>148</v>
      </c>
      <c r="G35" s="15"/>
      <c r="H35" s="15"/>
      <c r="I35" s="15"/>
      <c r="J35" s="29" t="s">
        <v>1608</v>
      </c>
      <c r="K35" s="15">
        <v>1</v>
      </c>
      <c r="L35" s="29" t="s">
        <v>823</v>
      </c>
      <c r="M35" s="32" t="str">
        <f t="shared" si="1"/>
        <v>常规</v>
      </c>
      <c r="N35" s="15"/>
      <c r="O35" s="15" t="s">
        <v>2278</v>
      </c>
      <c r="P35" s="15"/>
      <c r="Q35" s="15"/>
      <c r="R35" s="15"/>
      <c r="S35" s="15"/>
      <c r="T35" s="15"/>
      <c r="U35" s="32" t="str">
        <f t="shared" si="2"/>
        <v>个</v>
      </c>
      <c r="V35" s="15"/>
      <c r="W35" s="35"/>
      <c r="X35" s="32">
        <f t="shared" si="5"/>
        <v>1</v>
      </c>
      <c r="Y35" s="32" t="str">
        <f t="shared" si="4"/>
        <v>个</v>
      </c>
      <c r="Z35" s="15"/>
      <c r="AA35" s="15"/>
      <c r="AB35" s="35"/>
    </row>
    <row r="36" spans="1:28" s="46" customFormat="1" ht="19.899999999999999" customHeight="1" x14ac:dyDescent="0.15">
      <c r="A36" s="34">
        <v>33</v>
      </c>
      <c r="B36" s="15" t="s">
        <v>779</v>
      </c>
      <c r="C36" s="29" t="s">
        <v>140</v>
      </c>
      <c r="D36" s="32" t="str">
        <f t="shared" ref="D36:D61" si="6">IF(C36="J1","常规化学品",IF(C36="J2","危险化学品",IF(C36="J3","标准物质",IF(C36="J4","玻璃仪器",IF(C36="J5","实验气体",IF(C36="J6","专用物耗",IF(C36="J7","备品配件",IF(C36="J8","专用工具",IF(C36="Z1","劳保物资",IF(C36="Z2","办公耗材",IF(C36="Z3","食品饮料",IF(C36="Z4","特殊物耗",IF(C36="Z5","通用物耗",IF(C36="Z6","通用工具",""))))))))))))))</f>
        <v>专用工具</v>
      </c>
      <c r="E36" s="15"/>
      <c r="F36" s="15">
        <v>20503022</v>
      </c>
      <c r="G36" s="15" t="s">
        <v>799</v>
      </c>
      <c r="H36" s="15"/>
      <c r="I36" s="15"/>
      <c r="J36" s="29" t="s">
        <v>1608</v>
      </c>
      <c r="K36" s="15">
        <v>1</v>
      </c>
      <c r="L36" s="29" t="s">
        <v>827</v>
      </c>
      <c r="M36" s="32" t="str">
        <f t="shared" ref="M36:M61" si="7">IF(D36="危险化学品","五双",IF(D36="标准物资","严控",IF(D36&lt;&gt;"","常规","")))</f>
        <v>常规</v>
      </c>
      <c r="N36" s="15"/>
      <c r="O36" s="15" t="s">
        <v>2278</v>
      </c>
      <c r="P36" s="15"/>
      <c r="Q36" s="15"/>
      <c r="R36" s="15"/>
      <c r="S36" s="15"/>
      <c r="T36" s="15"/>
      <c r="U36" s="32" t="str">
        <f t="shared" si="2"/>
        <v>套</v>
      </c>
      <c r="V36" s="15"/>
      <c r="W36" s="35"/>
      <c r="X36" s="32">
        <f t="shared" si="5"/>
        <v>1</v>
      </c>
      <c r="Y36" s="32" t="str">
        <f t="shared" si="4"/>
        <v>套</v>
      </c>
      <c r="Z36" s="15"/>
      <c r="AA36" s="15"/>
      <c r="AB36" s="35"/>
    </row>
    <row r="37" spans="1:28" s="46" customFormat="1" ht="19.899999999999999" customHeight="1" x14ac:dyDescent="0.15">
      <c r="A37" s="34">
        <v>34</v>
      </c>
      <c r="B37" s="15" t="s">
        <v>779</v>
      </c>
      <c r="C37" s="29" t="s">
        <v>140</v>
      </c>
      <c r="D37" s="32" t="str">
        <f t="shared" si="6"/>
        <v>专用工具</v>
      </c>
      <c r="E37" s="15"/>
      <c r="F37" s="15">
        <v>20501804</v>
      </c>
      <c r="G37" s="15" t="s">
        <v>800</v>
      </c>
      <c r="H37" s="15"/>
      <c r="I37" s="15"/>
      <c r="J37" s="29" t="s">
        <v>1608</v>
      </c>
      <c r="K37" s="15">
        <v>1</v>
      </c>
      <c r="L37" s="29" t="s">
        <v>827</v>
      </c>
      <c r="M37" s="32" t="str">
        <f t="shared" si="7"/>
        <v>常规</v>
      </c>
      <c r="N37" s="15"/>
      <c r="O37" s="15" t="s">
        <v>2278</v>
      </c>
      <c r="P37" s="15"/>
      <c r="Q37" s="15"/>
      <c r="R37" s="15"/>
      <c r="S37" s="15"/>
      <c r="T37" s="15"/>
      <c r="U37" s="32" t="str">
        <f t="shared" si="2"/>
        <v>套</v>
      </c>
      <c r="V37" s="15"/>
      <c r="W37" s="35"/>
      <c r="X37" s="32">
        <f t="shared" si="5"/>
        <v>1</v>
      </c>
      <c r="Y37" s="32" t="str">
        <f t="shared" si="4"/>
        <v>套</v>
      </c>
      <c r="Z37" s="15"/>
      <c r="AA37" s="15"/>
      <c r="AB37" s="35"/>
    </row>
    <row r="38" spans="1:28" s="46" customFormat="1" ht="19.899999999999999" customHeight="1" x14ac:dyDescent="0.15">
      <c r="A38" s="34">
        <v>35</v>
      </c>
      <c r="B38" s="15" t="s">
        <v>801</v>
      </c>
      <c r="C38" s="29" t="s">
        <v>140</v>
      </c>
      <c r="D38" s="32" t="str">
        <f t="shared" si="6"/>
        <v>专用工具</v>
      </c>
      <c r="E38" s="15"/>
      <c r="F38" s="15">
        <v>20501804</v>
      </c>
      <c r="G38" s="15"/>
      <c r="H38" s="15"/>
      <c r="I38" s="15"/>
      <c r="J38" s="29" t="s">
        <v>1608</v>
      </c>
      <c r="K38" s="15">
        <v>1</v>
      </c>
      <c r="L38" s="29" t="s">
        <v>822</v>
      </c>
      <c r="M38" s="32" t="str">
        <f t="shared" si="7"/>
        <v>常规</v>
      </c>
      <c r="N38" s="15"/>
      <c r="O38" s="15" t="s">
        <v>2278</v>
      </c>
      <c r="P38" s="15"/>
      <c r="Q38" s="15"/>
      <c r="R38" s="15"/>
      <c r="S38" s="15"/>
      <c r="T38" s="15"/>
      <c r="U38" s="32" t="str">
        <f t="shared" si="2"/>
        <v>只</v>
      </c>
      <c r="V38" s="15"/>
      <c r="W38" s="35"/>
      <c r="X38" s="32">
        <f t="shared" ref="X38:X61" si="8">IF((K38-T38)&lt;=0,"",K38-T38)</f>
        <v>1</v>
      </c>
      <c r="Y38" s="32" t="str">
        <f t="shared" si="4"/>
        <v>只</v>
      </c>
      <c r="Z38" s="15"/>
      <c r="AA38" s="15"/>
      <c r="AB38" s="35"/>
    </row>
    <row r="39" spans="1:28" s="46" customFormat="1" ht="19.899999999999999" customHeight="1" x14ac:dyDescent="0.15">
      <c r="A39" s="34">
        <v>36</v>
      </c>
      <c r="B39" s="15" t="s">
        <v>801</v>
      </c>
      <c r="C39" s="29" t="s">
        <v>140</v>
      </c>
      <c r="D39" s="32" t="str">
        <f t="shared" si="6"/>
        <v>专用工具</v>
      </c>
      <c r="E39" s="15"/>
      <c r="F39" s="15">
        <v>2450700</v>
      </c>
      <c r="G39" s="15"/>
      <c r="H39" s="15"/>
      <c r="I39" s="15" t="s">
        <v>2962</v>
      </c>
      <c r="J39" s="29" t="s">
        <v>1608</v>
      </c>
      <c r="K39" s="15">
        <v>1</v>
      </c>
      <c r="L39" s="29" t="s">
        <v>822</v>
      </c>
      <c r="M39" s="32" t="str">
        <f t="shared" si="7"/>
        <v>常规</v>
      </c>
      <c r="N39" s="15" t="s">
        <v>2963</v>
      </c>
      <c r="O39" s="15" t="s">
        <v>2278</v>
      </c>
      <c r="P39" s="15"/>
      <c r="Q39" s="15"/>
      <c r="R39" s="15"/>
      <c r="S39" s="15" t="s">
        <v>2961</v>
      </c>
      <c r="T39" s="15"/>
      <c r="U39" s="32" t="str">
        <f t="shared" si="2"/>
        <v>只</v>
      </c>
      <c r="V39" s="15"/>
      <c r="W39" s="35"/>
      <c r="X39" s="32">
        <f t="shared" si="8"/>
        <v>1</v>
      </c>
      <c r="Y39" s="32" t="str">
        <f t="shared" si="4"/>
        <v>只</v>
      </c>
      <c r="Z39" s="15"/>
      <c r="AA39" s="15"/>
      <c r="AB39" s="35"/>
    </row>
    <row r="40" spans="1:28" s="46" customFormat="1" ht="19.899999999999999" customHeight="1" x14ac:dyDescent="0.15">
      <c r="A40" s="34">
        <v>37</v>
      </c>
      <c r="B40" s="15" t="s">
        <v>793</v>
      </c>
      <c r="C40" s="29" t="s">
        <v>140</v>
      </c>
      <c r="D40" s="32" t="str">
        <f t="shared" si="6"/>
        <v>专用工具</v>
      </c>
      <c r="E40" s="15"/>
      <c r="F40" s="15"/>
      <c r="G40" s="15"/>
      <c r="H40" s="15"/>
      <c r="I40" s="15"/>
      <c r="J40" s="29" t="s">
        <v>1608</v>
      </c>
      <c r="K40" s="15">
        <v>2</v>
      </c>
      <c r="L40" s="29" t="s">
        <v>823</v>
      </c>
      <c r="M40" s="32" t="str">
        <f t="shared" si="7"/>
        <v>常规</v>
      </c>
      <c r="N40" s="15"/>
      <c r="O40" s="15" t="s">
        <v>2278</v>
      </c>
      <c r="P40" s="15"/>
      <c r="Q40" s="15"/>
      <c r="R40" s="15"/>
      <c r="S40" s="15"/>
      <c r="T40" s="15"/>
      <c r="U40" s="32" t="str">
        <f t="shared" si="2"/>
        <v>个</v>
      </c>
      <c r="V40" s="15"/>
      <c r="W40" s="35"/>
      <c r="X40" s="32">
        <f t="shared" si="8"/>
        <v>2</v>
      </c>
      <c r="Y40" s="32" t="str">
        <f t="shared" si="4"/>
        <v>个</v>
      </c>
      <c r="Z40" s="15"/>
      <c r="AA40" s="15"/>
      <c r="AB40" s="35"/>
    </row>
    <row r="41" spans="1:28" s="46" customFormat="1" ht="19.899999999999999" customHeight="1" x14ac:dyDescent="0.15">
      <c r="A41" s="34">
        <v>38</v>
      </c>
      <c r="B41" s="15" t="s">
        <v>802</v>
      </c>
      <c r="C41" s="29" t="s">
        <v>140</v>
      </c>
      <c r="D41" s="32" t="str">
        <f t="shared" si="6"/>
        <v>专用工具</v>
      </c>
      <c r="E41" s="15"/>
      <c r="F41" s="15" t="s">
        <v>803</v>
      </c>
      <c r="G41" s="15"/>
      <c r="H41" s="15"/>
      <c r="I41" s="15"/>
      <c r="J41" s="29" t="s">
        <v>1608</v>
      </c>
      <c r="K41" s="15">
        <v>1</v>
      </c>
      <c r="L41" s="29" t="s">
        <v>836</v>
      </c>
      <c r="M41" s="32" t="str">
        <f t="shared" si="7"/>
        <v>常规</v>
      </c>
      <c r="N41" s="15"/>
      <c r="O41" s="15" t="s">
        <v>2278</v>
      </c>
      <c r="P41" s="15"/>
      <c r="Q41" s="15"/>
      <c r="R41" s="15"/>
      <c r="S41" s="15"/>
      <c r="T41" s="15"/>
      <c r="U41" s="32" t="str">
        <f t="shared" si="2"/>
        <v>把</v>
      </c>
      <c r="V41" s="15"/>
      <c r="W41" s="35"/>
      <c r="X41" s="32">
        <f t="shared" si="8"/>
        <v>1</v>
      </c>
      <c r="Y41" s="32" t="str">
        <f t="shared" si="4"/>
        <v>把</v>
      </c>
      <c r="Z41" s="15"/>
      <c r="AA41" s="15"/>
      <c r="AB41" s="35"/>
    </row>
    <row r="42" spans="1:28" s="46" customFormat="1" ht="19.899999999999999" customHeight="1" x14ac:dyDescent="0.15">
      <c r="A42" s="34">
        <v>39</v>
      </c>
      <c r="B42" s="15" t="s">
        <v>767</v>
      </c>
      <c r="C42" s="29" t="s">
        <v>140</v>
      </c>
      <c r="D42" s="32" t="str">
        <f t="shared" si="6"/>
        <v>专用工具</v>
      </c>
      <c r="E42" s="15"/>
      <c r="F42" s="15" t="s">
        <v>791</v>
      </c>
      <c r="G42" s="15"/>
      <c r="H42" s="15"/>
      <c r="I42" s="15" t="s">
        <v>2901</v>
      </c>
      <c r="J42" s="29" t="s">
        <v>1608</v>
      </c>
      <c r="K42" s="15">
        <v>4</v>
      </c>
      <c r="L42" s="29" t="s">
        <v>836</v>
      </c>
      <c r="M42" s="32" t="str">
        <f t="shared" si="7"/>
        <v>常规</v>
      </c>
      <c r="N42" s="15"/>
      <c r="O42" s="15" t="s">
        <v>2278</v>
      </c>
      <c r="P42" s="15"/>
      <c r="Q42" s="15"/>
      <c r="R42" s="15"/>
      <c r="S42" s="15" t="s">
        <v>2900</v>
      </c>
      <c r="T42" s="15"/>
      <c r="U42" s="32" t="str">
        <f t="shared" si="2"/>
        <v>把</v>
      </c>
      <c r="V42" s="15"/>
      <c r="W42" s="35"/>
      <c r="X42" s="32">
        <f t="shared" si="8"/>
        <v>4</v>
      </c>
      <c r="Y42" s="32" t="str">
        <f t="shared" si="4"/>
        <v>把</v>
      </c>
      <c r="Z42" s="15"/>
      <c r="AA42" s="15"/>
      <c r="AB42" s="15" t="s">
        <v>2865</v>
      </c>
    </row>
    <row r="43" spans="1:28" s="46" customFormat="1" ht="19.899999999999999" customHeight="1" x14ac:dyDescent="0.15">
      <c r="A43" s="34">
        <v>40</v>
      </c>
      <c r="B43" s="15" t="s">
        <v>767</v>
      </c>
      <c r="C43" s="29" t="s">
        <v>140</v>
      </c>
      <c r="D43" s="32" t="str">
        <f t="shared" si="6"/>
        <v>专用工具</v>
      </c>
      <c r="E43" s="15"/>
      <c r="F43" s="15" t="s">
        <v>804</v>
      </c>
      <c r="G43" s="15"/>
      <c r="H43" s="15"/>
      <c r="I43" s="15"/>
      <c r="J43" s="29" t="s">
        <v>1608</v>
      </c>
      <c r="K43" s="15">
        <v>2</v>
      </c>
      <c r="L43" s="29" t="s">
        <v>836</v>
      </c>
      <c r="M43" s="32" t="str">
        <f t="shared" si="7"/>
        <v>常规</v>
      </c>
      <c r="N43" s="15"/>
      <c r="O43" s="15" t="s">
        <v>2278</v>
      </c>
      <c r="P43" s="15"/>
      <c r="Q43" s="15"/>
      <c r="R43" s="15"/>
      <c r="S43" s="15"/>
      <c r="T43" s="15"/>
      <c r="U43" s="32" t="str">
        <f t="shared" si="2"/>
        <v>把</v>
      </c>
      <c r="V43" s="15"/>
      <c r="W43" s="35"/>
      <c r="X43" s="32">
        <f t="shared" si="8"/>
        <v>2</v>
      </c>
      <c r="Y43" s="32" t="str">
        <f t="shared" si="4"/>
        <v>把</v>
      </c>
      <c r="Z43" s="15"/>
      <c r="AA43" s="15"/>
      <c r="AB43" s="35"/>
    </row>
    <row r="44" spans="1:28" s="175" customFormat="1" ht="19.899999999999999" customHeight="1" x14ac:dyDescent="0.15">
      <c r="A44" s="163">
        <v>41</v>
      </c>
      <c r="B44" s="167" t="s">
        <v>767</v>
      </c>
      <c r="C44" s="165" t="s">
        <v>140</v>
      </c>
      <c r="D44" s="166" t="str">
        <f t="shared" si="6"/>
        <v>专用工具</v>
      </c>
      <c r="E44" s="167"/>
      <c r="F44" s="167" t="s">
        <v>805</v>
      </c>
      <c r="G44" s="167"/>
      <c r="H44" s="167"/>
      <c r="I44" s="167"/>
      <c r="J44" s="165" t="s">
        <v>1608</v>
      </c>
      <c r="K44" s="167">
        <v>1</v>
      </c>
      <c r="L44" s="165" t="s">
        <v>836</v>
      </c>
      <c r="M44" s="166" t="str">
        <f t="shared" si="7"/>
        <v>常规</v>
      </c>
      <c r="N44" s="167"/>
      <c r="O44" s="167" t="s">
        <v>2278</v>
      </c>
      <c r="P44" s="167"/>
      <c r="Q44" s="167"/>
      <c r="R44" s="167"/>
      <c r="S44" s="167" t="s">
        <v>2957</v>
      </c>
      <c r="T44" s="167">
        <v>1</v>
      </c>
      <c r="U44" s="166" t="str">
        <f t="shared" si="2"/>
        <v>把</v>
      </c>
      <c r="V44" s="167"/>
      <c r="W44" s="172"/>
      <c r="X44" s="166" t="str">
        <f t="shared" si="8"/>
        <v/>
      </c>
      <c r="Y44" s="166" t="str">
        <f t="shared" si="4"/>
        <v>把</v>
      </c>
      <c r="Z44" s="167"/>
      <c r="AA44" s="167"/>
      <c r="AB44" s="172" t="s">
        <v>2992</v>
      </c>
    </row>
    <row r="45" spans="1:28" s="46" customFormat="1" ht="19.899999999999999" customHeight="1" x14ac:dyDescent="0.15">
      <c r="A45" s="34">
        <v>42</v>
      </c>
      <c r="B45" s="15" t="s">
        <v>767</v>
      </c>
      <c r="C45" s="29" t="s">
        <v>140</v>
      </c>
      <c r="D45" s="32" t="str">
        <f t="shared" si="6"/>
        <v>专用工具</v>
      </c>
      <c r="E45" s="15"/>
      <c r="F45" s="15" t="s">
        <v>803</v>
      </c>
      <c r="G45" s="15"/>
      <c r="H45" s="15"/>
      <c r="I45" s="15"/>
      <c r="J45" s="29" t="s">
        <v>1608</v>
      </c>
      <c r="K45" s="15">
        <v>1</v>
      </c>
      <c r="L45" s="29" t="s">
        <v>836</v>
      </c>
      <c r="M45" s="32" t="str">
        <f t="shared" si="7"/>
        <v>常规</v>
      </c>
      <c r="N45" s="15"/>
      <c r="O45" s="15" t="s">
        <v>2278</v>
      </c>
      <c r="P45" s="15"/>
      <c r="Q45" s="15"/>
      <c r="R45" s="15"/>
      <c r="S45" s="15"/>
      <c r="T45" s="15"/>
      <c r="U45" s="32" t="str">
        <f t="shared" si="2"/>
        <v>把</v>
      </c>
      <c r="V45" s="15"/>
      <c r="W45" s="35"/>
      <c r="X45" s="32">
        <f t="shared" si="8"/>
        <v>1</v>
      </c>
      <c r="Y45" s="32" t="str">
        <f t="shared" si="4"/>
        <v>把</v>
      </c>
      <c r="Z45" s="15"/>
      <c r="AA45" s="15"/>
      <c r="AB45" s="35"/>
    </row>
    <row r="46" spans="1:28" s="175" customFormat="1" ht="19.899999999999999" customHeight="1" x14ac:dyDescent="0.15">
      <c r="A46" s="163">
        <v>43</v>
      </c>
      <c r="B46" s="167" t="s">
        <v>767</v>
      </c>
      <c r="C46" s="165" t="s">
        <v>140</v>
      </c>
      <c r="D46" s="166" t="str">
        <f t="shared" si="6"/>
        <v>专用工具</v>
      </c>
      <c r="E46" s="167"/>
      <c r="F46" s="167" t="s">
        <v>806</v>
      </c>
      <c r="G46" s="167"/>
      <c r="H46" s="167"/>
      <c r="I46" s="167"/>
      <c r="J46" s="165" t="s">
        <v>1608</v>
      </c>
      <c r="K46" s="167">
        <v>1</v>
      </c>
      <c r="L46" s="165" t="s">
        <v>836</v>
      </c>
      <c r="M46" s="166" t="str">
        <f t="shared" si="7"/>
        <v>常规</v>
      </c>
      <c r="N46" s="167"/>
      <c r="O46" s="167" t="s">
        <v>2278</v>
      </c>
      <c r="P46" s="167"/>
      <c r="Q46" s="167"/>
      <c r="R46" s="167"/>
      <c r="S46" s="167" t="s">
        <v>2958</v>
      </c>
      <c r="T46" s="167">
        <v>1</v>
      </c>
      <c r="U46" s="166" t="str">
        <f t="shared" si="2"/>
        <v>把</v>
      </c>
      <c r="V46" s="167"/>
      <c r="W46" s="172"/>
      <c r="X46" s="166" t="str">
        <f t="shared" si="8"/>
        <v/>
      </c>
      <c r="Y46" s="166" t="str">
        <f t="shared" si="4"/>
        <v>把</v>
      </c>
      <c r="Z46" s="167"/>
      <c r="AA46" s="167"/>
      <c r="AB46" s="172" t="s">
        <v>2992</v>
      </c>
    </row>
    <row r="47" spans="1:28" s="46" customFormat="1" ht="19.899999999999999" customHeight="1" x14ac:dyDescent="0.15">
      <c r="A47" s="34">
        <v>44</v>
      </c>
      <c r="B47" s="15" t="s">
        <v>790</v>
      </c>
      <c r="C47" s="29" t="s">
        <v>140</v>
      </c>
      <c r="D47" s="32" t="str">
        <f t="shared" si="6"/>
        <v>专用工具</v>
      </c>
      <c r="E47" s="15"/>
      <c r="F47" s="15">
        <v>5</v>
      </c>
      <c r="G47" s="15"/>
      <c r="H47" s="15"/>
      <c r="I47" s="15"/>
      <c r="J47" s="29" t="s">
        <v>1608</v>
      </c>
      <c r="K47" s="15">
        <v>1</v>
      </c>
      <c r="L47" s="29" t="s">
        <v>836</v>
      </c>
      <c r="M47" s="32" t="str">
        <f t="shared" si="7"/>
        <v>常规</v>
      </c>
      <c r="N47" s="15"/>
      <c r="O47" s="15" t="s">
        <v>2278</v>
      </c>
      <c r="P47" s="15"/>
      <c r="Q47" s="15"/>
      <c r="R47" s="15"/>
      <c r="S47" s="15"/>
      <c r="T47" s="15"/>
      <c r="U47" s="32" t="str">
        <f t="shared" si="2"/>
        <v>把</v>
      </c>
      <c r="V47" s="15"/>
      <c r="W47" s="35"/>
      <c r="X47" s="32">
        <f t="shared" si="8"/>
        <v>1</v>
      </c>
      <c r="Y47" s="32" t="str">
        <f t="shared" si="4"/>
        <v>把</v>
      </c>
      <c r="Z47" s="15"/>
      <c r="AA47" s="15"/>
    </row>
    <row r="48" spans="1:28" s="46" customFormat="1" ht="19.899999999999999" customHeight="1" x14ac:dyDescent="0.15">
      <c r="A48" s="34">
        <v>45</v>
      </c>
      <c r="B48" s="289" t="s">
        <v>790</v>
      </c>
      <c r="C48" s="29" t="s">
        <v>140</v>
      </c>
      <c r="D48" s="32" t="str">
        <f t="shared" si="6"/>
        <v>专用工具</v>
      </c>
      <c r="E48" s="15"/>
      <c r="F48" s="46">
        <v>6</v>
      </c>
      <c r="G48" s="15"/>
      <c r="H48" s="15"/>
      <c r="I48" s="15"/>
      <c r="J48" s="29" t="s">
        <v>1608</v>
      </c>
      <c r="K48" s="15">
        <v>1</v>
      </c>
      <c r="L48" s="29" t="s">
        <v>836</v>
      </c>
      <c r="M48" s="32" t="str">
        <f t="shared" si="7"/>
        <v>常规</v>
      </c>
      <c r="N48" s="15"/>
      <c r="O48" s="15" t="s">
        <v>2278</v>
      </c>
      <c r="P48" s="15"/>
      <c r="Q48" s="15"/>
      <c r="R48" s="15"/>
      <c r="T48" s="15"/>
      <c r="U48" s="32" t="str">
        <f t="shared" si="2"/>
        <v>把</v>
      </c>
      <c r="V48" s="15"/>
      <c r="W48" s="35"/>
      <c r="X48" s="32">
        <f t="shared" si="8"/>
        <v>1</v>
      </c>
      <c r="Y48" s="32" t="str">
        <f t="shared" si="4"/>
        <v>把</v>
      </c>
      <c r="Z48" s="15"/>
      <c r="AA48" s="15"/>
      <c r="AB48" s="35"/>
    </row>
    <row r="49" spans="1:28" s="46" customFormat="1" ht="19.899999999999999" customHeight="1" x14ac:dyDescent="0.15">
      <c r="A49" s="34">
        <v>46</v>
      </c>
      <c r="B49" s="15" t="s">
        <v>790</v>
      </c>
      <c r="C49" s="29" t="s">
        <v>140</v>
      </c>
      <c r="D49" s="32" t="str">
        <f t="shared" si="6"/>
        <v>专用工具</v>
      </c>
      <c r="E49" s="15"/>
      <c r="F49" s="290" t="s">
        <v>141</v>
      </c>
      <c r="G49" s="15"/>
      <c r="H49" s="15"/>
      <c r="I49" s="15"/>
      <c r="J49" s="29" t="s">
        <v>1608</v>
      </c>
      <c r="K49" s="15">
        <v>3</v>
      </c>
      <c r="L49" s="29" t="s">
        <v>836</v>
      </c>
      <c r="M49" s="32" t="str">
        <f t="shared" si="7"/>
        <v>常规</v>
      </c>
      <c r="N49" s="15"/>
      <c r="O49" s="15" t="s">
        <v>2278</v>
      </c>
      <c r="P49" s="15"/>
      <c r="Q49" s="15"/>
      <c r="R49" s="15"/>
      <c r="S49" s="15"/>
      <c r="T49" s="15"/>
      <c r="U49" s="32" t="str">
        <f t="shared" si="2"/>
        <v>把</v>
      </c>
      <c r="V49" s="15"/>
      <c r="W49" s="35"/>
      <c r="X49" s="32">
        <f t="shared" si="8"/>
        <v>3</v>
      </c>
      <c r="Y49" s="32" t="str">
        <f t="shared" si="4"/>
        <v>把</v>
      </c>
      <c r="Z49" s="15"/>
      <c r="AA49" s="15"/>
      <c r="AB49" s="35"/>
    </row>
    <row r="50" spans="1:28" s="46" customFormat="1" ht="19.899999999999999" customHeight="1" x14ac:dyDescent="0.15">
      <c r="A50" s="34">
        <v>47</v>
      </c>
      <c r="B50" s="15" t="s">
        <v>807</v>
      </c>
      <c r="C50" s="29" t="s">
        <v>140</v>
      </c>
      <c r="D50" s="32" t="str">
        <f t="shared" si="6"/>
        <v>专用工具</v>
      </c>
      <c r="E50" s="15"/>
      <c r="F50" s="291">
        <v>1260715001</v>
      </c>
      <c r="G50" s="15"/>
      <c r="H50" s="15"/>
      <c r="I50" s="15"/>
      <c r="J50" s="29" t="s">
        <v>1608</v>
      </c>
      <c r="K50" s="15">
        <v>3</v>
      </c>
      <c r="L50" s="29" t="s">
        <v>836</v>
      </c>
      <c r="M50" s="32" t="str">
        <f t="shared" si="7"/>
        <v>常规</v>
      </c>
      <c r="N50" s="15"/>
      <c r="O50" s="15" t="s">
        <v>2278</v>
      </c>
      <c r="P50" s="15"/>
      <c r="Q50" s="15"/>
      <c r="R50" s="15"/>
      <c r="S50" s="15"/>
      <c r="T50" s="15"/>
      <c r="U50" s="32" t="str">
        <f t="shared" si="2"/>
        <v>把</v>
      </c>
      <c r="V50" s="15"/>
      <c r="W50" s="35"/>
      <c r="X50" s="32">
        <f t="shared" si="8"/>
        <v>3</v>
      </c>
      <c r="Y50" s="32" t="str">
        <f t="shared" si="4"/>
        <v>把</v>
      </c>
      <c r="Z50" s="15"/>
      <c r="AA50" s="15"/>
      <c r="AB50" s="35"/>
    </row>
    <row r="51" spans="1:28" s="46" customFormat="1" ht="19.899999999999999" customHeight="1" x14ac:dyDescent="0.15">
      <c r="A51" s="34">
        <v>48</v>
      </c>
      <c r="B51" s="15" t="s">
        <v>2001</v>
      </c>
      <c r="C51" s="29" t="s">
        <v>140</v>
      </c>
      <c r="D51" s="32" t="str">
        <f t="shared" si="6"/>
        <v>专用工具</v>
      </c>
      <c r="E51" s="15"/>
      <c r="F51" s="291" t="s">
        <v>2002</v>
      </c>
      <c r="G51" s="15"/>
      <c r="H51" s="15"/>
      <c r="I51" s="15"/>
      <c r="J51" s="29" t="s">
        <v>1608</v>
      </c>
      <c r="K51" s="15">
        <v>3</v>
      </c>
      <c r="L51" s="29" t="s">
        <v>836</v>
      </c>
      <c r="M51" s="32" t="str">
        <f t="shared" si="7"/>
        <v>常规</v>
      </c>
      <c r="N51" s="15"/>
      <c r="O51" s="15" t="s">
        <v>2278</v>
      </c>
      <c r="P51" s="15"/>
      <c r="Q51" s="15"/>
      <c r="R51" s="15"/>
      <c r="S51" s="15"/>
      <c r="T51" s="15"/>
      <c r="U51" s="32" t="str">
        <f t="shared" si="2"/>
        <v>把</v>
      </c>
      <c r="V51" s="15"/>
      <c r="W51" s="35"/>
      <c r="X51" s="32">
        <f t="shared" si="8"/>
        <v>3</v>
      </c>
      <c r="Y51" s="32" t="str">
        <f t="shared" si="4"/>
        <v>把</v>
      </c>
      <c r="Z51" s="15"/>
      <c r="AA51" s="15"/>
      <c r="AB51" s="35"/>
    </row>
    <row r="52" spans="1:28" s="46" customFormat="1" ht="19.899999999999999" customHeight="1" x14ac:dyDescent="0.15">
      <c r="A52" s="34">
        <v>49</v>
      </c>
      <c r="B52" s="15" t="s">
        <v>2001</v>
      </c>
      <c r="C52" s="29" t="s">
        <v>140</v>
      </c>
      <c r="D52" s="32" t="str">
        <f t="shared" si="6"/>
        <v>专用工具</v>
      </c>
      <c r="E52" s="15"/>
      <c r="F52" s="15" t="s">
        <v>2003</v>
      </c>
      <c r="G52" s="15"/>
      <c r="H52" s="15"/>
      <c r="I52" s="15"/>
      <c r="J52" s="29" t="s">
        <v>1608</v>
      </c>
      <c r="K52" s="15">
        <v>1</v>
      </c>
      <c r="L52" s="29" t="s">
        <v>836</v>
      </c>
      <c r="M52" s="32" t="str">
        <f t="shared" si="7"/>
        <v>常规</v>
      </c>
      <c r="N52" s="15"/>
      <c r="O52" s="15" t="s">
        <v>2278</v>
      </c>
      <c r="P52" s="15"/>
      <c r="Q52" s="15"/>
      <c r="R52" s="15"/>
      <c r="S52" s="15"/>
      <c r="T52" s="15"/>
      <c r="U52" s="32" t="str">
        <f t="shared" si="2"/>
        <v>把</v>
      </c>
      <c r="V52" s="15"/>
      <c r="W52" s="35"/>
      <c r="X52" s="32">
        <f t="shared" si="8"/>
        <v>1</v>
      </c>
      <c r="Y52" s="32" t="str">
        <f t="shared" si="4"/>
        <v>把</v>
      </c>
      <c r="Z52" s="15"/>
      <c r="AA52" s="15"/>
      <c r="AB52" s="35"/>
    </row>
    <row r="53" spans="1:28" s="46" customFormat="1" ht="19.899999999999999" customHeight="1" x14ac:dyDescent="0.15">
      <c r="A53" s="34">
        <v>50</v>
      </c>
      <c r="B53" s="15" t="s">
        <v>2001</v>
      </c>
      <c r="C53" s="29" t="s">
        <v>140</v>
      </c>
      <c r="D53" s="32" t="str">
        <f t="shared" si="6"/>
        <v>专用工具</v>
      </c>
      <c r="E53" s="15"/>
      <c r="F53" s="15" t="s">
        <v>2004</v>
      </c>
      <c r="G53" s="15"/>
      <c r="H53" s="15"/>
      <c r="I53" s="15"/>
      <c r="J53" s="29" t="s">
        <v>1608</v>
      </c>
      <c r="K53" s="15">
        <v>1</v>
      </c>
      <c r="L53" s="29" t="s">
        <v>836</v>
      </c>
      <c r="M53" s="32" t="str">
        <f t="shared" si="7"/>
        <v>常规</v>
      </c>
      <c r="N53" s="15"/>
      <c r="O53" s="15" t="s">
        <v>2278</v>
      </c>
      <c r="P53" s="15"/>
      <c r="Q53" s="15"/>
      <c r="R53" s="15"/>
      <c r="S53" s="15"/>
      <c r="T53" s="15"/>
      <c r="U53" s="32" t="str">
        <f t="shared" si="2"/>
        <v>把</v>
      </c>
      <c r="V53" s="15"/>
      <c r="W53" s="35"/>
      <c r="X53" s="32">
        <f t="shared" si="8"/>
        <v>1</v>
      </c>
      <c r="Y53" s="32" t="str">
        <f t="shared" si="4"/>
        <v>把</v>
      </c>
      <c r="Z53" s="15"/>
      <c r="AA53" s="15"/>
      <c r="AB53" s="35"/>
    </row>
    <row r="54" spans="1:28" s="46" customFormat="1" ht="19.899999999999999" customHeight="1" x14ac:dyDescent="0.15">
      <c r="A54" s="34">
        <v>51</v>
      </c>
      <c r="B54" s="15" t="s">
        <v>2005</v>
      </c>
      <c r="C54" s="29" t="s">
        <v>140</v>
      </c>
      <c r="D54" s="32" t="str">
        <f t="shared" si="6"/>
        <v>专用工具</v>
      </c>
      <c r="E54" s="15"/>
      <c r="F54" s="15" t="s">
        <v>2006</v>
      </c>
      <c r="G54" s="15"/>
      <c r="H54" s="15"/>
      <c r="I54" s="15"/>
      <c r="J54" s="29" t="s">
        <v>1608</v>
      </c>
      <c r="K54" s="15">
        <v>1</v>
      </c>
      <c r="L54" s="29" t="s">
        <v>836</v>
      </c>
      <c r="M54" s="32" t="str">
        <f t="shared" si="7"/>
        <v>常规</v>
      </c>
      <c r="N54" s="15"/>
      <c r="O54" s="15" t="s">
        <v>2278</v>
      </c>
      <c r="P54" s="15"/>
      <c r="Q54" s="15"/>
      <c r="R54" s="15"/>
      <c r="S54" s="15"/>
      <c r="T54" s="15"/>
      <c r="U54" s="32" t="str">
        <f t="shared" si="2"/>
        <v>把</v>
      </c>
      <c r="V54" s="15"/>
      <c r="W54" s="35"/>
      <c r="X54" s="32">
        <f t="shared" si="8"/>
        <v>1</v>
      </c>
      <c r="Y54" s="32" t="str">
        <f t="shared" si="4"/>
        <v>把</v>
      </c>
      <c r="Z54" s="15"/>
      <c r="AA54" s="15"/>
      <c r="AB54" s="35"/>
    </row>
    <row r="55" spans="1:28" s="46" customFormat="1" ht="19.899999999999999" customHeight="1" x14ac:dyDescent="0.15">
      <c r="A55" s="34">
        <v>52</v>
      </c>
      <c r="B55" s="93" t="s">
        <v>2007</v>
      </c>
      <c r="C55" s="29" t="s">
        <v>140</v>
      </c>
      <c r="D55" s="32" t="str">
        <f t="shared" si="6"/>
        <v>专用工具</v>
      </c>
      <c r="E55" s="15"/>
      <c r="F55" s="15"/>
      <c r="G55" s="15" t="s">
        <v>2008</v>
      </c>
      <c r="H55" s="15"/>
      <c r="I55" s="15"/>
      <c r="J55" s="29" t="s">
        <v>1608</v>
      </c>
      <c r="K55" s="15">
        <v>4</v>
      </c>
      <c r="L55" s="29" t="s">
        <v>836</v>
      </c>
      <c r="M55" s="32" t="str">
        <f t="shared" si="7"/>
        <v>常规</v>
      </c>
      <c r="N55" s="15"/>
      <c r="O55" s="15" t="s">
        <v>2278</v>
      </c>
      <c r="P55" s="15"/>
      <c r="Q55" s="15"/>
      <c r="R55" s="15"/>
      <c r="S55" s="15" t="s">
        <v>2954</v>
      </c>
      <c r="T55" s="15">
        <v>2</v>
      </c>
      <c r="U55" s="32" t="str">
        <f t="shared" ref="U55:U95" si="9">IF(L55="","",L55)</f>
        <v>把</v>
      </c>
      <c r="V55" s="15"/>
      <c r="W55" s="35"/>
      <c r="X55" s="32">
        <f t="shared" si="8"/>
        <v>2</v>
      </c>
      <c r="Y55" s="32" t="str">
        <f t="shared" si="4"/>
        <v>把</v>
      </c>
      <c r="Z55" s="15"/>
      <c r="AA55" s="15"/>
      <c r="AB55" s="35" t="s">
        <v>2998</v>
      </c>
    </row>
    <row r="56" spans="1:28" s="46" customFormat="1" ht="19.899999999999999" customHeight="1" x14ac:dyDescent="0.15">
      <c r="A56" s="34">
        <v>53</v>
      </c>
      <c r="B56" s="93" t="s">
        <v>2009</v>
      </c>
      <c r="C56" s="29" t="s">
        <v>140</v>
      </c>
      <c r="D56" s="32" t="str">
        <f t="shared" si="6"/>
        <v>专用工具</v>
      </c>
      <c r="E56" s="15"/>
      <c r="F56" s="15"/>
      <c r="G56" s="15" t="s">
        <v>3068</v>
      </c>
      <c r="H56" s="15"/>
      <c r="I56" s="15"/>
      <c r="J56" s="29" t="s">
        <v>1608</v>
      </c>
      <c r="K56" s="15">
        <v>4</v>
      </c>
      <c r="L56" s="29" t="s">
        <v>836</v>
      </c>
      <c r="M56" s="32" t="str">
        <f t="shared" si="7"/>
        <v>常规</v>
      </c>
      <c r="N56" s="15"/>
      <c r="O56" s="15" t="s">
        <v>2278</v>
      </c>
      <c r="P56" s="15"/>
      <c r="Q56" s="15"/>
      <c r="R56" s="15"/>
      <c r="S56" s="15" t="s">
        <v>2955</v>
      </c>
      <c r="T56" s="15">
        <v>2</v>
      </c>
      <c r="U56" s="32" t="str">
        <f t="shared" si="9"/>
        <v>把</v>
      </c>
      <c r="V56" s="15"/>
      <c r="W56" s="35"/>
      <c r="X56" s="32">
        <f t="shared" si="8"/>
        <v>2</v>
      </c>
      <c r="Y56" s="32" t="str">
        <f t="shared" ref="Y56:Y95" si="10">IF(L56="","",L56)</f>
        <v>把</v>
      </c>
      <c r="Z56" s="15"/>
      <c r="AA56" s="15"/>
      <c r="AB56" s="35" t="s">
        <v>2999</v>
      </c>
    </row>
    <row r="57" spans="1:28" s="46" customFormat="1" ht="19.899999999999999" customHeight="1" x14ac:dyDescent="0.15">
      <c r="A57" s="34">
        <v>54</v>
      </c>
      <c r="B57" s="98" t="s">
        <v>2010</v>
      </c>
      <c r="C57" s="29" t="s">
        <v>140</v>
      </c>
      <c r="D57" s="32" t="str">
        <f t="shared" si="6"/>
        <v>专用工具</v>
      </c>
      <c r="E57" s="15"/>
      <c r="F57" s="287" t="s">
        <v>2011</v>
      </c>
      <c r="G57" s="287" t="s">
        <v>808</v>
      </c>
      <c r="H57" s="15"/>
      <c r="I57" s="15"/>
      <c r="J57" s="29" t="s">
        <v>1608</v>
      </c>
      <c r="K57" s="287">
        <v>1</v>
      </c>
      <c r="L57" s="288" t="s">
        <v>836</v>
      </c>
      <c r="M57" s="32" t="str">
        <f t="shared" si="7"/>
        <v>常规</v>
      </c>
      <c r="N57" s="15"/>
      <c r="O57" s="15" t="s">
        <v>2278</v>
      </c>
      <c r="P57" s="15"/>
      <c r="Q57" s="15"/>
      <c r="R57" s="15"/>
      <c r="S57" s="15"/>
      <c r="T57" s="15"/>
      <c r="U57" s="32" t="str">
        <f t="shared" si="9"/>
        <v>把</v>
      </c>
      <c r="V57" s="15"/>
      <c r="W57" s="35"/>
      <c r="X57" s="32">
        <f t="shared" si="8"/>
        <v>1</v>
      </c>
      <c r="Y57" s="32" t="str">
        <f t="shared" si="10"/>
        <v>把</v>
      </c>
      <c r="Z57" s="15"/>
      <c r="AA57" s="15"/>
      <c r="AB57" s="35"/>
    </row>
    <row r="58" spans="1:28" s="175" customFormat="1" ht="19.899999999999999" customHeight="1" x14ac:dyDescent="0.15">
      <c r="A58" s="163">
        <v>55</v>
      </c>
      <c r="B58" s="284" t="s">
        <v>2012</v>
      </c>
      <c r="C58" s="165" t="s">
        <v>140</v>
      </c>
      <c r="D58" s="166" t="str">
        <f t="shared" si="6"/>
        <v>专用工具</v>
      </c>
      <c r="E58" s="167"/>
      <c r="F58" s="285" t="s">
        <v>2011</v>
      </c>
      <c r="G58" s="285" t="s">
        <v>808</v>
      </c>
      <c r="H58" s="167"/>
      <c r="I58" s="167"/>
      <c r="J58" s="165" t="s">
        <v>1608</v>
      </c>
      <c r="K58" s="285">
        <v>1</v>
      </c>
      <c r="L58" s="286" t="s">
        <v>836</v>
      </c>
      <c r="M58" s="166" t="str">
        <f t="shared" si="7"/>
        <v>常规</v>
      </c>
      <c r="N58" s="167"/>
      <c r="O58" s="167" t="s">
        <v>2278</v>
      </c>
      <c r="P58" s="167"/>
      <c r="Q58" s="167"/>
      <c r="R58" s="167"/>
      <c r="S58" s="15" t="s">
        <v>2956</v>
      </c>
      <c r="T58" s="167">
        <v>1</v>
      </c>
      <c r="U58" s="166" t="str">
        <f t="shared" si="9"/>
        <v>把</v>
      </c>
      <c r="V58" s="167"/>
      <c r="W58" s="172"/>
      <c r="X58" s="166" t="str">
        <f t="shared" si="8"/>
        <v/>
      </c>
      <c r="Y58" s="166" t="str">
        <f t="shared" si="10"/>
        <v>把</v>
      </c>
      <c r="Z58" s="167"/>
      <c r="AA58" s="167"/>
      <c r="AB58" s="172" t="s">
        <v>3000</v>
      </c>
    </row>
    <row r="59" spans="1:28" s="175" customFormat="1" ht="19.899999999999999" customHeight="1" x14ac:dyDescent="0.15">
      <c r="A59" s="163">
        <v>56</v>
      </c>
      <c r="B59" s="284" t="s">
        <v>2013</v>
      </c>
      <c r="C59" s="165" t="s">
        <v>140</v>
      </c>
      <c r="D59" s="166" t="str">
        <f t="shared" si="6"/>
        <v>专用工具</v>
      </c>
      <c r="E59" s="167"/>
      <c r="F59" s="285" t="s">
        <v>769</v>
      </c>
      <c r="G59" s="285" t="s">
        <v>808</v>
      </c>
      <c r="H59" s="167"/>
      <c r="I59" s="167"/>
      <c r="J59" s="165" t="s">
        <v>1608</v>
      </c>
      <c r="K59" s="285">
        <v>1</v>
      </c>
      <c r="L59" s="286" t="s">
        <v>836</v>
      </c>
      <c r="M59" s="166" t="str">
        <f t="shared" si="7"/>
        <v>常规</v>
      </c>
      <c r="N59" s="167"/>
      <c r="O59" s="167" t="s">
        <v>2278</v>
      </c>
      <c r="P59" s="167"/>
      <c r="Q59" s="167"/>
      <c r="R59" s="167"/>
      <c r="S59" s="167" t="s">
        <v>2959</v>
      </c>
      <c r="T59" s="167">
        <v>1</v>
      </c>
      <c r="U59" s="166" t="str">
        <f t="shared" si="9"/>
        <v>把</v>
      </c>
      <c r="V59" s="167"/>
      <c r="W59" s="172"/>
      <c r="X59" s="166" t="str">
        <f t="shared" si="8"/>
        <v/>
      </c>
      <c r="Y59" s="166" t="str">
        <f t="shared" si="10"/>
        <v>把</v>
      </c>
      <c r="Z59" s="167"/>
      <c r="AA59" s="167"/>
      <c r="AB59" s="172" t="s">
        <v>3000</v>
      </c>
    </row>
    <row r="60" spans="1:28" s="46" customFormat="1" ht="19.899999999999999" customHeight="1" x14ac:dyDescent="0.15">
      <c r="A60" s="34">
        <v>57</v>
      </c>
      <c r="B60" s="98" t="s">
        <v>2013</v>
      </c>
      <c r="C60" s="29" t="s">
        <v>140</v>
      </c>
      <c r="D60" s="32" t="str">
        <f t="shared" si="6"/>
        <v>专用工具</v>
      </c>
      <c r="E60" s="15"/>
      <c r="F60" s="287" t="s">
        <v>2014</v>
      </c>
      <c r="G60" s="287" t="s">
        <v>808</v>
      </c>
      <c r="H60" s="15"/>
      <c r="I60" s="15"/>
      <c r="J60" s="29" t="s">
        <v>1608</v>
      </c>
      <c r="K60" s="287">
        <v>1</v>
      </c>
      <c r="L60" s="288" t="s">
        <v>836</v>
      </c>
      <c r="M60" s="32" t="str">
        <f t="shared" si="7"/>
        <v>常规</v>
      </c>
      <c r="N60" s="15"/>
      <c r="O60" s="15" t="s">
        <v>2278</v>
      </c>
      <c r="P60" s="15"/>
      <c r="Q60" s="15"/>
      <c r="R60" s="15"/>
      <c r="S60" s="15"/>
      <c r="T60" s="15"/>
      <c r="U60" s="32" t="str">
        <f t="shared" si="9"/>
        <v>把</v>
      </c>
      <c r="V60" s="15"/>
      <c r="W60" s="35"/>
      <c r="X60" s="32">
        <f t="shared" si="8"/>
        <v>1</v>
      </c>
      <c r="Y60" s="32" t="str">
        <f t="shared" si="10"/>
        <v>把</v>
      </c>
      <c r="Z60" s="15"/>
      <c r="AA60" s="15"/>
      <c r="AB60" s="35"/>
    </row>
    <row r="61" spans="1:28" s="46" customFormat="1" ht="19.899999999999999" customHeight="1" x14ac:dyDescent="0.15">
      <c r="A61" s="34">
        <v>58</v>
      </c>
      <c r="B61" s="287" t="s">
        <v>809</v>
      </c>
      <c r="C61" s="29" t="s">
        <v>140</v>
      </c>
      <c r="D61" s="32" t="str">
        <f t="shared" si="6"/>
        <v>专用工具</v>
      </c>
      <c r="E61" s="15"/>
      <c r="F61" s="287"/>
      <c r="G61" s="287" t="s">
        <v>808</v>
      </c>
      <c r="H61" s="15"/>
      <c r="I61" s="15"/>
      <c r="J61" s="29" t="s">
        <v>1608</v>
      </c>
      <c r="K61" s="287">
        <v>1</v>
      </c>
      <c r="L61" s="288" t="s">
        <v>836</v>
      </c>
      <c r="M61" s="32" t="str">
        <f t="shared" si="7"/>
        <v>常规</v>
      </c>
      <c r="N61" s="15"/>
      <c r="O61" s="15" t="s">
        <v>2278</v>
      </c>
      <c r="P61" s="15"/>
      <c r="Q61" s="15"/>
      <c r="R61" s="15"/>
      <c r="S61" s="15"/>
      <c r="T61" s="15"/>
      <c r="U61" s="32" t="str">
        <f t="shared" si="9"/>
        <v>把</v>
      </c>
      <c r="V61" s="15"/>
      <c r="W61" s="35"/>
      <c r="X61" s="32">
        <f t="shared" si="8"/>
        <v>1</v>
      </c>
      <c r="Y61" s="32" t="str">
        <f t="shared" si="10"/>
        <v>把</v>
      </c>
      <c r="Z61" s="15"/>
      <c r="AA61" s="15"/>
      <c r="AB61" s="35"/>
    </row>
    <row r="62" spans="1:28" s="175" customFormat="1" ht="19.899999999999999" customHeight="1" x14ac:dyDescent="0.15">
      <c r="A62" s="163">
        <v>59</v>
      </c>
      <c r="B62" s="247" t="s">
        <v>2368</v>
      </c>
      <c r="C62" s="165" t="s">
        <v>140</v>
      </c>
      <c r="D62" s="166" t="str">
        <f t="shared" ref="D62:D63" si="11">IF(C62="J1","常规化学品",IF(C62="J2","危险化学品",IF(C62="J3","标准物质",IF(C62="J4","玻璃仪器",IF(C62="J5","实验气体",IF(C62="J6","专用物耗",IF(C62="J7","备品配件",IF(C62="J8","专用工具",IF(C62="Z1","劳保物资",IF(C62="Z2","办公耗材",IF(C62="Z3","食品饮料",IF(C62="Z4","特殊物耗",IF(C62="Z5","通用物耗",IF(C62="Z6","通用工具",""))))))))))))))</f>
        <v>专用工具</v>
      </c>
      <c r="E62" s="167"/>
      <c r="F62" s="176" t="s">
        <v>2369</v>
      </c>
      <c r="G62" s="167"/>
      <c r="H62" s="167"/>
      <c r="I62" s="167" t="s">
        <v>2371</v>
      </c>
      <c r="J62" s="165" t="s">
        <v>1589</v>
      </c>
      <c r="K62" s="167">
        <v>1</v>
      </c>
      <c r="L62" s="244" t="s">
        <v>2375</v>
      </c>
      <c r="M62" s="166" t="str">
        <f t="shared" ref="M62:M75" si="12">IF(D62="危险化学品","五双",IF(D62="标准物资","严控",IF(D62&lt;&gt;"","常规","")))</f>
        <v>常规</v>
      </c>
      <c r="N62" s="167"/>
      <c r="O62" s="167">
        <v>101</v>
      </c>
      <c r="P62" s="167"/>
      <c r="Q62" s="167"/>
      <c r="R62" s="167"/>
      <c r="S62" s="192" t="s">
        <v>2372</v>
      </c>
      <c r="T62" s="167">
        <v>1</v>
      </c>
      <c r="U62" s="166" t="str">
        <f t="shared" si="9"/>
        <v>个</v>
      </c>
      <c r="V62" s="167"/>
      <c r="W62" s="167"/>
      <c r="X62" s="166" t="str">
        <f t="shared" ref="X62:X73" si="13">IF((K62-T62)&lt;=0,"",K62-T62)</f>
        <v/>
      </c>
      <c r="Y62" s="166" t="str">
        <f t="shared" si="10"/>
        <v>个</v>
      </c>
      <c r="Z62" s="167"/>
      <c r="AA62" s="167"/>
      <c r="AB62" s="167"/>
    </row>
    <row r="63" spans="1:28" s="175" customFormat="1" ht="19.899999999999999" customHeight="1" x14ac:dyDescent="0.15">
      <c r="A63" s="163">
        <v>60</v>
      </c>
      <c r="B63" s="247" t="s">
        <v>2368</v>
      </c>
      <c r="C63" s="165" t="s">
        <v>140</v>
      </c>
      <c r="D63" s="166" t="str">
        <f t="shared" si="11"/>
        <v>专用工具</v>
      </c>
      <c r="E63" s="167"/>
      <c r="F63" s="247" t="s">
        <v>2370</v>
      </c>
      <c r="G63" s="167"/>
      <c r="H63" s="167"/>
      <c r="I63" s="167" t="s">
        <v>2373</v>
      </c>
      <c r="J63" s="165" t="s">
        <v>1589</v>
      </c>
      <c r="K63" s="167">
        <v>1</v>
      </c>
      <c r="L63" s="244" t="s">
        <v>2375</v>
      </c>
      <c r="M63" s="166" t="str">
        <f t="shared" si="12"/>
        <v>常规</v>
      </c>
      <c r="N63" s="167"/>
      <c r="O63" s="167">
        <v>101</v>
      </c>
      <c r="P63" s="167"/>
      <c r="Q63" s="167"/>
      <c r="R63" s="167"/>
      <c r="S63" s="192" t="s">
        <v>2374</v>
      </c>
      <c r="T63" s="167">
        <v>1</v>
      </c>
      <c r="U63" s="166" t="str">
        <f t="shared" si="9"/>
        <v>个</v>
      </c>
      <c r="V63" s="167"/>
      <c r="W63" s="167"/>
      <c r="X63" s="166" t="str">
        <f t="shared" si="13"/>
        <v/>
      </c>
      <c r="Y63" s="166" t="str">
        <f t="shared" si="10"/>
        <v>个</v>
      </c>
      <c r="Z63" s="167"/>
      <c r="AA63" s="167"/>
      <c r="AB63" s="167"/>
    </row>
    <row r="64" spans="1:28" s="46" customFormat="1" ht="19.899999999999999" customHeight="1" x14ac:dyDescent="0.15">
      <c r="A64" s="249" t="s">
        <v>2839</v>
      </c>
      <c r="B64" s="91"/>
      <c r="C64" s="29"/>
      <c r="D64" s="32"/>
      <c r="E64" s="15"/>
      <c r="F64" s="91"/>
      <c r="G64" s="15"/>
      <c r="H64" s="15"/>
      <c r="I64" s="15"/>
      <c r="J64" s="29"/>
      <c r="K64" s="15"/>
      <c r="L64" s="94"/>
      <c r="M64" s="32"/>
      <c r="N64" s="15"/>
      <c r="O64" s="15"/>
      <c r="P64" s="15"/>
      <c r="Q64" s="15"/>
      <c r="R64" s="15"/>
      <c r="S64" s="154"/>
      <c r="T64" s="15"/>
      <c r="U64" s="32"/>
      <c r="V64" s="15"/>
      <c r="W64" s="15"/>
      <c r="X64" s="32"/>
      <c r="Y64" s="32"/>
      <c r="Z64" s="15"/>
      <c r="AA64" s="15"/>
      <c r="AB64" s="15"/>
    </row>
    <row r="65" spans="1:28" s="175" customFormat="1" ht="19.899999999999999" customHeight="1" x14ac:dyDescent="0.15">
      <c r="A65" s="163">
        <v>61</v>
      </c>
      <c r="B65" s="247" t="s">
        <v>2761</v>
      </c>
      <c r="C65" s="165" t="s">
        <v>140</v>
      </c>
      <c r="D65" s="166" t="str">
        <f t="shared" ref="D65:D69" si="14">IF(C65="J1","常规化学品",IF(C65="J2","危险化学品",IF(C65="J3","标准物质",IF(C65="J4","玻璃仪器",IF(C65="J5","实验气体",IF(C65="J6","专用物耗",IF(C65="J7","备品配件",IF(C65="J8","专用工具",IF(C65="Z1","劳保物资",IF(C65="Z2","办公耗材",IF(C65="Z3","食品饮料",IF(C65="Z4","特殊物耗",IF(C65="Z5","通用物耗",IF(C65="Z6","通用工具",""))))))))))))))</f>
        <v>专用工具</v>
      </c>
      <c r="E65" s="200" t="s">
        <v>2836</v>
      </c>
      <c r="F65" s="176" t="s">
        <v>2763</v>
      </c>
      <c r="G65" s="167"/>
      <c r="H65" s="167"/>
      <c r="I65" s="167" t="s">
        <v>2767</v>
      </c>
      <c r="J65" s="165" t="s">
        <v>1589</v>
      </c>
      <c r="K65" s="167">
        <v>1</v>
      </c>
      <c r="L65" s="244" t="s">
        <v>2771</v>
      </c>
      <c r="M65" s="166" t="str">
        <f t="shared" si="12"/>
        <v>常规</v>
      </c>
      <c r="N65" s="167"/>
      <c r="O65" s="167" t="s">
        <v>2278</v>
      </c>
      <c r="P65" s="167"/>
      <c r="Q65" s="167"/>
      <c r="R65" s="167"/>
      <c r="S65" s="167" t="s">
        <v>2874</v>
      </c>
      <c r="T65" s="167">
        <v>1</v>
      </c>
      <c r="U65" s="166" t="str">
        <f t="shared" si="9"/>
        <v>个</v>
      </c>
      <c r="V65" s="167"/>
      <c r="W65" s="167"/>
      <c r="X65" s="166" t="str">
        <f t="shared" si="13"/>
        <v/>
      </c>
      <c r="Y65" s="166" t="str">
        <f t="shared" si="10"/>
        <v>个</v>
      </c>
      <c r="Z65" s="167"/>
      <c r="AA65" s="167"/>
      <c r="AB65" s="167"/>
    </row>
    <row r="66" spans="1:28" s="175" customFormat="1" ht="19.899999999999999" customHeight="1" x14ac:dyDescent="0.15">
      <c r="A66" s="163">
        <v>62</v>
      </c>
      <c r="B66" s="247" t="s">
        <v>2761</v>
      </c>
      <c r="C66" s="165" t="s">
        <v>140</v>
      </c>
      <c r="D66" s="166" t="str">
        <f t="shared" si="14"/>
        <v>专用工具</v>
      </c>
      <c r="E66" s="200" t="s">
        <v>2836</v>
      </c>
      <c r="F66" s="176" t="s">
        <v>2764</v>
      </c>
      <c r="G66" s="167"/>
      <c r="H66" s="167"/>
      <c r="I66" s="167" t="s">
        <v>2768</v>
      </c>
      <c r="J66" s="165" t="s">
        <v>1589</v>
      </c>
      <c r="K66" s="167">
        <v>1</v>
      </c>
      <c r="L66" s="244" t="s">
        <v>2771</v>
      </c>
      <c r="M66" s="166" t="str">
        <f t="shared" si="12"/>
        <v>常规</v>
      </c>
      <c r="N66" s="167"/>
      <c r="O66" s="167" t="s">
        <v>2278</v>
      </c>
      <c r="P66" s="167"/>
      <c r="Q66" s="167"/>
      <c r="R66" s="167"/>
      <c r="S66" s="167" t="s">
        <v>2875</v>
      </c>
      <c r="T66" s="167">
        <v>1</v>
      </c>
      <c r="U66" s="166" t="str">
        <f t="shared" si="9"/>
        <v>个</v>
      </c>
      <c r="V66" s="167"/>
      <c r="W66" s="167"/>
      <c r="X66" s="166" t="str">
        <f t="shared" si="13"/>
        <v/>
      </c>
      <c r="Y66" s="166" t="str">
        <f t="shared" si="10"/>
        <v>个</v>
      </c>
      <c r="Z66" s="167"/>
      <c r="AA66" s="167"/>
      <c r="AB66" s="167"/>
    </row>
    <row r="67" spans="1:28" s="175" customFormat="1" ht="19.899999999999999" customHeight="1" x14ac:dyDescent="0.15">
      <c r="A67" s="163">
        <v>63</v>
      </c>
      <c r="B67" s="247" t="s">
        <v>2762</v>
      </c>
      <c r="C67" s="165" t="s">
        <v>140</v>
      </c>
      <c r="D67" s="166" t="str">
        <f t="shared" si="14"/>
        <v>专用工具</v>
      </c>
      <c r="E67" s="200" t="s">
        <v>2836</v>
      </c>
      <c r="F67" s="176" t="s">
        <v>2765</v>
      </c>
      <c r="G67" s="167"/>
      <c r="H67" s="167"/>
      <c r="I67" s="167" t="s">
        <v>2769</v>
      </c>
      <c r="J67" s="165" t="s">
        <v>1589</v>
      </c>
      <c r="K67" s="167">
        <v>1</v>
      </c>
      <c r="L67" s="244" t="s">
        <v>2771</v>
      </c>
      <c r="M67" s="166" t="str">
        <f t="shared" si="12"/>
        <v>常规</v>
      </c>
      <c r="N67" s="167"/>
      <c r="O67" s="167" t="s">
        <v>2278</v>
      </c>
      <c r="P67" s="167"/>
      <c r="Q67" s="167"/>
      <c r="R67" s="167"/>
      <c r="S67" s="167" t="s">
        <v>2876</v>
      </c>
      <c r="T67" s="167">
        <v>1</v>
      </c>
      <c r="U67" s="166" t="str">
        <f t="shared" si="9"/>
        <v>个</v>
      </c>
      <c r="V67" s="167"/>
      <c r="W67" s="167"/>
      <c r="X67" s="166" t="str">
        <f t="shared" si="13"/>
        <v/>
      </c>
      <c r="Y67" s="166" t="str">
        <f t="shared" si="10"/>
        <v>个</v>
      </c>
      <c r="Z67" s="167"/>
      <c r="AA67" s="167"/>
      <c r="AB67" s="167"/>
    </row>
    <row r="68" spans="1:28" s="175" customFormat="1" ht="19.899999999999999" customHeight="1" x14ac:dyDescent="0.15">
      <c r="A68" s="163">
        <v>64</v>
      </c>
      <c r="B68" s="247" t="s">
        <v>2761</v>
      </c>
      <c r="C68" s="165" t="s">
        <v>140</v>
      </c>
      <c r="D68" s="166" t="str">
        <f t="shared" si="14"/>
        <v>专用工具</v>
      </c>
      <c r="E68" s="200" t="s">
        <v>2836</v>
      </c>
      <c r="F68" s="176" t="s">
        <v>2766</v>
      </c>
      <c r="G68" s="167"/>
      <c r="H68" s="167"/>
      <c r="I68" s="167" t="s">
        <v>2770</v>
      </c>
      <c r="J68" s="165" t="s">
        <v>1589</v>
      </c>
      <c r="K68" s="167">
        <v>1</v>
      </c>
      <c r="L68" s="244" t="s">
        <v>2771</v>
      </c>
      <c r="M68" s="166" t="str">
        <f t="shared" si="12"/>
        <v>常规</v>
      </c>
      <c r="N68" s="167"/>
      <c r="O68" s="167" t="s">
        <v>2278</v>
      </c>
      <c r="P68" s="167"/>
      <c r="Q68" s="167"/>
      <c r="R68" s="167"/>
      <c r="S68" s="167" t="s">
        <v>2877</v>
      </c>
      <c r="T68" s="167">
        <v>1</v>
      </c>
      <c r="U68" s="166" t="str">
        <f t="shared" si="9"/>
        <v>个</v>
      </c>
      <c r="V68" s="167"/>
      <c r="W68" s="167"/>
      <c r="X68" s="166" t="str">
        <f t="shared" si="13"/>
        <v/>
      </c>
      <c r="Y68" s="166" t="str">
        <f t="shared" si="10"/>
        <v>个</v>
      </c>
      <c r="Z68" s="167"/>
      <c r="AA68" s="167"/>
      <c r="AB68" s="167"/>
    </row>
    <row r="69" spans="1:28" s="46" customFormat="1" ht="19.899999999999999" customHeight="1" x14ac:dyDescent="0.15">
      <c r="A69" s="34">
        <v>65</v>
      </c>
      <c r="B69" s="315" t="s">
        <v>3055</v>
      </c>
      <c r="C69" s="29" t="s">
        <v>140</v>
      </c>
      <c r="D69" s="32" t="str">
        <f t="shared" si="14"/>
        <v>专用工具</v>
      </c>
      <c r="E69" s="317" t="s">
        <v>3062</v>
      </c>
      <c r="F69" s="228" t="s">
        <v>3065</v>
      </c>
      <c r="G69" s="15"/>
      <c r="H69" s="15"/>
      <c r="I69" s="228" t="s">
        <v>3058</v>
      </c>
      <c r="J69" s="29" t="s">
        <v>1589</v>
      </c>
      <c r="K69" s="314">
        <v>1</v>
      </c>
      <c r="L69" s="316" t="s">
        <v>2305</v>
      </c>
      <c r="M69" s="32" t="str">
        <f t="shared" si="12"/>
        <v>常规</v>
      </c>
      <c r="N69" s="15"/>
      <c r="O69" s="15" t="s">
        <v>2278</v>
      </c>
      <c r="P69" s="15"/>
      <c r="Q69" s="15"/>
      <c r="R69" s="15"/>
      <c r="S69" s="15"/>
      <c r="T69" s="15"/>
      <c r="U69" s="32" t="str">
        <f t="shared" si="9"/>
        <v>套</v>
      </c>
      <c r="V69" s="15"/>
      <c r="W69" s="15"/>
      <c r="X69" s="32">
        <f t="shared" si="13"/>
        <v>1</v>
      </c>
      <c r="Y69" s="32" t="str">
        <f t="shared" si="10"/>
        <v>套</v>
      </c>
      <c r="Z69" s="15"/>
      <c r="AA69" s="15"/>
      <c r="AB69" s="15"/>
    </row>
    <row r="70" spans="1:28" s="46" customFormat="1" ht="19.899999999999999" customHeight="1" x14ac:dyDescent="0.15">
      <c r="A70" s="34">
        <v>66</v>
      </c>
      <c r="B70" s="315" t="s">
        <v>3056</v>
      </c>
      <c r="C70" s="29" t="s">
        <v>140</v>
      </c>
      <c r="D70" s="32" t="str">
        <f t="shared" ref="D70:D71" si="15">IF(C70="J1","常规化学品",IF(C70="J2","危险化学品",IF(C70="J3","标准物质",IF(C70="J4","玻璃仪器",IF(C70="J5","实验气体",IF(C70="J6","专用物耗",IF(C70="J7","备品配件",IF(C70="J8","专用工具",IF(C70="Z1","劳保物资",IF(C70="Z2","办公耗材",IF(C70="Z3","食品饮料",IF(C70="Z4","特殊物耗",IF(C70="Z5","通用物耗",IF(C70="Z6","通用工具",""))))))))))))))</f>
        <v>专用工具</v>
      </c>
      <c r="E70" s="317" t="s">
        <v>3063</v>
      </c>
      <c r="F70" s="228" t="s">
        <v>3066</v>
      </c>
      <c r="G70" s="15"/>
      <c r="H70" s="15"/>
      <c r="I70" s="228" t="s">
        <v>3059</v>
      </c>
      <c r="J70" s="29" t="s">
        <v>1589</v>
      </c>
      <c r="K70" s="314">
        <v>1</v>
      </c>
      <c r="L70" s="316" t="s">
        <v>2305</v>
      </c>
      <c r="M70" s="32" t="str">
        <f t="shared" si="12"/>
        <v>常规</v>
      </c>
      <c r="N70" s="15"/>
      <c r="O70" s="15" t="s">
        <v>2278</v>
      </c>
      <c r="P70" s="15"/>
      <c r="Q70" s="15"/>
      <c r="R70" s="15"/>
      <c r="S70" s="15"/>
      <c r="T70" s="15"/>
      <c r="U70" s="32" t="str">
        <f t="shared" si="9"/>
        <v>套</v>
      </c>
      <c r="V70" s="15"/>
      <c r="W70" s="15"/>
      <c r="X70" s="32">
        <f t="shared" si="13"/>
        <v>1</v>
      </c>
      <c r="Y70" s="32" t="str">
        <f t="shared" si="10"/>
        <v>套</v>
      </c>
      <c r="Z70" s="15"/>
      <c r="AA70" s="15"/>
      <c r="AB70" s="15"/>
    </row>
    <row r="71" spans="1:28" s="46" customFormat="1" ht="19.899999999999999" customHeight="1" x14ac:dyDescent="0.15">
      <c r="A71" s="34">
        <v>67</v>
      </c>
      <c r="B71" s="315" t="s">
        <v>3057</v>
      </c>
      <c r="C71" s="29" t="s">
        <v>140</v>
      </c>
      <c r="D71" s="32" t="str">
        <f t="shared" si="15"/>
        <v>专用工具</v>
      </c>
      <c r="E71" s="314" t="s">
        <v>3064</v>
      </c>
      <c r="F71" s="228" t="s">
        <v>3067</v>
      </c>
      <c r="G71" s="15"/>
      <c r="H71" s="15"/>
      <c r="I71" s="228" t="s">
        <v>3060</v>
      </c>
      <c r="J71" s="29" t="s">
        <v>1589</v>
      </c>
      <c r="K71" s="314">
        <v>1</v>
      </c>
      <c r="L71" s="316" t="s">
        <v>3061</v>
      </c>
      <c r="M71" s="32" t="str">
        <f t="shared" si="12"/>
        <v>常规</v>
      </c>
      <c r="N71" s="15"/>
      <c r="O71" s="15" t="s">
        <v>2278</v>
      </c>
      <c r="P71" s="15"/>
      <c r="Q71" s="15"/>
      <c r="R71" s="15"/>
      <c r="S71" s="15"/>
      <c r="T71" s="15"/>
      <c r="U71" s="32" t="str">
        <f t="shared" si="9"/>
        <v>把</v>
      </c>
      <c r="V71" s="15"/>
      <c r="W71" s="15"/>
      <c r="X71" s="32">
        <f t="shared" si="13"/>
        <v>1</v>
      </c>
      <c r="Y71" s="32" t="str">
        <f t="shared" si="10"/>
        <v>把</v>
      </c>
      <c r="Z71" s="15"/>
      <c r="AA71" s="15"/>
      <c r="AB71" s="15"/>
    </row>
    <row r="72" spans="1:28" s="46" customFormat="1" ht="19.899999999999999" customHeight="1" x14ac:dyDescent="0.15">
      <c r="A72" s="34"/>
      <c r="B72" s="52"/>
      <c r="C72" s="29"/>
      <c r="D72" s="32" t="str">
        <f t="shared" ref="D72:D95" si="16">IF(C72="J1","常规化学品",IF(C72="J2","危险化学品",IF(C72="J3","标准物质",IF(C72="J4","玻璃仪器",IF(C72="J5","实验气体",IF(C72="J6","专用物耗",IF(C72="J7","备品配件",IF(C72="J8","专用工具",IF(C72="Z1","劳保物资",IF(C72="Z2","办公耗材",IF(C72="Z3","食品饮料",IF(C72="Z4","特殊物耗",IF(C72="Z5","通用物耗",IF(C72="Z6","通用工具",""))))))))))))))</f>
        <v/>
      </c>
      <c r="E72" s="15"/>
      <c r="F72" s="15"/>
      <c r="G72" s="15"/>
      <c r="H72" s="15"/>
      <c r="I72" s="15"/>
      <c r="J72" s="29"/>
      <c r="K72" s="15"/>
      <c r="L72" s="29"/>
      <c r="M72" s="32"/>
      <c r="N72" s="15"/>
      <c r="O72" s="15"/>
      <c r="P72" s="15"/>
      <c r="Q72" s="15"/>
      <c r="R72" s="15"/>
      <c r="S72" s="15"/>
      <c r="T72" s="15"/>
      <c r="U72" s="32" t="str">
        <f t="shared" si="9"/>
        <v/>
      </c>
      <c r="V72" s="15"/>
      <c r="W72" s="15"/>
      <c r="X72" s="32" t="str">
        <f t="shared" si="13"/>
        <v/>
      </c>
      <c r="Y72" s="32" t="str">
        <f t="shared" si="10"/>
        <v/>
      </c>
      <c r="Z72" s="15"/>
      <c r="AA72" s="15"/>
      <c r="AB72" s="15"/>
    </row>
    <row r="73" spans="1:28" s="46" customFormat="1" ht="19.899999999999999" customHeight="1" x14ac:dyDescent="0.15">
      <c r="A73" s="34"/>
      <c r="B73" s="15"/>
      <c r="C73" s="29"/>
      <c r="D73" s="32" t="str">
        <f t="shared" si="16"/>
        <v/>
      </c>
      <c r="E73" s="15"/>
      <c r="F73" s="15"/>
      <c r="G73" s="15"/>
      <c r="H73" s="15"/>
      <c r="I73" s="15"/>
      <c r="J73" s="29"/>
      <c r="K73" s="15"/>
      <c r="L73" s="29"/>
      <c r="M73" s="32" t="str">
        <f t="shared" si="12"/>
        <v/>
      </c>
      <c r="N73" s="15"/>
      <c r="O73" s="15"/>
      <c r="P73" s="15"/>
      <c r="Q73" s="15"/>
      <c r="R73" s="15"/>
      <c r="S73" s="15"/>
      <c r="T73" s="15"/>
      <c r="U73" s="32" t="str">
        <f t="shared" si="9"/>
        <v/>
      </c>
      <c r="V73" s="15"/>
      <c r="W73" s="15"/>
      <c r="X73" s="32" t="str">
        <f t="shared" si="13"/>
        <v/>
      </c>
      <c r="Y73" s="32" t="str">
        <f t="shared" si="10"/>
        <v/>
      </c>
      <c r="Z73" s="15"/>
      <c r="AA73" s="15"/>
      <c r="AB73" s="15"/>
    </row>
    <row r="74" spans="1:28" s="46" customFormat="1" ht="19.899999999999999" customHeight="1" x14ac:dyDescent="0.15">
      <c r="A74" s="34"/>
      <c r="B74" s="15"/>
      <c r="C74" s="29"/>
      <c r="D74" s="32" t="str">
        <f t="shared" si="16"/>
        <v/>
      </c>
      <c r="E74" s="15"/>
      <c r="F74" s="15"/>
      <c r="G74" s="15"/>
      <c r="H74" s="15"/>
      <c r="I74" s="15"/>
      <c r="J74" s="29"/>
      <c r="K74" s="15"/>
      <c r="L74" s="29"/>
      <c r="M74" s="32" t="str">
        <f t="shared" si="12"/>
        <v/>
      </c>
      <c r="N74" s="15"/>
      <c r="O74" s="15"/>
      <c r="P74" s="15"/>
      <c r="Q74" s="15"/>
      <c r="R74" s="15"/>
      <c r="S74" s="15"/>
      <c r="T74" s="15"/>
      <c r="U74" s="32" t="str">
        <f t="shared" si="9"/>
        <v/>
      </c>
      <c r="V74" s="15"/>
      <c r="W74" s="15"/>
      <c r="X74" s="32" t="str">
        <f t="shared" ref="X74:X95" si="17">IF((K74-T74)&lt;=0,"",K74-T74)</f>
        <v/>
      </c>
      <c r="Y74" s="32" t="str">
        <f t="shared" si="10"/>
        <v/>
      </c>
      <c r="Z74" s="15"/>
      <c r="AA74" s="15"/>
      <c r="AB74" s="15"/>
    </row>
    <row r="75" spans="1:28" s="46" customFormat="1" ht="19.899999999999999" customHeight="1" x14ac:dyDescent="0.15">
      <c r="A75" s="34"/>
      <c r="B75" s="15"/>
      <c r="C75" s="29"/>
      <c r="D75" s="32" t="str">
        <f t="shared" si="16"/>
        <v/>
      </c>
      <c r="E75" s="15"/>
      <c r="F75" s="15"/>
      <c r="G75" s="15"/>
      <c r="H75" s="15"/>
      <c r="I75" s="15"/>
      <c r="J75" s="29"/>
      <c r="K75" s="15"/>
      <c r="L75" s="29"/>
      <c r="M75" s="32" t="str">
        <f t="shared" si="12"/>
        <v/>
      </c>
      <c r="N75" s="15"/>
      <c r="O75" s="15"/>
      <c r="P75" s="15"/>
      <c r="Q75" s="15"/>
      <c r="R75" s="15"/>
      <c r="S75" s="15"/>
      <c r="T75" s="15"/>
      <c r="U75" s="32" t="str">
        <f t="shared" si="9"/>
        <v/>
      </c>
      <c r="V75" s="15"/>
      <c r="W75" s="15"/>
      <c r="X75" s="32" t="str">
        <f t="shared" si="17"/>
        <v/>
      </c>
      <c r="Y75" s="32" t="str">
        <f t="shared" si="10"/>
        <v/>
      </c>
      <c r="Z75" s="15"/>
      <c r="AA75" s="15"/>
      <c r="AB75" s="15"/>
    </row>
    <row r="76" spans="1:28" s="46" customFormat="1" ht="19.899999999999999" customHeight="1" x14ac:dyDescent="0.15">
      <c r="A76" s="34"/>
      <c r="B76" s="15"/>
      <c r="C76" s="29"/>
      <c r="D76" s="32" t="str">
        <f t="shared" si="16"/>
        <v/>
      </c>
      <c r="E76" s="15"/>
      <c r="F76" s="15"/>
      <c r="G76" s="15"/>
      <c r="H76" s="15"/>
      <c r="I76" s="15"/>
      <c r="J76" s="29"/>
      <c r="K76" s="15"/>
      <c r="L76" s="29"/>
      <c r="M76" s="32" t="str">
        <f t="shared" ref="M76:M95" si="18">IF(D76="危险化学品","五双",IF(D76="标准物资","严控",IF(D76&lt;&gt;"","常规","")))</f>
        <v/>
      </c>
      <c r="N76" s="15"/>
      <c r="O76" s="15"/>
      <c r="P76" s="15"/>
      <c r="Q76" s="15"/>
      <c r="R76" s="15"/>
      <c r="S76" s="15"/>
      <c r="T76" s="15"/>
      <c r="U76" s="32" t="str">
        <f t="shared" si="9"/>
        <v/>
      </c>
      <c r="V76" s="15"/>
      <c r="W76" s="15"/>
      <c r="X76" s="32" t="str">
        <f t="shared" si="17"/>
        <v/>
      </c>
      <c r="Y76" s="32" t="str">
        <f t="shared" si="10"/>
        <v/>
      </c>
      <c r="Z76" s="15"/>
      <c r="AA76" s="15"/>
      <c r="AB76" s="15"/>
    </row>
    <row r="77" spans="1:28" s="46" customFormat="1" ht="19.899999999999999" customHeight="1" x14ac:dyDescent="0.15">
      <c r="A77" s="34"/>
      <c r="B77" s="15"/>
      <c r="C77" s="29"/>
      <c r="D77" s="32" t="str">
        <f t="shared" si="16"/>
        <v/>
      </c>
      <c r="E77" s="15"/>
      <c r="F77" s="15"/>
      <c r="G77" s="15"/>
      <c r="H77" s="15"/>
      <c r="I77" s="15"/>
      <c r="J77" s="29"/>
      <c r="K77" s="15"/>
      <c r="L77" s="29"/>
      <c r="M77" s="32" t="str">
        <f t="shared" si="18"/>
        <v/>
      </c>
      <c r="N77" s="15"/>
      <c r="O77" s="15"/>
      <c r="P77" s="15"/>
      <c r="Q77" s="15"/>
      <c r="R77" s="15"/>
      <c r="S77" s="15"/>
      <c r="T77" s="15"/>
      <c r="U77" s="32" t="str">
        <f t="shared" si="9"/>
        <v/>
      </c>
      <c r="V77" s="15"/>
      <c r="W77" s="15"/>
      <c r="X77" s="32" t="str">
        <f t="shared" si="17"/>
        <v/>
      </c>
      <c r="Y77" s="32" t="str">
        <f t="shared" si="10"/>
        <v/>
      </c>
      <c r="Z77" s="15"/>
      <c r="AA77" s="15"/>
      <c r="AB77" s="15"/>
    </row>
    <row r="78" spans="1:28" s="46" customFormat="1" ht="19.899999999999999" customHeight="1" x14ac:dyDescent="0.15">
      <c r="A78" s="34"/>
      <c r="B78" s="15"/>
      <c r="C78" s="29"/>
      <c r="D78" s="32" t="str">
        <f t="shared" si="16"/>
        <v/>
      </c>
      <c r="E78" s="15"/>
      <c r="F78" s="15"/>
      <c r="G78" s="15"/>
      <c r="H78" s="15"/>
      <c r="I78" s="15"/>
      <c r="J78" s="29"/>
      <c r="K78" s="15"/>
      <c r="L78" s="29"/>
      <c r="M78" s="32" t="str">
        <f t="shared" si="18"/>
        <v/>
      </c>
      <c r="N78" s="15"/>
      <c r="O78" s="15"/>
      <c r="P78" s="15"/>
      <c r="Q78" s="15"/>
      <c r="R78" s="15"/>
      <c r="S78" s="15"/>
      <c r="T78" s="15"/>
      <c r="U78" s="32" t="str">
        <f t="shared" si="9"/>
        <v/>
      </c>
      <c r="V78" s="15"/>
      <c r="W78" s="15"/>
      <c r="X78" s="32" t="str">
        <f t="shared" si="17"/>
        <v/>
      </c>
      <c r="Y78" s="32" t="str">
        <f t="shared" si="10"/>
        <v/>
      </c>
      <c r="Z78" s="15"/>
      <c r="AA78" s="15"/>
      <c r="AB78" s="15"/>
    </row>
    <row r="79" spans="1:28" s="46" customFormat="1" ht="19.899999999999999" customHeight="1" x14ac:dyDescent="0.15">
      <c r="A79" s="34"/>
      <c r="B79" s="15"/>
      <c r="C79" s="29"/>
      <c r="D79" s="32" t="str">
        <f t="shared" si="16"/>
        <v/>
      </c>
      <c r="E79" s="15"/>
      <c r="F79" s="15"/>
      <c r="G79" s="15"/>
      <c r="H79" s="15"/>
      <c r="I79" s="15"/>
      <c r="J79" s="29"/>
      <c r="K79" s="15"/>
      <c r="L79" s="29"/>
      <c r="M79" s="32" t="str">
        <f t="shared" si="18"/>
        <v/>
      </c>
      <c r="N79" s="15"/>
      <c r="O79" s="15"/>
      <c r="P79" s="15"/>
      <c r="Q79" s="15"/>
      <c r="R79" s="15"/>
      <c r="S79" s="15"/>
      <c r="T79" s="15"/>
      <c r="U79" s="32" t="str">
        <f t="shared" si="9"/>
        <v/>
      </c>
      <c r="V79" s="15"/>
      <c r="W79" s="15"/>
      <c r="X79" s="32" t="str">
        <f t="shared" si="17"/>
        <v/>
      </c>
      <c r="Y79" s="32" t="str">
        <f t="shared" si="10"/>
        <v/>
      </c>
      <c r="Z79" s="15"/>
      <c r="AA79" s="15"/>
      <c r="AB79" s="15"/>
    </row>
    <row r="80" spans="1:28" s="46" customFormat="1" ht="19.899999999999999" customHeight="1" x14ac:dyDescent="0.15">
      <c r="A80" s="34"/>
      <c r="B80" s="15"/>
      <c r="C80" s="29"/>
      <c r="D80" s="32" t="str">
        <f t="shared" si="16"/>
        <v/>
      </c>
      <c r="E80" s="15"/>
      <c r="F80" s="15"/>
      <c r="G80" s="15"/>
      <c r="H80" s="15"/>
      <c r="I80" s="15"/>
      <c r="J80" s="29"/>
      <c r="K80" s="15"/>
      <c r="L80" s="29"/>
      <c r="M80" s="32" t="str">
        <f t="shared" si="18"/>
        <v/>
      </c>
      <c r="N80" s="15"/>
      <c r="O80" s="15"/>
      <c r="P80" s="15"/>
      <c r="Q80" s="15"/>
      <c r="R80" s="15"/>
      <c r="S80" s="15"/>
      <c r="T80" s="15"/>
      <c r="U80" s="32" t="str">
        <f t="shared" si="9"/>
        <v/>
      </c>
      <c r="V80" s="15"/>
      <c r="W80" s="15"/>
      <c r="X80" s="32" t="str">
        <f t="shared" si="17"/>
        <v/>
      </c>
      <c r="Y80" s="32" t="str">
        <f t="shared" si="10"/>
        <v/>
      </c>
      <c r="Z80" s="15"/>
      <c r="AA80" s="15"/>
      <c r="AB80" s="15"/>
    </row>
    <row r="81" spans="1:28" s="46" customFormat="1" ht="19.899999999999999" customHeight="1" x14ac:dyDescent="0.15">
      <c r="A81" s="34"/>
      <c r="B81" s="15"/>
      <c r="C81" s="29"/>
      <c r="D81" s="32" t="str">
        <f t="shared" si="16"/>
        <v/>
      </c>
      <c r="E81" s="15"/>
      <c r="F81" s="15"/>
      <c r="G81" s="15"/>
      <c r="H81" s="15"/>
      <c r="I81" s="15"/>
      <c r="J81" s="29"/>
      <c r="K81" s="15"/>
      <c r="L81" s="29"/>
      <c r="M81" s="32" t="str">
        <f t="shared" si="18"/>
        <v/>
      </c>
      <c r="N81" s="15"/>
      <c r="O81" s="15"/>
      <c r="P81" s="15"/>
      <c r="Q81" s="15"/>
      <c r="R81" s="15"/>
      <c r="S81" s="15"/>
      <c r="T81" s="15"/>
      <c r="U81" s="32" t="str">
        <f t="shared" si="9"/>
        <v/>
      </c>
      <c r="V81" s="15"/>
      <c r="W81" s="15"/>
      <c r="X81" s="32" t="str">
        <f t="shared" si="17"/>
        <v/>
      </c>
      <c r="Y81" s="32" t="str">
        <f t="shared" si="10"/>
        <v/>
      </c>
      <c r="Z81" s="15"/>
      <c r="AA81" s="15"/>
      <c r="AB81" s="15"/>
    </row>
    <row r="82" spans="1:28" s="46" customFormat="1" ht="19.899999999999999" customHeight="1" x14ac:dyDescent="0.15">
      <c r="A82" s="34"/>
      <c r="B82" s="15"/>
      <c r="C82" s="29"/>
      <c r="D82" s="32" t="str">
        <f t="shared" si="16"/>
        <v/>
      </c>
      <c r="E82" s="15"/>
      <c r="F82" s="15"/>
      <c r="G82" s="15"/>
      <c r="H82" s="15"/>
      <c r="I82" s="15"/>
      <c r="J82" s="29"/>
      <c r="K82" s="15"/>
      <c r="L82" s="29"/>
      <c r="M82" s="32" t="str">
        <f t="shared" si="18"/>
        <v/>
      </c>
      <c r="N82" s="15"/>
      <c r="O82" s="15"/>
      <c r="P82" s="15"/>
      <c r="Q82" s="15"/>
      <c r="R82" s="15"/>
      <c r="S82" s="15"/>
      <c r="T82" s="15"/>
      <c r="U82" s="32" t="str">
        <f t="shared" si="9"/>
        <v/>
      </c>
      <c r="V82" s="15"/>
      <c r="W82" s="15"/>
      <c r="X82" s="32" t="str">
        <f t="shared" si="17"/>
        <v/>
      </c>
      <c r="Y82" s="32" t="str">
        <f t="shared" si="10"/>
        <v/>
      </c>
      <c r="Z82" s="15"/>
      <c r="AA82" s="15"/>
      <c r="AB82" s="15"/>
    </row>
    <row r="83" spans="1:28" s="46" customFormat="1" ht="19.899999999999999" customHeight="1" x14ac:dyDescent="0.15">
      <c r="A83" s="34"/>
      <c r="B83" s="15"/>
      <c r="C83" s="29"/>
      <c r="D83" s="32" t="str">
        <f t="shared" si="16"/>
        <v/>
      </c>
      <c r="E83" s="15"/>
      <c r="F83" s="15"/>
      <c r="G83" s="15"/>
      <c r="H83" s="15"/>
      <c r="I83" s="15"/>
      <c r="J83" s="29"/>
      <c r="K83" s="15"/>
      <c r="L83" s="29"/>
      <c r="M83" s="32" t="str">
        <f t="shared" si="18"/>
        <v/>
      </c>
      <c r="N83" s="15"/>
      <c r="O83" s="15"/>
      <c r="P83" s="15"/>
      <c r="Q83" s="15"/>
      <c r="R83" s="15"/>
      <c r="S83" s="15"/>
      <c r="T83" s="15"/>
      <c r="U83" s="32" t="str">
        <f t="shared" si="9"/>
        <v/>
      </c>
      <c r="V83" s="15"/>
      <c r="W83" s="15"/>
      <c r="X83" s="32" t="str">
        <f t="shared" si="17"/>
        <v/>
      </c>
      <c r="Y83" s="32" t="str">
        <f t="shared" si="10"/>
        <v/>
      </c>
      <c r="Z83" s="15"/>
      <c r="AA83" s="15"/>
      <c r="AB83" s="15"/>
    </row>
    <row r="84" spans="1:28" s="46" customFormat="1" ht="19.899999999999999" customHeight="1" x14ac:dyDescent="0.15">
      <c r="A84" s="34"/>
      <c r="B84" s="15"/>
      <c r="C84" s="29"/>
      <c r="D84" s="32" t="str">
        <f t="shared" si="16"/>
        <v/>
      </c>
      <c r="E84" s="15"/>
      <c r="F84" s="15"/>
      <c r="G84" s="15"/>
      <c r="H84" s="15"/>
      <c r="I84" s="15"/>
      <c r="J84" s="29"/>
      <c r="K84" s="15"/>
      <c r="L84" s="29"/>
      <c r="M84" s="32" t="str">
        <f t="shared" si="18"/>
        <v/>
      </c>
      <c r="N84" s="15"/>
      <c r="O84" s="15"/>
      <c r="P84" s="15"/>
      <c r="Q84" s="15"/>
      <c r="R84" s="15"/>
      <c r="S84" s="15"/>
      <c r="T84" s="15"/>
      <c r="U84" s="32" t="str">
        <f t="shared" si="9"/>
        <v/>
      </c>
      <c r="V84" s="15"/>
      <c r="W84" s="15"/>
      <c r="X84" s="32" t="str">
        <f t="shared" si="17"/>
        <v/>
      </c>
      <c r="Y84" s="32" t="str">
        <f t="shared" si="10"/>
        <v/>
      </c>
      <c r="Z84" s="15"/>
      <c r="AA84" s="15"/>
      <c r="AB84" s="15"/>
    </row>
    <row r="85" spans="1:28" s="46" customFormat="1" ht="19.899999999999999" customHeight="1" x14ac:dyDescent="0.15">
      <c r="A85" s="34"/>
      <c r="B85" s="15"/>
      <c r="C85" s="29"/>
      <c r="D85" s="32" t="str">
        <f t="shared" si="16"/>
        <v/>
      </c>
      <c r="E85" s="15"/>
      <c r="F85" s="15"/>
      <c r="G85" s="15"/>
      <c r="H85" s="15"/>
      <c r="I85" s="15"/>
      <c r="J85" s="29"/>
      <c r="K85" s="15"/>
      <c r="L85" s="29"/>
      <c r="M85" s="32" t="str">
        <f t="shared" si="18"/>
        <v/>
      </c>
      <c r="N85" s="15"/>
      <c r="O85" s="15"/>
      <c r="P85" s="15"/>
      <c r="Q85" s="15"/>
      <c r="R85" s="15"/>
      <c r="S85" s="15"/>
      <c r="T85" s="15"/>
      <c r="U85" s="32" t="str">
        <f t="shared" si="9"/>
        <v/>
      </c>
      <c r="V85" s="15"/>
      <c r="W85" s="15"/>
      <c r="X85" s="32" t="str">
        <f t="shared" si="17"/>
        <v/>
      </c>
      <c r="Y85" s="32" t="str">
        <f t="shared" si="10"/>
        <v/>
      </c>
      <c r="Z85" s="15"/>
      <c r="AA85" s="15"/>
      <c r="AB85" s="15"/>
    </row>
    <row r="86" spans="1:28" s="46" customFormat="1" ht="19.899999999999999" customHeight="1" x14ac:dyDescent="0.15">
      <c r="A86" s="34"/>
      <c r="B86" s="15"/>
      <c r="C86" s="29"/>
      <c r="D86" s="32" t="str">
        <f t="shared" si="16"/>
        <v/>
      </c>
      <c r="E86" s="15"/>
      <c r="F86" s="15"/>
      <c r="G86" s="15"/>
      <c r="H86" s="15"/>
      <c r="I86" s="15"/>
      <c r="J86" s="29"/>
      <c r="K86" s="15"/>
      <c r="L86" s="29"/>
      <c r="M86" s="32" t="str">
        <f t="shared" si="18"/>
        <v/>
      </c>
      <c r="N86" s="15"/>
      <c r="O86" s="15"/>
      <c r="P86" s="15"/>
      <c r="Q86" s="15"/>
      <c r="R86" s="15"/>
      <c r="S86" s="15"/>
      <c r="T86" s="15"/>
      <c r="U86" s="32" t="str">
        <f t="shared" si="9"/>
        <v/>
      </c>
      <c r="V86" s="15"/>
      <c r="W86" s="15"/>
      <c r="X86" s="32" t="str">
        <f t="shared" si="17"/>
        <v/>
      </c>
      <c r="Y86" s="32" t="str">
        <f t="shared" si="10"/>
        <v/>
      </c>
      <c r="Z86" s="15"/>
      <c r="AA86" s="15"/>
      <c r="AB86" s="15"/>
    </row>
    <row r="87" spans="1:28" s="46" customFormat="1" ht="19.899999999999999" customHeight="1" x14ac:dyDescent="0.15">
      <c r="A87" s="34"/>
      <c r="B87" s="15"/>
      <c r="C87" s="29"/>
      <c r="D87" s="32" t="str">
        <f t="shared" si="16"/>
        <v/>
      </c>
      <c r="E87" s="15"/>
      <c r="F87" s="15"/>
      <c r="G87" s="15"/>
      <c r="H87" s="15"/>
      <c r="I87" s="15"/>
      <c r="J87" s="29"/>
      <c r="K87" s="15"/>
      <c r="L87" s="29"/>
      <c r="M87" s="32" t="str">
        <f t="shared" si="18"/>
        <v/>
      </c>
      <c r="N87" s="15"/>
      <c r="O87" s="15"/>
      <c r="P87" s="15"/>
      <c r="Q87" s="15"/>
      <c r="R87" s="15"/>
      <c r="S87" s="15"/>
      <c r="T87" s="15"/>
      <c r="U87" s="32" t="str">
        <f t="shared" si="9"/>
        <v/>
      </c>
      <c r="V87" s="15"/>
      <c r="W87" s="15"/>
      <c r="X87" s="32" t="str">
        <f t="shared" si="17"/>
        <v/>
      </c>
      <c r="Y87" s="32" t="str">
        <f t="shared" si="10"/>
        <v/>
      </c>
      <c r="Z87" s="15"/>
      <c r="AA87" s="15"/>
      <c r="AB87" s="15"/>
    </row>
    <row r="88" spans="1:28" s="46" customFormat="1" ht="19.899999999999999" customHeight="1" x14ac:dyDescent="0.15">
      <c r="A88" s="34"/>
      <c r="B88" s="15"/>
      <c r="C88" s="29"/>
      <c r="D88" s="32" t="str">
        <f t="shared" si="16"/>
        <v/>
      </c>
      <c r="E88" s="15"/>
      <c r="F88" s="15"/>
      <c r="G88" s="15"/>
      <c r="H88" s="15"/>
      <c r="I88" s="15"/>
      <c r="J88" s="29"/>
      <c r="K88" s="15"/>
      <c r="L88" s="29"/>
      <c r="M88" s="32" t="str">
        <f t="shared" si="18"/>
        <v/>
      </c>
      <c r="N88" s="15"/>
      <c r="O88" s="15"/>
      <c r="P88" s="15"/>
      <c r="Q88" s="15"/>
      <c r="R88" s="15"/>
      <c r="S88" s="15"/>
      <c r="T88" s="15"/>
      <c r="U88" s="32" t="str">
        <f t="shared" si="9"/>
        <v/>
      </c>
      <c r="V88" s="15"/>
      <c r="W88" s="15"/>
      <c r="X88" s="32" t="str">
        <f t="shared" si="17"/>
        <v/>
      </c>
      <c r="Y88" s="32" t="str">
        <f t="shared" si="10"/>
        <v/>
      </c>
      <c r="Z88" s="15"/>
      <c r="AA88" s="15"/>
      <c r="AB88" s="15"/>
    </row>
    <row r="89" spans="1:28" s="46" customFormat="1" ht="19.899999999999999" customHeight="1" x14ac:dyDescent="0.15">
      <c r="A89" s="34"/>
      <c r="B89" s="15"/>
      <c r="C89" s="29"/>
      <c r="D89" s="32" t="str">
        <f t="shared" si="16"/>
        <v/>
      </c>
      <c r="E89" s="15"/>
      <c r="F89" s="15"/>
      <c r="G89" s="15"/>
      <c r="H89" s="15"/>
      <c r="I89" s="15"/>
      <c r="J89" s="29"/>
      <c r="K89" s="15"/>
      <c r="L89" s="29"/>
      <c r="M89" s="32" t="str">
        <f t="shared" si="18"/>
        <v/>
      </c>
      <c r="N89" s="15"/>
      <c r="O89" s="15"/>
      <c r="P89" s="15"/>
      <c r="Q89" s="15"/>
      <c r="R89" s="15"/>
      <c r="S89" s="15"/>
      <c r="T89" s="15"/>
      <c r="U89" s="32" t="str">
        <f t="shared" si="9"/>
        <v/>
      </c>
      <c r="V89" s="15"/>
      <c r="W89" s="15"/>
      <c r="X89" s="32" t="str">
        <f t="shared" si="17"/>
        <v/>
      </c>
      <c r="Y89" s="32" t="str">
        <f t="shared" si="10"/>
        <v/>
      </c>
      <c r="Z89" s="15"/>
      <c r="AA89" s="15"/>
      <c r="AB89" s="15"/>
    </row>
    <row r="90" spans="1:28" s="46" customFormat="1" ht="19.899999999999999" customHeight="1" x14ac:dyDescent="0.15">
      <c r="A90" s="34"/>
      <c r="B90" s="15"/>
      <c r="C90" s="29"/>
      <c r="D90" s="32" t="str">
        <f t="shared" si="16"/>
        <v/>
      </c>
      <c r="E90" s="15"/>
      <c r="F90" s="15"/>
      <c r="G90" s="15"/>
      <c r="H90" s="15"/>
      <c r="I90" s="15"/>
      <c r="J90" s="29"/>
      <c r="K90" s="15"/>
      <c r="L90" s="29"/>
      <c r="M90" s="32" t="str">
        <f t="shared" si="18"/>
        <v/>
      </c>
      <c r="N90" s="15"/>
      <c r="O90" s="15"/>
      <c r="P90" s="15"/>
      <c r="Q90" s="15"/>
      <c r="R90" s="15"/>
      <c r="S90" s="15"/>
      <c r="T90" s="15"/>
      <c r="U90" s="32" t="str">
        <f t="shared" si="9"/>
        <v/>
      </c>
      <c r="V90" s="15"/>
      <c r="W90" s="15"/>
      <c r="X90" s="32" t="str">
        <f t="shared" si="17"/>
        <v/>
      </c>
      <c r="Y90" s="32" t="str">
        <f t="shared" si="10"/>
        <v/>
      </c>
      <c r="Z90" s="15"/>
      <c r="AA90" s="15"/>
      <c r="AB90" s="15"/>
    </row>
    <row r="91" spans="1:28" s="46" customFormat="1" ht="19.899999999999999" customHeight="1" x14ac:dyDescent="0.15">
      <c r="A91" s="34"/>
      <c r="B91" s="15"/>
      <c r="C91" s="29"/>
      <c r="D91" s="32" t="str">
        <f t="shared" si="16"/>
        <v/>
      </c>
      <c r="E91" s="15"/>
      <c r="F91" s="15"/>
      <c r="G91" s="15"/>
      <c r="H91" s="15"/>
      <c r="I91" s="15"/>
      <c r="J91" s="29"/>
      <c r="K91" s="15"/>
      <c r="L91" s="29"/>
      <c r="M91" s="32" t="str">
        <f t="shared" si="18"/>
        <v/>
      </c>
      <c r="N91" s="15"/>
      <c r="O91" s="15"/>
      <c r="P91" s="15"/>
      <c r="Q91" s="15"/>
      <c r="R91" s="15"/>
      <c r="S91" s="15"/>
      <c r="T91" s="15"/>
      <c r="U91" s="32" t="str">
        <f t="shared" si="9"/>
        <v/>
      </c>
      <c r="V91" s="15"/>
      <c r="W91" s="15"/>
      <c r="X91" s="32" t="str">
        <f t="shared" si="17"/>
        <v/>
      </c>
      <c r="Y91" s="32" t="str">
        <f t="shared" si="10"/>
        <v/>
      </c>
      <c r="Z91" s="15"/>
      <c r="AA91" s="15"/>
      <c r="AB91" s="15"/>
    </row>
    <row r="92" spans="1:28" s="46" customFormat="1" ht="19.899999999999999" customHeight="1" x14ac:dyDescent="0.15">
      <c r="A92" s="34"/>
      <c r="B92" s="15"/>
      <c r="C92" s="29"/>
      <c r="D92" s="32" t="str">
        <f t="shared" si="16"/>
        <v/>
      </c>
      <c r="E92" s="15"/>
      <c r="F92" s="15"/>
      <c r="G92" s="15"/>
      <c r="H92" s="15"/>
      <c r="I92" s="15"/>
      <c r="J92" s="29"/>
      <c r="K92" s="15"/>
      <c r="L92" s="29"/>
      <c r="M92" s="32" t="str">
        <f t="shared" si="18"/>
        <v/>
      </c>
      <c r="N92" s="15"/>
      <c r="O92" s="15"/>
      <c r="P92" s="15"/>
      <c r="Q92" s="15"/>
      <c r="R92" s="15"/>
      <c r="S92" s="15"/>
      <c r="T92" s="15"/>
      <c r="U92" s="32" t="str">
        <f t="shared" si="9"/>
        <v/>
      </c>
      <c r="V92" s="15"/>
      <c r="W92" s="15"/>
      <c r="X92" s="32" t="str">
        <f t="shared" si="17"/>
        <v/>
      </c>
      <c r="Y92" s="32" t="str">
        <f t="shared" si="10"/>
        <v/>
      </c>
      <c r="Z92" s="15"/>
      <c r="AA92" s="15"/>
      <c r="AB92" s="15"/>
    </row>
    <row r="93" spans="1:28" s="46" customFormat="1" ht="19.899999999999999" customHeight="1" x14ac:dyDescent="0.15">
      <c r="A93" s="34"/>
      <c r="B93" s="15"/>
      <c r="C93" s="29"/>
      <c r="D93" s="32" t="str">
        <f t="shared" si="16"/>
        <v/>
      </c>
      <c r="E93" s="15"/>
      <c r="F93" s="15"/>
      <c r="G93" s="15"/>
      <c r="H93" s="15"/>
      <c r="I93" s="15"/>
      <c r="J93" s="29"/>
      <c r="K93" s="15"/>
      <c r="L93" s="29"/>
      <c r="M93" s="32" t="str">
        <f t="shared" si="18"/>
        <v/>
      </c>
      <c r="N93" s="15"/>
      <c r="O93" s="15"/>
      <c r="P93" s="15"/>
      <c r="Q93" s="15"/>
      <c r="R93" s="15"/>
      <c r="S93" s="15"/>
      <c r="T93" s="15"/>
      <c r="U93" s="32" t="str">
        <f t="shared" si="9"/>
        <v/>
      </c>
      <c r="V93" s="15"/>
      <c r="W93" s="15"/>
      <c r="X93" s="32" t="str">
        <f t="shared" si="17"/>
        <v/>
      </c>
      <c r="Y93" s="32" t="str">
        <f t="shared" si="10"/>
        <v/>
      </c>
      <c r="Z93" s="15"/>
      <c r="AA93" s="15"/>
      <c r="AB93" s="15"/>
    </row>
    <row r="94" spans="1:28" s="46" customFormat="1" ht="19.899999999999999" customHeight="1" x14ac:dyDescent="0.15">
      <c r="A94" s="34"/>
      <c r="B94" s="15"/>
      <c r="C94" s="29"/>
      <c r="D94" s="32" t="str">
        <f t="shared" si="16"/>
        <v/>
      </c>
      <c r="E94" s="15"/>
      <c r="F94" s="15"/>
      <c r="G94" s="15"/>
      <c r="H94" s="15"/>
      <c r="I94" s="15"/>
      <c r="J94" s="29"/>
      <c r="K94" s="15"/>
      <c r="L94" s="29"/>
      <c r="M94" s="32" t="str">
        <f t="shared" si="18"/>
        <v/>
      </c>
      <c r="N94" s="15"/>
      <c r="O94" s="15"/>
      <c r="P94" s="15"/>
      <c r="Q94" s="15"/>
      <c r="R94" s="15"/>
      <c r="S94" s="15"/>
      <c r="T94" s="15"/>
      <c r="U94" s="32" t="str">
        <f t="shared" si="9"/>
        <v/>
      </c>
      <c r="V94" s="15"/>
      <c r="W94" s="15"/>
      <c r="X94" s="32" t="str">
        <f t="shared" si="17"/>
        <v/>
      </c>
      <c r="Y94" s="32" t="str">
        <f t="shared" si="10"/>
        <v/>
      </c>
      <c r="Z94" s="15"/>
      <c r="AA94" s="15"/>
      <c r="AB94" s="15"/>
    </row>
    <row r="95" spans="1:28" s="46" customFormat="1" ht="19.899999999999999" customHeight="1" x14ac:dyDescent="0.15">
      <c r="A95" s="34"/>
      <c r="B95" s="15"/>
      <c r="C95" s="29"/>
      <c r="D95" s="32" t="str">
        <f t="shared" si="16"/>
        <v/>
      </c>
      <c r="E95" s="15"/>
      <c r="F95" s="15"/>
      <c r="G95" s="15"/>
      <c r="H95" s="15"/>
      <c r="I95" s="15"/>
      <c r="J95" s="29"/>
      <c r="K95" s="15"/>
      <c r="L95" s="29"/>
      <c r="M95" s="32" t="str">
        <f t="shared" si="18"/>
        <v/>
      </c>
      <c r="N95" s="15"/>
      <c r="O95" s="15"/>
      <c r="P95" s="15"/>
      <c r="Q95" s="15"/>
      <c r="R95" s="15"/>
      <c r="S95" s="15"/>
      <c r="T95" s="15"/>
      <c r="U95" s="32" t="str">
        <f t="shared" si="9"/>
        <v/>
      </c>
      <c r="V95" s="15"/>
      <c r="W95" s="15"/>
      <c r="X95" s="32" t="str">
        <f t="shared" si="17"/>
        <v/>
      </c>
      <c r="Y95" s="32" t="str">
        <f t="shared" si="10"/>
        <v/>
      </c>
      <c r="Z95" s="15"/>
      <c r="AA95" s="15"/>
      <c r="AB95" s="15"/>
    </row>
  </sheetData>
  <sheetProtection formatCells="0" insertRows="0" deleteRows="0" autoFilter="0"/>
  <mergeCells count="16">
    <mergeCell ref="M2:M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  <mergeCell ref="R2:R3"/>
    <mergeCell ref="W2:W3"/>
    <mergeCell ref="AA2:AA3"/>
    <mergeCell ref="AB2:AB3"/>
    <mergeCell ref="N2:N3"/>
  </mergeCells>
  <phoneticPr fontId="36" type="noConversion"/>
  <dataValidations count="3">
    <dataValidation type="list" allowBlank="1" showInputMessage="1" showErrorMessage="1" sqref="L4:L95" xr:uid="{00000000-0002-0000-0200-000000000000}">
      <formula1>"μg,mg,g,kg,t,mL,L,mm,cm,m,Pa,kPa,MPa,%,个,支,只,顶,扇,件,粒,颗,部,台,本,张,把,桶,瓶,罐,壶,口,框,盒,包,箱,堆,卷,袋,叠,套,双,副,待定"</formula1>
    </dataValidation>
    <dataValidation type="list" allowBlank="1" showInputMessage="1" showErrorMessage="1" sqref="J4:J95" xr:uid="{00000000-0002-0000-0200-000001000000}">
      <formula1>"购置,返还,其它"</formula1>
    </dataValidation>
    <dataValidation type="list" allowBlank="1" showInputMessage="1" showErrorMessage="1" sqref="C4:C95" xr:uid="{00000000-0002-0000-0200-000002000000}">
      <formula1>"J1,J2,J3,J4,J5,J6,J7,J8,Z1,Z2,Z3,Z4,Z5,Z6"</formula1>
    </dataValidation>
  </dataValidations>
  <printOptions horizontalCentered="1"/>
  <pageMargins left="0" right="0" top="0" bottom="0" header="0.19685039370078741" footer="0.19685039370078741"/>
  <pageSetup paperSize="9" scale="50" orientation="landscape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35"/>
  <sheetViews>
    <sheetView showZeros="0" zoomScaleNormal="100" workbookViewId="0">
      <pane xSplit="2" ySplit="3" topLeftCell="C273" activePane="bottomRight" state="frozen"/>
      <selection pane="topRight" activeCell="C1" sqref="C1"/>
      <selection pane="bottomLeft" activeCell="A4" sqref="A4"/>
      <selection pane="bottomRight" activeCell="AB280" sqref="AB280"/>
    </sheetView>
  </sheetViews>
  <sheetFormatPr defaultColWidth="8.875" defaultRowHeight="16.5" customHeight="1" outlineLevelCol="1" x14ac:dyDescent="0.15"/>
  <cols>
    <col min="1" max="1" width="5.625" style="50" customWidth="1"/>
    <col min="2" max="2" width="25.625" style="50" customWidth="1" outlineLevel="1"/>
    <col min="3" max="3" width="5.5" style="86" customWidth="1" outlineLevel="1"/>
    <col min="4" max="4" width="9.375" style="87" bestFit="1" customWidth="1" outlineLevel="1"/>
    <col min="5" max="6" width="25.625" style="50" customWidth="1" outlineLevel="1"/>
    <col min="7" max="7" width="9.75" style="58" customWidth="1" outlineLevel="1"/>
    <col min="8" max="8" width="2.625" style="58" customWidth="1"/>
    <col min="9" max="9" width="17.875" style="54" customWidth="1" outlineLevel="1"/>
    <col min="10" max="10" width="5.625" style="88" customWidth="1" outlineLevel="1"/>
    <col min="11" max="11" width="5.625" style="58" customWidth="1" outlineLevel="1"/>
    <col min="12" max="12" width="5.625" style="88" customWidth="1" outlineLevel="1"/>
    <col min="13" max="13" width="5.625" style="87" customWidth="1" outlineLevel="1"/>
    <col min="14" max="14" width="9.75" style="58" customWidth="1" outlineLevel="1"/>
    <col min="15" max="16" width="9.625" style="50" customWidth="1" outlineLevel="1"/>
    <col min="17" max="17" width="9.75" style="50" customWidth="1" outlineLevel="1"/>
    <col min="18" max="18" width="2.625" style="58" customWidth="1"/>
    <col min="19" max="19" width="17.875" style="54" customWidth="1" outlineLevel="1"/>
    <col min="20" max="20" width="5.625" style="58" customWidth="1" outlineLevel="1"/>
    <col min="21" max="21" width="5.625" style="87" customWidth="1" outlineLevel="1"/>
    <col min="22" max="22" width="9.75" style="50" customWidth="1" outlineLevel="1"/>
    <col min="23" max="23" width="2.625" style="58" customWidth="1"/>
    <col min="24" max="25" width="5.625" style="87" customWidth="1" outlineLevel="1"/>
    <col min="26" max="26" width="9.75" style="50" customWidth="1" outlineLevel="1"/>
    <col min="27" max="27" width="2.625" style="58" customWidth="1"/>
    <col min="28" max="28" width="9.75" style="58" customWidth="1"/>
    <col min="29" max="16384" width="8.875" style="58"/>
  </cols>
  <sheetData>
    <row r="1" spans="1:28" s="71" customFormat="1" ht="30" customHeight="1" x14ac:dyDescent="0.15">
      <c r="A1" s="71" t="s">
        <v>1567</v>
      </c>
      <c r="C1" s="80"/>
      <c r="D1" s="81"/>
      <c r="I1" s="51"/>
      <c r="J1" s="82"/>
      <c r="L1" s="82"/>
      <c r="M1" s="81"/>
      <c r="O1" s="49"/>
      <c r="P1" s="49"/>
      <c r="Q1" s="49"/>
      <c r="S1" s="51"/>
      <c r="T1" s="83"/>
      <c r="U1" s="81"/>
      <c r="V1" s="49"/>
      <c r="X1" s="81"/>
      <c r="Y1" s="81"/>
      <c r="Z1" s="49"/>
      <c r="AA1" s="84" t="s">
        <v>1533</v>
      </c>
      <c r="AB1" s="85">
        <f>COUNTA(A4:A1634)</f>
        <v>279</v>
      </c>
    </row>
    <row r="2" spans="1:28" s="71" customFormat="1" ht="19.899999999999999" customHeight="1" x14ac:dyDescent="0.15">
      <c r="A2" s="328" t="s">
        <v>1506</v>
      </c>
      <c r="B2" s="328" t="s">
        <v>1507</v>
      </c>
      <c r="C2" s="62" t="s">
        <v>1508</v>
      </c>
      <c r="D2" s="63"/>
      <c r="E2" s="328" t="s">
        <v>1509</v>
      </c>
      <c r="F2" s="328" t="s">
        <v>1510</v>
      </c>
      <c r="G2" s="335" t="s">
        <v>1511</v>
      </c>
      <c r="H2" s="332" t="s">
        <v>1512</v>
      </c>
      <c r="I2" s="337" t="s">
        <v>1239</v>
      </c>
      <c r="J2" s="333" t="s">
        <v>1513</v>
      </c>
      <c r="K2" s="338" t="s">
        <v>1514</v>
      </c>
      <c r="L2" s="340" t="s">
        <v>1515</v>
      </c>
      <c r="M2" s="342" t="s">
        <v>1516</v>
      </c>
      <c r="N2" s="344" t="s">
        <v>1561</v>
      </c>
      <c r="O2" s="161" t="s">
        <v>1517</v>
      </c>
      <c r="P2" s="64"/>
      <c r="Q2" s="65"/>
      <c r="R2" s="332" t="s">
        <v>1518</v>
      </c>
      <c r="S2" s="56" t="s">
        <v>1519</v>
      </c>
      <c r="T2" s="66"/>
      <c r="U2" s="67"/>
      <c r="V2" s="68"/>
      <c r="W2" s="332" t="s">
        <v>1520</v>
      </c>
      <c r="X2" s="55" t="s">
        <v>1521</v>
      </c>
      <c r="Y2" s="69"/>
      <c r="Z2" s="70"/>
      <c r="AA2" s="330" t="s">
        <v>1559</v>
      </c>
      <c r="AB2" s="347" t="s">
        <v>1522</v>
      </c>
    </row>
    <row r="3" spans="1:28" s="79" customFormat="1" ht="19.899999999999999" customHeight="1" x14ac:dyDescent="0.3">
      <c r="A3" s="329"/>
      <c r="B3" s="329"/>
      <c r="C3" s="72" t="s">
        <v>1523</v>
      </c>
      <c r="D3" s="73" t="s">
        <v>1524</v>
      </c>
      <c r="E3" s="329"/>
      <c r="F3" s="329"/>
      <c r="G3" s="336"/>
      <c r="H3" s="331"/>
      <c r="I3" s="337"/>
      <c r="J3" s="334"/>
      <c r="K3" s="339"/>
      <c r="L3" s="341"/>
      <c r="M3" s="343"/>
      <c r="N3" s="336"/>
      <c r="O3" s="74" t="s">
        <v>1525</v>
      </c>
      <c r="P3" s="74" t="s">
        <v>1526</v>
      </c>
      <c r="Q3" s="75" t="s">
        <v>1527</v>
      </c>
      <c r="R3" s="331"/>
      <c r="S3" s="57" t="s">
        <v>1244</v>
      </c>
      <c r="T3" s="76" t="s">
        <v>1528</v>
      </c>
      <c r="U3" s="77" t="s">
        <v>1529</v>
      </c>
      <c r="V3" s="75" t="s">
        <v>1530</v>
      </c>
      <c r="W3" s="331"/>
      <c r="X3" s="78" t="s">
        <v>1531</v>
      </c>
      <c r="Y3" s="78" t="s">
        <v>1529</v>
      </c>
      <c r="Z3" s="75" t="s">
        <v>1532</v>
      </c>
      <c r="AA3" s="331"/>
      <c r="AB3" s="348"/>
    </row>
    <row r="4" spans="1:28" s="46" customFormat="1" ht="19.899999999999999" customHeight="1" x14ac:dyDescent="0.15">
      <c r="A4" s="34">
        <v>1</v>
      </c>
      <c r="B4" s="14" t="s">
        <v>1666</v>
      </c>
      <c r="C4" s="29" t="s">
        <v>135</v>
      </c>
      <c r="D4" s="13" t="str">
        <f t="shared" ref="D4:D14" si="0">IF(C4="J1","常规化学品",IF(C4="J2","危险化学品",IF(C4="J3","标准物质",IF(C4="J4","玻璃仪器",IF(C4="J5","实验气体",IF(C4="J6","专用物耗",IF(C4="J7","备品配件",IF(C4="J8","专用工具",IF(C4="Z1","劳保物资",IF(C4="Z2","办公耗材",IF(C4="Z3","食品饮料",IF(C4="Z4","特殊物耗",IF(C4="Z5","通用物耗",IF(C4="Z6","通用工具",""))))))))))))))</f>
        <v>备品配件</v>
      </c>
      <c r="E4" s="15"/>
      <c r="F4" s="15"/>
      <c r="G4" s="15"/>
      <c r="H4" s="15"/>
      <c r="I4" s="15"/>
      <c r="J4" s="29" t="s">
        <v>821</v>
      </c>
      <c r="K4" s="15">
        <v>1</v>
      </c>
      <c r="L4" s="29" t="s">
        <v>822</v>
      </c>
      <c r="M4" s="13" t="str">
        <f t="shared" ref="M4:M14" si="1">IF(D4="危险化学品","五双",IF(D4="标准物资","严控",IF(D4&lt;&gt;"","常规","")))</f>
        <v>常规</v>
      </c>
      <c r="N4" s="15"/>
      <c r="O4" s="137" t="s">
        <v>2269</v>
      </c>
      <c r="P4" s="15"/>
      <c r="Q4" s="15"/>
      <c r="R4" s="15"/>
      <c r="S4" s="15"/>
      <c r="T4" s="15"/>
      <c r="U4" s="13" t="str">
        <f t="shared" ref="U4:U14" si="2">IF(L4="","",L4)</f>
        <v>只</v>
      </c>
      <c r="V4" s="15"/>
      <c r="W4" s="35"/>
      <c r="X4" s="13">
        <f t="shared" ref="X4:X14" si="3">IF((K4-T4)&lt;=0,"",K4-T4)</f>
        <v>1</v>
      </c>
      <c r="Y4" s="13" t="str">
        <f t="shared" ref="Y4:Y14" si="4">IF(L4="","",L4)</f>
        <v>只</v>
      </c>
      <c r="Z4" s="15"/>
      <c r="AA4" s="15"/>
      <c r="AB4" s="35"/>
    </row>
    <row r="5" spans="1:28" s="46" customFormat="1" ht="19.899999999999999" customHeight="1" x14ac:dyDescent="0.15">
      <c r="A5" s="34">
        <v>2</v>
      </c>
      <c r="B5" s="14" t="s">
        <v>760</v>
      </c>
      <c r="C5" s="29" t="s">
        <v>135</v>
      </c>
      <c r="D5" s="32" t="str">
        <f t="shared" si="0"/>
        <v>备品配件</v>
      </c>
      <c r="E5" s="15"/>
      <c r="F5" s="15" t="s">
        <v>761</v>
      </c>
      <c r="G5" s="15"/>
      <c r="H5" s="15"/>
      <c r="I5" s="15"/>
      <c r="J5" s="29" t="s">
        <v>821</v>
      </c>
      <c r="K5" s="14">
        <v>1</v>
      </c>
      <c r="L5" s="29" t="s">
        <v>823</v>
      </c>
      <c r="M5" s="32" t="str">
        <f t="shared" si="1"/>
        <v>常规</v>
      </c>
      <c r="N5" s="15"/>
      <c r="O5" s="137" t="s">
        <v>2269</v>
      </c>
      <c r="P5" s="15"/>
      <c r="Q5" s="15"/>
      <c r="R5" s="15"/>
      <c r="S5" s="15"/>
      <c r="T5" s="15"/>
      <c r="U5" s="32" t="str">
        <f t="shared" si="2"/>
        <v>个</v>
      </c>
      <c r="V5" s="15"/>
      <c r="W5" s="35"/>
      <c r="X5" s="32">
        <f t="shared" si="3"/>
        <v>1</v>
      </c>
      <c r="Y5" s="32" t="str">
        <f t="shared" si="4"/>
        <v>个</v>
      </c>
      <c r="Z5" s="15"/>
      <c r="AA5" s="15"/>
      <c r="AB5" s="35"/>
    </row>
    <row r="6" spans="1:28" s="46" customFormat="1" ht="19.899999999999999" customHeight="1" x14ac:dyDescent="0.15">
      <c r="A6" s="34">
        <v>3</v>
      </c>
      <c r="B6" s="14" t="s">
        <v>762</v>
      </c>
      <c r="C6" s="29" t="s">
        <v>135</v>
      </c>
      <c r="D6" s="32" t="str">
        <f t="shared" si="0"/>
        <v>备品配件</v>
      </c>
      <c r="E6" s="15"/>
      <c r="F6" s="15" t="s">
        <v>763</v>
      </c>
      <c r="G6" s="15"/>
      <c r="H6" s="15"/>
      <c r="I6" s="15"/>
      <c r="J6" s="29" t="s">
        <v>821</v>
      </c>
      <c r="K6" s="14">
        <v>2</v>
      </c>
      <c r="L6" s="29" t="s">
        <v>823</v>
      </c>
      <c r="M6" s="32" t="str">
        <f t="shared" si="1"/>
        <v>常规</v>
      </c>
      <c r="N6" s="15"/>
      <c r="O6" s="137" t="s">
        <v>2269</v>
      </c>
      <c r="P6" s="15"/>
      <c r="Q6" s="15"/>
      <c r="R6" s="15"/>
      <c r="S6" s="15"/>
      <c r="T6" s="15"/>
      <c r="U6" s="32" t="str">
        <f t="shared" si="2"/>
        <v>个</v>
      </c>
      <c r="V6" s="15"/>
      <c r="W6" s="35"/>
      <c r="X6" s="32">
        <f t="shared" si="3"/>
        <v>2</v>
      </c>
      <c r="Y6" s="32" t="str">
        <f t="shared" si="4"/>
        <v>个</v>
      </c>
      <c r="Z6" s="15"/>
      <c r="AA6" s="15"/>
      <c r="AB6" s="35"/>
    </row>
    <row r="7" spans="1:28" s="46" customFormat="1" ht="19.899999999999999" customHeight="1" x14ac:dyDescent="0.15">
      <c r="A7" s="34">
        <v>4</v>
      </c>
      <c r="B7" s="14" t="s">
        <v>764</v>
      </c>
      <c r="C7" s="29" t="s">
        <v>135</v>
      </c>
      <c r="D7" s="32" t="str">
        <f t="shared" si="0"/>
        <v>备品配件</v>
      </c>
      <c r="E7" s="15"/>
      <c r="F7" s="14" t="s">
        <v>136</v>
      </c>
      <c r="G7" s="15"/>
      <c r="H7" s="15"/>
      <c r="I7" s="15"/>
      <c r="J7" s="29" t="s">
        <v>821</v>
      </c>
      <c r="K7" s="14">
        <v>2</v>
      </c>
      <c r="L7" s="29" t="s">
        <v>827</v>
      </c>
      <c r="M7" s="32" t="str">
        <f t="shared" si="1"/>
        <v>常规</v>
      </c>
      <c r="N7" s="15"/>
      <c r="O7" s="137" t="s">
        <v>2269</v>
      </c>
      <c r="P7" s="15"/>
      <c r="Q7" s="15"/>
      <c r="R7" s="15"/>
      <c r="S7" s="15" t="s">
        <v>1065</v>
      </c>
      <c r="T7" s="15">
        <v>1</v>
      </c>
      <c r="U7" s="32" t="str">
        <f t="shared" si="2"/>
        <v>套</v>
      </c>
      <c r="V7" s="15"/>
      <c r="W7" s="35"/>
      <c r="X7" s="32">
        <f t="shared" si="3"/>
        <v>1</v>
      </c>
      <c r="Y7" s="32" t="str">
        <f t="shared" si="4"/>
        <v>套</v>
      </c>
      <c r="Z7" s="15"/>
      <c r="AA7" s="15"/>
      <c r="AB7" s="35"/>
    </row>
    <row r="8" spans="1:28" s="46" customFormat="1" ht="19.899999999999999" customHeight="1" x14ac:dyDescent="0.15">
      <c r="A8" s="34">
        <v>5</v>
      </c>
      <c r="B8" s="14" t="s">
        <v>764</v>
      </c>
      <c r="C8" s="29" t="s">
        <v>135</v>
      </c>
      <c r="D8" s="32" t="str">
        <f t="shared" si="0"/>
        <v>备品配件</v>
      </c>
      <c r="E8" s="15"/>
      <c r="F8" s="14" t="s">
        <v>137</v>
      </c>
      <c r="G8" s="15"/>
      <c r="H8" s="15"/>
      <c r="I8" s="15"/>
      <c r="J8" s="29" t="s">
        <v>821</v>
      </c>
      <c r="K8" s="14">
        <v>5</v>
      </c>
      <c r="L8" s="29" t="s">
        <v>827</v>
      </c>
      <c r="M8" s="32" t="str">
        <f t="shared" si="1"/>
        <v>常规</v>
      </c>
      <c r="N8" s="15"/>
      <c r="O8" s="137" t="s">
        <v>2269</v>
      </c>
      <c r="P8" s="15"/>
      <c r="Q8" s="15"/>
      <c r="R8" s="15"/>
      <c r="S8" s="15"/>
      <c r="T8" s="15"/>
      <c r="U8" s="32" t="str">
        <f t="shared" si="2"/>
        <v>套</v>
      </c>
      <c r="V8" s="15"/>
      <c r="W8" s="35"/>
      <c r="X8" s="32">
        <f t="shared" si="3"/>
        <v>5</v>
      </c>
      <c r="Y8" s="32" t="str">
        <f t="shared" si="4"/>
        <v>套</v>
      </c>
      <c r="Z8" s="15"/>
      <c r="AA8" s="15"/>
      <c r="AB8" s="35"/>
    </row>
    <row r="9" spans="1:28" s="175" customFormat="1" ht="19.899999999999999" customHeight="1" x14ac:dyDescent="0.15">
      <c r="A9" s="163">
        <v>6</v>
      </c>
      <c r="B9" s="167" t="s">
        <v>765</v>
      </c>
      <c r="C9" s="165" t="s">
        <v>135</v>
      </c>
      <c r="D9" s="166" t="str">
        <f t="shared" si="0"/>
        <v>备品配件</v>
      </c>
      <c r="E9" s="167"/>
      <c r="F9" s="167" t="s">
        <v>138</v>
      </c>
      <c r="G9" s="167"/>
      <c r="H9" s="167"/>
      <c r="I9" s="167"/>
      <c r="J9" s="165" t="s">
        <v>821</v>
      </c>
      <c r="K9" s="167">
        <v>1</v>
      </c>
      <c r="L9" s="165" t="s">
        <v>823</v>
      </c>
      <c r="M9" s="166" t="str">
        <f t="shared" si="1"/>
        <v>常规</v>
      </c>
      <c r="N9" s="167"/>
      <c r="O9" s="169" t="s">
        <v>2267</v>
      </c>
      <c r="P9" s="167"/>
      <c r="Q9" s="167"/>
      <c r="R9" s="167"/>
      <c r="S9" s="167" t="s">
        <v>950</v>
      </c>
      <c r="T9" s="167">
        <v>1</v>
      </c>
      <c r="U9" s="166" t="str">
        <f t="shared" si="2"/>
        <v>个</v>
      </c>
      <c r="V9" s="167"/>
      <c r="W9" s="172"/>
      <c r="X9" s="166" t="str">
        <f t="shared" si="3"/>
        <v/>
      </c>
      <c r="Y9" s="166" t="str">
        <f t="shared" si="4"/>
        <v>个</v>
      </c>
      <c r="Z9" s="167"/>
      <c r="AA9" s="167"/>
      <c r="AB9" s="172"/>
    </row>
    <row r="10" spans="1:28" s="175" customFormat="1" ht="19.899999999999999" customHeight="1" x14ac:dyDescent="0.15">
      <c r="A10" s="163">
        <v>7</v>
      </c>
      <c r="B10" s="167" t="s">
        <v>766</v>
      </c>
      <c r="C10" s="165" t="s">
        <v>135</v>
      </c>
      <c r="D10" s="166" t="str">
        <f t="shared" si="0"/>
        <v>备品配件</v>
      </c>
      <c r="E10" s="167"/>
      <c r="F10" s="167"/>
      <c r="G10" s="167"/>
      <c r="H10" s="167"/>
      <c r="I10" s="167"/>
      <c r="J10" s="165" t="s">
        <v>821</v>
      </c>
      <c r="K10" s="167">
        <v>1</v>
      </c>
      <c r="L10" s="165" t="s">
        <v>823</v>
      </c>
      <c r="M10" s="166" t="str">
        <f t="shared" si="1"/>
        <v>常规</v>
      </c>
      <c r="N10" s="167"/>
      <c r="O10" s="169" t="s">
        <v>2268</v>
      </c>
      <c r="P10" s="167"/>
      <c r="Q10" s="167"/>
      <c r="R10" s="167"/>
      <c r="S10" s="174" t="s">
        <v>139</v>
      </c>
      <c r="T10" s="167">
        <v>1</v>
      </c>
      <c r="U10" s="166" t="str">
        <f t="shared" si="2"/>
        <v>个</v>
      </c>
      <c r="V10" s="167"/>
      <c r="W10" s="172"/>
      <c r="X10" s="166" t="str">
        <f t="shared" si="3"/>
        <v/>
      </c>
      <c r="Y10" s="166" t="str">
        <f t="shared" si="4"/>
        <v>个</v>
      </c>
      <c r="Z10" s="167"/>
      <c r="AA10" s="167"/>
      <c r="AB10" s="172"/>
    </row>
    <row r="11" spans="1:28" s="46" customFormat="1" ht="19.899999999999999" customHeight="1" x14ac:dyDescent="0.15">
      <c r="A11" s="34">
        <v>8</v>
      </c>
      <c r="B11" s="91" t="s">
        <v>1945</v>
      </c>
      <c r="C11" s="29" t="s">
        <v>135</v>
      </c>
      <c r="D11" s="32" t="str">
        <f t="shared" si="0"/>
        <v>备品配件</v>
      </c>
      <c r="E11" s="15"/>
      <c r="F11" s="15"/>
      <c r="G11" s="15"/>
      <c r="H11" s="15"/>
      <c r="I11" s="15" t="s">
        <v>1141</v>
      </c>
      <c r="J11" s="29" t="s">
        <v>821</v>
      </c>
      <c r="K11" s="15">
        <v>2</v>
      </c>
      <c r="L11" s="29" t="s">
        <v>822</v>
      </c>
      <c r="M11" s="32" t="str">
        <f t="shared" si="1"/>
        <v>常规</v>
      </c>
      <c r="N11" s="15"/>
      <c r="O11" s="137" t="s">
        <v>2270</v>
      </c>
      <c r="P11" s="15"/>
      <c r="Q11" s="15"/>
      <c r="R11" s="15"/>
      <c r="S11" s="15"/>
      <c r="T11" s="15"/>
      <c r="U11" s="32" t="str">
        <f t="shared" si="2"/>
        <v>只</v>
      </c>
      <c r="V11" s="15"/>
      <c r="W11" s="15"/>
      <c r="X11" s="32">
        <f t="shared" si="3"/>
        <v>2</v>
      </c>
      <c r="Y11" s="32" t="str">
        <f t="shared" si="4"/>
        <v>只</v>
      </c>
      <c r="Z11" s="15"/>
      <c r="AA11" s="15"/>
      <c r="AB11" s="15"/>
    </row>
    <row r="12" spans="1:28" s="46" customFormat="1" ht="19.899999999999999" customHeight="1" x14ac:dyDescent="0.15">
      <c r="A12" s="34">
        <v>9</v>
      </c>
      <c r="B12" s="52" t="s">
        <v>1456</v>
      </c>
      <c r="C12" s="29" t="s">
        <v>135</v>
      </c>
      <c r="D12" s="32" t="str">
        <f t="shared" si="0"/>
        <v>备品配件</v>
      </c>
      <c r="E12" s="15"/>
      <c r="F12" s="15" t="s">
        <v>966</v>
      </c>
      <c r="G12" s="15"/>
      <c r="H12" s="15"/>
      <c r="I12" s="15" t="s">
        <v>1142</v>
      </c>
      <c r="J12" s="29" t="s">
        <v>821</v>
      </c>
      <c r="K12" s="15">
        <v>6</v>
      </c>
      <c r="L12" s="29" t="s">
        <v>824</v>
      </c>
      <c r="M12" s="32" t="str">
        <f t="shared" si="1"/>
        <v>常规</v>
      </c>
      <c r="N12" s="15"/>
      <c r="O12" s="137" t="s">
        <v>2270</v>
      </c>
      <c r="P12" s="15"/>
      <c r="Q12" s="15"/>
      <c r="R12" s="15"/>
      <c r="S12" s="15" t="s">
        <v>970</v>
      </c>
      <c r="T12" s="15">
        <v>2</v>
      </c>
      <c r="U12" s="32" t="str">
        <f t="shared" si="2"/>
        <v>支</v>
      </c>
      <c r="V12" s="15"/>
      <c r="W12" s="15"/>
      <c r="X12" s="32">
        <f t="shared" si="3"/>
        <v>4</v>
      </c>
      <c r="Y12" s="32" t="str">
        <f t="shared" si="4"/>
        <v>支</v>
      </c>
      <c r="Z12" s="15"/>
      <c r="AA12" s="15"/>
      <c r="AB12" s="15"/>
    </row>
    <row r="13" spans="1:28" s="175" customFormat="1" ht="19.899999999999999" customHeight="1" x14ac:dyDescent="0.15">
      <c r="A13" s="163">
        <v>10</v>
      </c>
      <c r="B13" s="176" t="s">
        <v>1457</v>
      </c>
      <c r="C13" s="165" t="s">
        <v>135</v>
      </c>
      <c r="D13" s="166" t="str">
        <f t="shared" si="0"/>
        <v>备品配件</v>
      </c>
      <c r="E13" s="167"/>
      <c r="F13" s="167"/>
      <c r="G13" s="167"/>
      <c r="H13" s="167"/>
      <c r="I13" s="167" t="s">
        <v>2000</v>
      </c>
      <c r="J13" s="165" t="s">
        <v>821</v>
      </c>
      <c r="K13" s="167">
        <v>2</v>
      </c>
      <c r="L13" s="165" t="s">
        <v>824</v>
      </c>
      <c r="M13" s="166" t="str">
        <f t="shared" si="1"/>
        <v>常规</v>
      </c>
      <c r="N13" s="167"/>
      <c r="O13" s="169" t="s">
        <v>2270</v>
      </c>
      <c r="P13" s="167"/>
      <c r="Q13" s="167"/>
      <c r="R13" s="167"/>
      <c r="S13" s="167" t="s">
        <v>2805</v>
      </c>
      <c r="T13" s="167">
        <v>2</v>
      </c>
      <c r="U13" s="166" t="str">
        <f t="shared" si="2"/>
        <v>支</v>
      </c>
      <c r="V13" s="167"/>
      <c r="W13" s="167"/>
      <c r="X13" s="166" t="str">
        <f t="shared" si="3"/>
        <v/>
      </c>
      <c r="Y13" s="166" t="str">
        <f t="shared" si="4"/>
        <v>支</v>
      </c>
      <c r="Z13" s="167"/>
      <c r="AA13" s="167"/>
      <c r="AB13" s="167"/>
    </row>
    <row r="14" spans="1:28" s="175" customFormat="1" ht="19.899999999999999" customHeight="1" x14ac:dyDescent="0.15">
      <c r="A14" s="163">
        <v>11</v>
      </c>
      <c r="B14" s="176" t="s">
        <v>1454</v>
      </c>
      <c r="C14" s="165" t="s">
        <v>135</v>
      </c>
      <c r="D14" s="166" t="str">
        <f t="shared" si="0"/>
        <v>备品配件</v>
      </c>
      <c r="E14" s="167"/>
      <c r="F14" s="167"/>
      <c r="G14" s="167"/>
      <c r="H14" s="167"/>
      <c r="I14" s="167" t="s">
        <v>1174</v>
      </c>
      <c r="J14" s="165" t="s">
        <v>821</v>
      </c>
      <c r="K14" s="167">
        <v>1</v>
      </c>
      <c r="L14" s="165" t="s">
        <v>822</v>
      </c>
      <c r="M14" s="166" t="str">
        <f t="shared" si="1"/>
        <v>常规</v>
      </c>
      <c r="N14" s="167"/>
      <c r="O14" s="169"/>
      <c r="P14" s="167"/>
      <c r="Q14" s="167"/>
      <c r="R14" s="167"/>
      <c r="S14" s="167" t="s">
        <v>2028</v>
      </c>
      <c r="T14" s="167">
        <v>1</v>
      </c>
      <c r="U14" s="166" t="str">
        <f t="shared" si="2"/>
        <v>只</v>
      </c>
      <c r="V14" s="167"/>
      <c r="W14" s="167"/>
      <c r="X14" s="166" t="str">
        <f t="shared" si="3"/>
        <v/>
      </c>
      <c r="Y14" s="166" t="str">
        <f t="shared" si="4"/>
        <v>只</v>
      </c>
      <c r="Z14" s="167"/>
      <c r="AA14" s="167"/>
      <c r="AB14" s="167"/>
    </row>
    <row r="15" spans="1:28" s="46" customFormat="1" ht="19.899999999999999" customHeight="1" x14ac:dyDescent="0.15">
      <c r="A15" s="34"/>
      <c r="B15" s="97" t="s">
        <v>1999</v>
      </c>
      <c r="C15" s="29" t="s">
        <v>135</v>
      </c>
      <c r="D15" s="32" t="str">
        <f t="shared" ref="D15:D20" si="5">IF(C15="J1","常规化学品",IF(C15="J2","危险化学品",IF(C15="J3","标准物质",IF(C15="J4","玻璃仪器",IF(C15="J5","实验气体",IF(C15="J6","专用物耗",IF(C15="J7","备品配件",IF(C15="J8","专用工具",IF(C15="Z1","劳保物资",IF(C15="Z2","办公耗材",IF(C15="Z3","食品饮料",IF(C15="Z4","特殊物耗",IF(C15="Z5","通用物耗",IF(C15="Z6","通用工具",""))))))))))))))</f>
        <v>备品配件</v>
      </c>
      <c r="E15" s="15"/>
      <c r="F15" s="15"/>
      <c r="G15" s="15"/>
      <c r="H15" s="15"/>
      <c r="I15" s="15"/>
      <c r="J15" s="29" t="s">
        <v>821</v>
      </c>
      <c r="K15" s="15"/>
      <c r="L15" s="29"/>
      <c r="M15" s="32" t="str">
        <f t="shared" ref="M15:M48" si="6">IF(D15="危险化学品","五双",IF(D15="标准物资","严控",IF(D15&lt;&gt;"","常规","")))</f>
        <v>常规</v>
      </c>
      <c r="N15" s="15"/>
      <c r="O15" s="137"/>
      <c r="P15" s="15"/>
      <c r="Q15" s="15"/>
      <c r="R15" s="15"/>
      <c r="S15" s="15"/>
      <c r="T15" s="15"/>
      <c r="U15" s="32" t="str">
        <f t="shared" ref="U15:U64" si="7">IF(L15="","",L15)</f>
        <v/>
      </c>
      <c r="V15" s="15"/>
      <c r="W15" s="15"/>
      <c r="X15" s="32" t="str">
        <f t="shared" ref="X15:X46" si="8">IF((K15-T15)&lt;=0,"",K15-T15)</f>
        <v/>
      </c>
      <c r="Y15" s="32" t="str">
        <f t="shared" ref="Y15:Y64" si="9">IF(L15="","",L15)</f>
        <v/>
      </c>
      <c r="Z15" s="15"/>
      <c r="AA15" s="15"/>
      <c r="AB15" s="15"/>
    </row>
    <row r="16" spans="1:28" s="46" customFormat="1" ht="19.899999999999999" customHeight="1" x14ac:dyDescent="0.15">
      <c r="A16" s="34">
        <v>12</v>
      </c>
      <c r="B16" s="112" t="s">
        <v>1960</v>
      </c>
      <c r="C16" s="29" t="s">
        <v>135</v>
      </c>
      <c r="D16" s="32" t="str">
        <f t="shared" si="5"/>
        <v>备品配件</v>
      </c>
      <c r="E16" s="15"/>
      <c r="F16" s="98"/>
      <c r="G16" s="109"/>
      <c r="H16" s="15"/>
      <c r="I16" s="15"/>
      <c r="J16" s="29" t="s">
        <v>1608</v>
      </c>
      <c r="K16" s="110">
        <v>1</v>
      </c>
      <c r="L16" s="110" t="s">
        <v>134</v>
      </c>
      <c r="M16" s="32" t="str">
        <f t="shared" si="6"/>
        <v>常规</v>
      </c>
      <c r="N16" s="15"/>
      <c r="O16" s="137" t="s">
        <v>2271</v>
      </c>
      <c r="P16" s="15"/>
      <c r="Q16" s="15"/>
      <c r="R16" s="15"/>
      <c r="S16" s="15"/>
      <c r="T16" s="110"/>
      <c r="U16" s="32" t="str">
        <f t="shared" si="7"/>
        <v>个</v>
      </c>
      <c r="V16" s="15"/>
      <c r="W16" s="15"/>
      <c r="X16" s="32">
        <f t="shared" si="8"/>
        <v>1</v>
      </c>
      <c r="Y16" s="32" t="str">
        <f t="shared" si="9"/>
        <v>个</v>
      </c>
      <c r="Z16" s="15"/>
      <c r="AA16" s="15"/>
      <c r="AB16" s="15"/>
    </row>
    <row r="17" spans="1:28" s="46" customFormat="1" ht="19.899999999999999" customHeight="1" x14ac:dyDescent="0.15">
      <c r="A17" s="34">
        <v>13</v>
      </c>
      <c r="B17" s="111" t="s">
        <v>1667</v>
      </c>
      <c r="C17" s="29" t="s">
        <v>135</v>
      </c>
      <c r="D17" s="32" t="str">
        <f t="shared" si="5"/>
        <v>备品配件</v>
      </c>
      <c r="E17" s="15"/>
      <c r="F17" s="98">
        <v>6820.4075000000003</v>
      </c>
      <c r="G17" s="109"/>
      <c r="H17" s="15"/>
      <c r="I17" s="15"/>
      <c r="J17" s="29" t="s">
        <v>1608</v>
      </c>
      <c r="K17" s="110">
        <v>1</v>
      </c>
      <c r="L17" s="110" t="s">
        <v>134</v>
      </c>
      <c r="M17" s="32" t="str">
        <f t="shared" si="6"/>
        <v>常规</v>
      </c>
      <c r="N17" s="15"/>
      <c r="O17" s="137" t="s">
        <v>2271</v>
      </c>
      <c r="P17" s="15"/>
      <c r="Q17" s="15"/>
      <c r="R17" s="15"/>
      <c r="S17" s="15"/>
      <c r="T17" s="110"/>
      <c r="U17" s="32" t="str">
        <f t="shared" si="7"/>
        <v>个</v>
      </c>
      <c r="V17" s="15"/>
      <c r="W17" s="15"/>
      <c r="X17" s="32">
        <f t="shared" si="8"/>
        <v>1</v>
      </c>
      <c r="Y17" s="32" t="str">
        <f t="shared" si="9"/>
        <v>个</v>
      </c>
      <c r="Z17" s="15"/>
      <c r="AA17" s="15"/>
      <c r="AB17" s="15"/>
    </row>
    <row r="18" spans="1:28" s="46" customFormat="1" ht="19.899999999999999" customHeight="1" x14ac:dyDescent="0.15">
      <c r="A18" s="34">
        <v>14</v>
      </c>
      <c r="B18" s="111" t="s">
        <v>1947</v>
      </c>
      <c r="C18" s="29" t="s">
        <v>135</v>
      </c>
      <c r="D18" s="32" t="str">
        <f t="shared" si="5"/>
        <v>备品配件</v>
      </c>
      <c r="E18" s="15"/>
      <c r="F18" s="109">
        <v>6040.0005000000001</v>
      </c>
      <c r="G18" s="98" t="s">
        <v>1899</v>
      </c>
      <c r="H18" s="15"/>
      <c r="I18" s="15"/>
      <c r="J18" s="29" t="s">
        <v>1608</v>
      </c>
      <c r="K18" s="110">
        <v>3</v>
      </c>
      <c r="L18" s="110" t="s">
        <v>134</v>
      </c>
      <c r="M18" s="32" t="str">
        <f t="shared" si="6"/>
        <v>常规</v>
      </c>
      <c r="N18" s="15"/>
      <c r="O18" s="137" t="s">
        <v>2271</v>
      </c>
      <c r="P18" s="15"/>
      <c r="Q18" s="15"/>
      <c r="R18" s="15"/>
      <c r="S18" s="15"/>
      <c r="T18" s="110"/>
      <c r="U18" s="32" t="str">
        <f t="shared" si="7"/>
        <v>个</v>
      </c>
      <c r="V18" s="15"/>
      <c r="W18" s="15"/>
      <c r="X18" s="32">
        <f t="shared" si="8"/>
        <v>3</v>
      </c>
      <c r="Y18" s="32" t="str">
        <f t="shared" si="9"/>
        <v>个</v>
      </c>
      <c r="Z18" s="15"/>
      <c r="AA18" s="15"/>
      <c r="AB18" s="15"/>
    </row>
    <row r="19" spans="1:28" s="46" customFormat="1" ht="19.899999999999999" customHeight="1" x14ac:dyDescent="0.15">
      <c r="A19" s="34">
        <v>15</v>
      </c>
      <c r="B19" s="111" t="s">
        <v>1668</v>
      </c>
      <c r="C19" s="29" t="s">
        <v>135</v>
      </c>
      <c r="D19" s="32" t="str">
        <f t="shared" si="5"/>
        <v>备品配件</v>
      </c>
      <c r="E19" s="15"/>
      <c r="F19" s="109" t="s">
        <v>1815</v>
      </c>
      <c r="G19" s="109"/>
      <c r="H19" s="15"/>
      <c r="I19" s="15"/>
      <c r="J19" s="29" t="s">
        <v>1608</v>
      </c>
      <c r="K19" s="110">
        <v>1</v>
      </c>
      <c r="L19" s="110" t="s">
        <v>134</v>
      </c>
      <c r="M19" s="32" t="str">
        <f t="shared" si="6"/>
        <v>常规</v>
      </c>
      <c r="N19" s="15"/>
      <c r="O19" s="137" t="s">
        <v>2271</v>
      </c>
      <c r="P19" s="15"/>
      <c r="Q19" s="15"/>
      <c r="R19" s="15"/>
      <c r="S19" s="15"/>
      <c r="T19" s="110"/>
      <c r="U19" s="32" t="str">
        <f t="shared" si="7"/>
        <v>个</v>
      </c>
      <c r="V19" s="15"/>
      <c r="W19" s="15"/>
      <c r="X19" s="32">
        <f t="shared" si="8"/>
        <v>1</v>
      </c>
      <c r="Y19" s="32" t="str">
        <f t="shared" si="9"/>
        <v>个</v>
      </c>
      <c r="Z19" s="15"/>
      <c r="AA19" s="15"/>
      <c r="AB19" s="15"/>
    </row>
    <row r="20" spans="1:28" s="46" customFormat="1" ht="19.899999999999999" customHeight="1" x14ac:dyDescent="0.15">
      <c r="A20" s="34">
        <v>16</v>
      </c>
      <c r="B20" s="111" t="s">
        <v>1949</v>
      </c>
      <c r="C20" s="29" t="s">
        <v>135</v>
      </c>
      <c r="D20" s="32" t="str">
        <f t="shared" si="5"/>
        <v>备品配件</v>
      </c>
      <c r="E20" s="15"/>
      <c r="F20" s="109" t="s">
        <v>1816</v>
      </c>
      <c r="G20" s="109"/>
      <c r="H20" s="15"/>
      <c r="I20" s="15"/>
      <c r="J20" s="29" t="s">
        <v>1608</v>
      </c>
      <c r="K20" s="110">
        <v>4</v>
      </c>
      <c r="L20" s="110" t="s">
        <v>134</v>
      </c>
      <c r="M20" s="32" t="str">
        <f t="shared" si="6"/>
        <v>常规</v>
      </c>
      <c r="N20" s="15"/>
      <c r="O20" s="137" t="s">
        <v>2271</v>
      </c>
      <c r="P20" s="15"/>
      <c r="Q20" s="15"/>
      <c r="R20" s="15"/>
      <c r="S20" s="15"/>
      <c r="T20" s="110"/>
      <c r="U20" s="32" t="str">
        <f t="shared" si="7"/>
        <v>个</v>
      </c>
      <c r="V20" s="15"/>
      <c r="W20" s="15"/>
      <c r="X20" s="32">
        <f t="shared" si="8"/>
        <v>4</v>
      </c>
      <c r="Y20" s="32" t="str">
        <f t="shared" si="9"/>
        <v>个</v>
      </c>
      <c r="Z20" s="15"/>
      <c r="AA20" s="15"/>
      <c r="AB20" s="15"/>
    </row>
    <row r="21" spans="1:28" s="46" customFormat="1" ht="19.899999999999999" customHeight="1" x14ac:dyDescent="0.15">
      <c r="A21" s="34">
        <v>17</v>
      </c>
      <c r="B21" s="111" t="s">
        <v>1948</v>
      </c>
      <c r="C21" s="29" t="s">
        <v>135</v>
      </c>
      <c r="D21" s="32" t="str">
        <f t="shared" ref="D21" si="10">IF(C21="J1","常规化学品",IF(C21="J2","危险化学品",IF(C21="J3","标准物质",IF(C21="J4","玻璃仪器",IF(C21="J5","实验气体",IF(C21="J6","专用物耗",IF(C21="J7","备品配件",IF(C21="J8","专用工具",IF(C21="Z1","劳保物资",IF(C21="Z2","办公耗材",IF(C21="Z3","食品饮料",IF(C21="Z4","特殊物耗",IF(C21="Z5","通用物耗",IF(C21="Z6","通用工具",""))))))))))))))</f>
        <v>备品配件</v>
      </c>
      <c r="E21" s="15"/>
      <c r="F21" s="109" t="s">
        <v>1950</v>
      </c>
      <c r="G21" s="109"/>
      <c r="H21" s="15"/>
      <c r="I21" s="15"/>
      <c r="J21" s="29" t="s">
        <v>1608</v>
      </c>
      <c r="K21" s="110">
        <v>11</v>
      </c>
      <c r="L21" s="110" t="s">
        <v>134</v>
      </c>
      <c r="M21" s="32" t="str">
        <f t="shared" ref="M21" si="11">IF(D21="危险化学品","五双",IF(D21="标准物资","严控",IF(D21&lt;&gt;"","常规","")))</f>
        <v>常规</v>
      </c>
      <c r="N21" s="15"/>
      <c r="O21" s="137" t="s">
        <v>2271</v>
      </c>
      <c r="P21" s="15"/>
      <c r="Q21" s="15"/>
      <c r="R21" s="15"/>
      <c r="S21" s="15"/>
      <c r="T21" s="110"/>
      <c r="U21" s="32" t="str">
        <f t="shared" ref="U21" si="12">IF(L21="","",L21)</f>
        <v>个</v>
      </c>
      <c r="V21" s="15"/>
      <c r="W21" s="15"/>
      <c r="X21" s="32">
        <f t="shared" ref="X21" si="13">IF((K21-T21)&lt;=0,"",K21-T21)</f>
        <v>11</v>
      </c>
      <c r="Y21" s="32" t="str">
        <f t="shared" ref="Y21" si="14">IF(L21="","",L21)</f>
        <v>个</v>
      </c>
      <c r="Z21" s="15"/>
      <c r="AA21" s="15"/>
      <c r="AB21" s="15"/>
    </row>
    <row r="22" spans="1:28" s="46" customFormat="1" ht="19.899999999999999" customHeight="1" x14ac:dyDescent="0.15">
      <c r="A22" s="34">
        <v>18</v>
      </c>
      <c r="B22" s="111" t="s">
        <v>1952</v>
      </c>
      <c r="C22" s="29" t="s">
        <v>135</v>
      </c>
      <c r="D22" s="32" t="str">
        <f t="shared" ref="D22" si="15">IF(C22="J1","常规化学品",IF(C22="J2","危险化学品",IF(C22="J3","标准物质",IF(C22="J4","玻璃仪器",IF(C22="J5","实验气体",IF(C22="J6","专用物耗",IF(C22="J7","备品配件",IF(C22="J8","专用工具",IF(C22="Z1","劳保物资",IF(C22="Z2","办公耗材",IF(C22="Z3","食品饮料",IF(C22="Z4","特殊物耗",IF(C22="Z5","通用物耗",IF(C22="Z6","通用工具",""))))))))))))))</f>
        <v>备品配件</v>
      </c>
      <c r="E22" s="15"/>
      <c r="F22" s="109" t="s">
        <v>1953</v>
      </c>
      <c r="G22" s="109"/>
      <c r="H22" s="15"/>
      <c r="I22" s="15"/>
      <c r="J22" s="29" t="s">
        <v>1608</v>
      </c>
      <c r="K22" s="110">
        <v>1</v>
      </c>
      <c r="L22" s="110" t="s">
        <v>134</v>
      </c>
      <c r="M22" s="32" t="str">
        <f t="shared" ref="M22" si="16">IF(D22="危险化学品","五双",IF(D22="标准物资","严控",IF(D22&lt;&gt;"","常规","")))</f>
        <v>常规</v>
      </c>
      <c r="N22" s="15"/>
      <c r="O22" s="137" t="s">
        <v>2271</v>
      </c>
      <c r="P22" s="15"/>
      <c r="Q22" s="15"/>
      <c r="R22" s="15"/>
      <c r="S22" s="15"/>
      <c r="T22" s="110"/>
      <c r="U22" s="32" t="str">
        <f t="shared" ref="U22" si="17">IF(L22="","",L22)</f>
        <v>个</v>
      </c>
      <c r="V22" s="15"/>
      <c r="W22" s="15"/>
      <c r="X22" s="32">
        <f t="shared" ref="X22" si="18">IF((K22-T22)&lt;=0,"",K22-T22)</f>
        <v>1</v>
      </c>
      <c r="Y22" s="32" t="str">
        <f t="shared" ref="Y22" si="19">IF(L22="","",L22)</f>
        <v>个</v>
      </c>
      <c r="Z22" s="15"/>
      <c r="AA22" s="15"/>
      <c r="AB22" s="15"/>
    </row>
    <row r="23" spans="1:28" s="46" customFormat="1" ht="19.899999999999999" customHeight="1" x14ac:dyDescent="0.15">
      <c r="A23" s="34">
        <v>19</v>
      </c>
      <c r="B23" s="111" t="s">
        <v>1952</v>
      </c>
      <c r="C23" s="29" t="s">
        <v>135</v>
      </c>
      <c r="D23" s="32" t="str">
        <f t="shared" ref="D23:D25" si="20">IF(C23="J1","常规化学品",IF(C23="J2","危险化学品",IF(C23="J3","标准物质",IF(C23="J4","玻璃仪器",IF(C23="J5","实验气体",IF(C23="J6","专用物耗",IF(C23="J7","备品配件",IF(C23="J8","专用工具",IF(C23="Z1","劳保物资",IF(C23="Z2","办公耗材",IF(C23="Z3","食品饮料",IF(C23="Z4","特殊物耗",IF(C23="Z5","通用物耗",IF(C23="Z6","通用工具",""))))))))))))))</f>
        <v>备品配件</v>
      </c>
      <c r="E23" s="15"/>
      <c r="F23" s="109" t="s">
        <v>1951</v>
      </c>
      <c r="G23" s="109"/>
      <c r="H23" s="15"/>
      <c r="I23" s="15"/>
      <c r="J23" s="29" t="s">
        <v>1608</v>
      </c>
      <c r="K23" s="110">
        <v>2</v>
      </c>
      <c r="L23" s="110" t="s">
        <v>134</v>
      </c>
      <c r="M23" s="32" t="str">
        <f t="shared" ref="M23:M25" si="21">IF(D23="危险化学品","五双",IF(D23="标准物资","严控",IF(D23&lt;&gt;"","常规","")))</f>
        <v>常规</v>
      </c>
      <c r="N23" s="15"/>
      <c r="O23" s="137" t="s">
        <v>2271</v>
      </c>
      <c r="P23" s="15"/>
      <c r="Q23" s="15"/>
      <c r="R23" s="15"/>
      <c r="S23" s="15"/>
      <c r="T23" s="110"/>
      <c r="U23" s="32" t="str">
        <f t="shared" ref="U23:U25" si="22">IF(L23="","",L23)</f>
        <v>个</v>
      </c>
      <c r="V23" s="15"/>
      <c r="W23" s="15"/>
      <c r="X23" s="32">
        <f t="shared" ref="X23:X25" si="23">IF((K23-T23)&lt;=0,"",K23-T23)</f>
        <v>2</v>
      </c>
      <c r="Y23" s="32" t="str">
        <f t="shared" ref="Y23:Y25" si="24">IF(L23="","",L23)</f>
        <v>个</v>
      </c>
      <c r="Z23" s="15"/>
      <c r="AA23" s="15"/>
      <c r="AB23" s="15"/>
    </row>
    <row r="24" spans="1:28" s="46" customFormat="1" ht="19.899999999999999" customHeight="1" x14ac:dyDescent="0.15">
      <c r="A24" s="34">
        <v>20</v>
      </c>
      <c r="B24" s="112" t="s">
        <v>1954</v>
      </c>
      <c r="C24" s="29" t="s">
        <v>135</v>
      </c>
      <c r="D24" s="32" t="str">
        <f t="shared" si="20"/>
        <v>备品配件</v>
      </c>
      <c r="E24" s="15"/>
      <c r="F24" s="109" t="s">
        <v>1955</v>
      </c>
      <c r="G24" s="109"/>
      <c r="H24" s="15"/>
      <c r="I24" s="15"/>
      <c r="J24" s="29" t="s">
        <v>1608</v>
      </c>
      <c r="K24" s="110">
        <v>1</v>
      </c>
      <c r="L24" s="110" t="s">
        <v>134</v>
      </c>
      <c r="M24" s="32" t="str">
        <f t="shared" si="21"/>
        <v>常规</v>
      </c>
      <c r="N24" s="15"/>
      <c r="O24" s="137" t="s">
        <v>2271</v>
      </c>
      <c r="P24" s="15"/>
      <c r="Q24" s="15"/>
      <c r="R24" s="15"/>
      <c r="S24" s="15"/>
      <c r="T24" s="110"/>
      <c r="U24" s="32" t="str">
        <f t="shared" si="22"/>
        <v>个</v>
      </c>
      <c r="V24" s="15"/>
      <c r="W24" s="15"/>
      <c r="X24" s="32">
        <f t="shared" si="23"/>
        <v>1</v>
      </c>
      <c r="Y24" s="32" t="str">
        <f t="shared" si="24"/>
        <v>个</v>
      </c>
      <c r="Z24" s="15"/>
      <c r="AA24" s="15"/>
      <c r="AB24" s="15"/>
    </row>
    <row r="25" spans="1:28" s="46" customFormat="1" ht="19.899999999999999" customHeight="1" x14ac:dyDescent="0.15">
      <c r="A25" s="34">
        <v>21</v>
      </c>
      <c r="B25" s="111" t="s">
        <v>1956</v>
      </c>
      <c r="C25" s="29" t="s">
        <v>135</v>
      </c>
      <c r="D25" s="32" t="str">
        <f t="shared" si="20"/>
        <v>备品配件</v>
      </c>
      <c r="E25" s="15"/>
      <c r="F25" s="109" t="s">
        <v>1957</v>
      </c>
      <c r="G25" s="109"/>
      <c r="H25" s="15"/>
      <c r="I25" s="15"/>
      <c r="J25" s="29" t="s">
        <v>1608</v>
      </c>
      <c r="K25" s="110">
        <v>1</v>
      </c>
      <c r="L25" s="110" t="s">
        <v>134</v>
      </c>
      <c r="M25" s="32" t="str">
        <f t="shared" si="21"/>
        <v>常规</v>
      </c>
      <c r="N25" s="15"/>
      <c r="O25" s="137" t="s">
        <v>2271</v>
      </c>
      <c r="P25" s="15"/>
      <c r="Q25" s="15"/>
      <c r="R25" s="15"/>
      <c r="S25" s="15"/>
      <c r="T25" s="110"/>
      <c r="U25" s="32" t="str">
        <f t="shared" si="22"/>
        <v>个</v>
      </c>
      <c r="V25" s="15"/>
      <c r="W25" s="15"/>
      <c r="X25" s="32">
        <f t="shared" si="23"/>
        <v>1</v>
      </c>
      <c r="Y25" s="32" t="str">
        <f t="shared" si="24"/>
        <v>个</v>
      </c>
      <c r="Z25" s="15"/>
      <c r="AA25" s="15"/>
      <c r="AB25" s="15"/>
    </row>
    <row r="26" spans="1:28" s="46" customFormat="1" ht="19.899999999999999" customHeight="1" x14ac:dyDescent="0.15">
      <c r="A26" s="34">
        <v>22</v>
      </c>
      <c r="B26" s="112" t="s">
        <v>1669</v>
      </c>
      <c r="C26" s="29" t="s">
        <v>135</v>
      </c>
      <c r="D26" s="32" t="str">
        <f t="shared" ref="D26:D64" si="25">IF(C26="J1","常规化学品",IF(C26="J2","危险化学品",IF(C26="J3","标准物质",IF(C26="J4","玻璃仪器",IF(C26="J5","实验气体",IF(C26="J6","专用物耗",IF(C26="J7","备品配件",IF(C26="J8","专用工具",IF(C26="Z1","劳保物资",IF(C26="Z2","办公耗材",IF(C26="Z3","食品饮料",IF(C26="Z4","特殊物耗",IF(C26="Z5","通用物耗",IF(C26="Z6","通用工具",""))))))))))))))</f>
        <v>备品配件</v>
      </c>
      <c r="E26" s="15"/>
      <c r="F26" s="109"/>
      <c r="G26" s="109" t="s">
        <v>1900</v>
      </c>
      <c r="H26" s="15"/>
      <c r="I26" s="52"/>
      <c r="J26" s="29" t="s">
        <v>1608</v>
      </c>
      <c r="K26" s="110">
        <v>1</v>
      </c>
      <c r="L26" s="110" t="s">
        <v>1932</v>
      </c>
      <c r="M26" s="32" t="str">
        <f t="shared" si="6"/>
        <v>常规</v>
      </c>
      <c r="N26" s="15"/>
      <c r="O26" s="137" t="s">
        <v>2271</v>
      </c>
      <c r="P26" s="15"/>
      <c r="Q26" s="15"/>
      <c r="R26" s="15"/>
      <c r="S26" s="15"/>
      <c r="T26" s="110"/>
      <c r="U26" s="32" t="str">
        <f t="shared" si="7"/>
        <v>根</v>
      </c>
      <c r="V26" s="15"/>
      <c r="W26" s="15"/>
      <c r="X26" s="32">
        <f t="shared" si="8"/>
        <v>1</v>
      </c>
      <c r="Y26" s="32" t="str">
        <f t="shared" si="9"/>
        <v>根</v>
      </c>
      <c r="Z26" s="15"/>
      <c r="AA26" s="15"/>
      <c r="AB26" s="15"/>
    </row>
    <row r="27" spans="1:28" s="46" customFormat="1" ht="19.899999999999999" customHeight="1" x14ac:dyDescent="0.15">
      <c r="A27" s="34">
        <v>23</v>
      </c>
      <c r="B27" s="112" t="s">
        <v>1958</v>
      </c>
      <c r="C27" s="29" t="s">
        <v>135</v>
      </c>
      <c r="D27" s="32" t="str">
        <f t="shared" ref="D27" si="26">IF(C27="J1","常规化学品",IF(C27="J2","危险化学品",IF(C27="J3","标准物质",IF(C27="J4","玻璃仪器",IF(C27="J5","实验气体",IF(C27="J6","专用物耗",IF(C27="J7","备品配件",IF(C27="J8","专用工具",IF(C27="Z1","劳保物资",IF(C27="Z2","办公耗材",IF(C27="Z3","食品饮料",IF(C27="Z4","特殊物耗",IF(C27="Z5","通用物耗",IF(C27="Z6","通用工具",""))))))))))))))</f>
        <v>备品配件</v>
      </c>
      <c r="E27" s="15"/>
      <c r="F27" s="109"/>
      <c r="G27" s="98" t="s">
        <v>1959</v>
      </c>
      <c r="H27" s="15"/>
      <c r="I27" s="52"/>
      <c r="J27" s="29" t="s">
        <v>1608</v>
      </c>
      <c r="K27" s="110">
        <v>1</v>
      </c>
      <c r="L27" s="110" t="s">
        <v>1933</v>
      </c>
      <c r="M27" s="32" t="str">
        <f t="shared" ref="M27" si="27">IF(D27="危险化学品","五双",IF(D27="标准物资","严控",IF(D27&lt;&gt;"","常规","")))</f>
        <v>常规</v>
      </c>
      <c r="N27" s="15"/>
      <c r="O27" s="137" t="s">
        <v>2271</v>
      </c>
      <c r="P27" s="15"/>
      <c r="Q27" s="15"/>
      <c r="R27" s="15"/>
      <c r="S27" s="15"/>
      <c r="T27" s="110"/>
      <c r="U27" s="32" t="str">
        <f t="shared" ref="U27" si="28">IF(L27="","",L27)</f>
        <v>套</v>
      </c>
      <c r="V27" s="15"/>
      <c r="W27" s="15"/>
      <c r="X27" s="32">
        <f t="shared" ref="X27" si="29">IF((K27-T27)&lt;=0,"",K27-T27)</f>
        <v>1</v>
      </c>
      <c r="Y27" s="32" t="str">
        <f t="shared" ref="Y27" si="30">IF(L27="","",L27)</f>
        <v>套</v>
      </c>
      <c r="Z27" s="15"/>
      <c r="AA27" s="15"/>
      <c r="AB27" s="15"/>
    </row>
    <row r="28" spans="1:28" s="46" customFormat="1" ht="19.899999999999999" customHeight="1" x14ac:dyDescent="0.15">
      <c r="A28" s="34">
        <v>24</v>
      </c>
      <c r="B28" s="98" t="s">
        <v>1961</v>
      </c>
      <c r="C28" s="29" t="s">
        <v>135</v>
      </c>
      <c r="D28" s="32" t="str">
        <f t="shared" si="25"/>
        <v>备品配件</v>
      </c>
      <c r="E28" s="15"/>
      <c r="F28" s="109"/>
      <c r="G28" s="109"/>
      <c r="H28" s="15"/>
      <c r="I28" s="15"/>
      <c r="J28" s="29" t="s">
        <v>1608</v>
      </c>
      <c r="K28" s="113">
        <v>1</v>
      </c>
      <c r="L28" s="110" t="s">
        <v>1932</v>
      </c>
      <c r="M28" s="32" t="str">
        <f t="shared" si="6"/>
        <v>常规</v>
      </c>
      <c r="N28" s="15"/>
      <c r="O28" s="137" t="s">
        <v>2271</v>
      </c>
      <c r="P28" s="15"/>
      <c r="Q28" s="15"/>
      <c r="R28" s="15"/>
      <c r="S28" s="15"/>
      <c r="T28" s="110"/>
      <c r="U28" s="32" t="str">
        <f t="shared" si="7"/>
        <v>根</v>
      </c>
      <c r="V28" s="15"/>
      <c r="W28" s="15"/>
      <c r="X28" s="32">
        <f t="shared" si="8"/>
        <v>1</v>
      </c>
      <c r="Y28" s="32" t="str">
        <f t="shared" si="9"/>
        <v>根</v>
      </c>
      <c r="Z28" s="15"/>
      <c r="AA28" s="15"/>
      <c r="AB28" s="15"/>
    </row>
    <row r="29" spans="1:28" s="46" customFormat="1" ht="19.899999999999999" customHeight="1" x14ac:dyDescent="0.15">
      <c r="A29" s="34">
        <v>25</v>
      </c>
      <c r="B29" s="98" t="s">
        <v>1962</v>
      </c>
      <c r="C29" s="29" t="s">
        <v>135</v>
      </c>
      <c r="D29" s="32" t="str">
        <f t="shared" si="25"/>
        <v>备品配件</v>
      </c>
      <c r="E29" s="15"/>
      <c r="F29" s="109"/>
      <c r="G29" s="109"/>
      <c r="H29" s="15"/>
      <c r="I29" s="15"/>
      <c r="J29" s="29" t="s">
        <v>1608</v>
      </c>
      <c r="K29" s="113">
        <v>1</v>
      </c>
      <c r="L29" s="110" t="s">
        <v>134</v>
      </c>
      <c r="M29" s="32" t="str">
        <f t="shared" si="6"/>
        <v>常规</v>
      </c>
      <c r="N29" s="15"/>
      <c r="O29" s="137" t="s">
        <v>2271</v>
      </c>
      <c r="P29" s="15"/>
      <c r="Q29" s="15"/>
      <c r="R29" s="15"/>
      <c r="S29" s="15"/>
      <c r="T29" s="110"/>
      <c r="U29" s="32" t="str">
        <f t="shared" si="7"/>
        <v>个</v>
      </c>
      <c r="V29" s="15"/>
      <c r="W29" s="15"/>
      <c r="X29" s="32">
        <f t="shared" si="8"/>
        <v>1</v>
      </c>
      <c r="Y29" s="32" t="str">
        <f t="shared" si="9"/>
        <v>个</v>
      </c>
      <c r="Z29" s="15"/>
      <c r="AA29" s="15"/>
      <c r="AB29" s="15"/>
    </row>
    <row r="30" spans="1:28" s="46" customFormat="1" ht="19.899999999999999" customHeight="1" x14ac:dyDescent="0.15">
      <c r="A30" s="34">
        <v>26</v>
      </c>
      <c r="B30" s="98" t="s">
        <v>1963</v>
      </c>
      <c r="C30" s="29" t="s">
        <v>135</v>
      </c>
      <c r="D30" s="32" t="str">
        <f t="shared" si="25"/>
        <v>备品配件</v>
      </c>
      <c r="E30" s="15"/>
      <c r="F30" s="109"/>
      <c r="G30" s="109"/>
      <c r="H30" s="15"/>
      <c r="I30" s="15"/>
      <c r="J30" s="29" t="s">
        <v>1608</v>
      </c>
      <c r="K30" s="113">
        <v>1</v>
      </c>
      <c r="L30" s="110" t="s">
        <v>1933</v>
      </c>
      <c r="M30" s="32" t="str">
        <f t="shared" si="6"/>
        <v>常规</v>
      </c>
      <c r="N30" s="15"/>
      <c r="O30" s="137" t="s">
        <v>2271</v>
      </c>
      <c r="P30" s="15"/>
      <c r="Q30" s="15"/>
      <c r="R30" s="15"/>
      <c r="S30" s="15"/>
      <c r="T30" s="110"/>
      <c r="U30" s="32" t="str">
        <f t="shared" si="7"/>
        <v>套</v>
      </c>
      <c r="V30" s="15"/>
      <c r="W30" s="15"/>
      <c r="X30" s="32">
        <f t="shared" si="8"/>
        <v>1</v>
      </c>
      <c r="Y30" s="32" t="str">
        <f t="shared" si="9"/>
        <v>套</v>
      </c>
      <c r="Z30" s="15"/>
      <c r="AA30" s="15"/>
      <c r="AB30" s="15"/>
    </row>
    <row r="31" spans="1:28" s="46" customFormat="1" ht="19.899999999999999" customHeight="1" x14ac:dyDescent="0.15">
      <c r="A31" s="34">
        <v>27</v>
      </c>
      <c r="B31" s="98" t="s">
        <v>1964</v>
      </c>
      <c r="C31" s="29" t="s">
        <v>135</v>
      </c>
      <c r="D31" s="32" t="str">
        <f t="shared" ref="D31" si="31">IF(C31="J1","常规化学品",IF(C31="J2","危险化学品",IF(C31="J3","标准物质",IF(C31="J4","玻璃仪器",IF(C31="J5","实验气体",IF(C31="J6","专用物耗",IF(C31="J7","备品配件",IF(C31="J8","专用工具",IF(C31="Z1","劳保物资",IF(C31="Z2","办公耗材",IF(C31="Z3","食品饮料",IF(C31="Z4","特殊物耗",IF(C31="Z5","通用物耗",IF(C31="Z6","通用工具",""))))))))))))))</f>
        <v>备品配件</v>
      </c>
      <c r="E31" s="15"/>
      <c r="F31" s="109"/>
      <c r="G31" s="109"/>
      <c r="H31" s="15"/>
      <c r="I31" s="15"/>
      <c r="J31" s="29" t="s">
        <v>1608</v>
      </c>
      <c r="K31" s="113">
        <v>4</v>
      </c>
      <c r="L31" s="110" t="s">
        <v>1933</v>
      </c>
      <c r="M31" s="32" t="str">
        <f t="shared" ref="M31" si="32">IF(D31="危险化学品","五双",IF(D31="标准物资","严控",IF(D31&lt;&gt;"","常规","")))</f>
        <v>常规</v>
      </c>
      <c r="N31" s="15"/>
      <c r="O31" s="137" t="s">
        <v>2271</v>
      </c>
      <c r="P31" s="15"/>
      <c r="Q31" s="15"/>
      <c r="R31" s="15"/>
      <c r="S31" s="15"/>
      <c r="T31" s="110"/>
      <c r="U31" s="32" t="str">
        <f t="shared" ref="U31" si="33">IF(L31="","",L31)</f>
        <v>套</v>
      </c>
      <c r="V31" s="15"/>
      <c r="W31" s="15"/>
      <c r="X31" s="32">
        <f t="shared" ref="X31" si="34">IF((K31-T31)&lt;=0,"",K31-T31)</f>
        <v>4</v>
      </c>
      <c r="Y31" s="32" t="str">
        <f t="shared" ref="Y31" si="35">IF(L31="","",L31)</f>
        <v>套</v>
      </c>
      <c r="Z31" s="15"/>
      <c r="AA31" s="15"/>
      <c r="AB31" s="15"/>
    </row>
    <row r="32" spans="1:28" s="46" customFormat="1" ht="19.899999999999999" customHeight="1" x14ac:dyDescent="0.15">
      <c r="A32" s="34">
        <v>28</v>
      </c>
      <c r="B32" s="98" t="s">
        <v>1965</v>
      </c>
      <c r="C32" s="29" t="s">
        <v>135</v>
      </c>
      <c r="D32" s="32" t="str">
        <f t="shared" ref="D32" si="36">IF(C32="J1","常规化学品",IF(C32="J2","危险化学品",IF(C32="J3","标准物质",IF(C32="J4","玻璃仪器",IF(C32="J5","实验气体",IF(C32="J6","专用物耗",IF(C32="J7","备品配件",IF(C32="J8","专用工具",IF(C32="Z1","劳保物资",IF(C32="Z2","办公耗材",IF(C32="Z3","食品饮料",IF(C32="Z4","特殊物耗",IF(C32="Z5","通用物耗",IF(C32="Z6","通用工具",""))))))))))))))</f>
        <v>备品配件</v>
      </c>
      <c r="E32" s="15"/>
      <c r="F32" s="109" t="s">
        <v>3101</v>
      </c>
      <c r="G32" s="109"/>
      <c r="H32" s="15"/>
      <c r="I32" s="15"/>
      <c r="J32" s="29" t="s">
        <v>1608</v>
      </c>
      <c r="K32" s="113">
        <v>2</v>
      </c>
      <c r="L32" s="110" t="s">
        <v>134</v>
      </c>
      <c r="M32" s="32" t="str">
        <f t="shared" ref="M32" si="37">IF(D32="危险化学品","五双",IF(D32="标准物资","严控",IF(D32&lt;&gt;"","常规","")))</f>
        <v>常规</v>
      </c>
      <c r="N32" s="15"/>
      <c r="O32" s="137" t="s">
        <v>2271</v>
      </c>
      <c r="P32" s="15"/>
      <c r="Q32" s="15"/>
      <c r="R32" s="15"/>
      <c r="S32" s="15"/>
      <c r="T32" s="110"/>
      <c r="U32" s="32" t="str">
        <f t="shared" ref="U32" si="38">IF(L32="","",L32)</f>
        <v>个</v>
      </c>
      <c r="V32" s="15"/>
      <c r="W32" s="15"/>
      <c r="X32" s="32">
        <f t="shared" ref="X32" si="39">IF((K32-T32)&lt;=0,"",K32-T32)</f>
        <v>2</v>
      </c>
      <c r="Y32" s="32" t="str">
        <f t="shared" ref="Y32" si="40">IF(L32="","",L32)</f>
        <v>个</v>
      </c>
      <c r="Z32" s="15"/>
      <c r="AA32" s="15"/>
      <c r="AB32" s="15"/>
    </row>
    <row r="33" spans="1:28" s="46" customFormat="1" ht="19.899999999999999" customHeight="1" x14ac:dyDescent="0.15">
      <c r="A33" s="34">
        <v>29</v>
      </c>
      <c r="B33" s="98" t="s">
        <v>1966</v>
      </c>
      <c r="C33" s="29" t="s">
        <v>135</v>
      </c>
      <c r="D33" s="32" t="str">
        <f t="shared" ref="D33" si="41">IF(C33="J1","常规化学品",IF(C33="J2","危险化学品",IF(C33="J3","标准物质",IF(C33="J4","玻璃仪器",IF(C33="J5","实验气体",IF(C33="J6","专用物耗",IF(C33="J7","备品配件",IF(C33="J8","专用工具",IF(C33="Z1","劳保物资",IF(C33="Z2","办公耗材",IF(C33="Z3","食品饮料",IF(C33="Z4","特殊物耗",IF(C33="Z5","通用物耗",IF(C33="Z6","通用工具",""))))))))))))))</f>
        <v>备品配件</v>
      </c>
      <c r="E33" s="15"/>
      <c r="F33" s="109" t="s">
        <v>1967</v>
      </c>
      <c r="G33" s="109"/>
      <c r="H33" s="15"/>
      <c r="I33" s="15"/>
      <c r="J33" s="29" t="s">
        <v>1608</v>
      </c>
      <c r="K33" s="113">
        <v>10</v>
      </c>
      <c r="L33" s="110" t="s">
        <v>134</v>
      </c>
      <c r="M33" s="32" t="str">
        <f t="shared" ref="M33" si="42">IF(D33="危险化学品","五双",IF(D33="标准物资","严控",IF(D33&lt;&gt;"","常规","")))</f>
        <v>常规</v>
      </c>
      <c r="N33" s="15"/>
      <c r="O33" s="137" t="s">
        <v>2271</v>
      </c>
      <c r="P33" s="15"/>
      <c r="Q33" s="15"/>
      <c r="R33" s="15"/>
      <c r="S33" s="15"/>
      <c r="T33" s="110"/>
      <c r="U33" s="32" t="str">
        <f t="shared" ref="U33" si="43">IF(L33="","",L33)</f>
        <v>个</v>
      </c>
      <c r="V33" s="15"/>
      <c r="W33" s="15"/>
      <c r="X33" s="32">
        <f t="shared" ref="X33" si="44">IF((K33-T33)&lt;=0,"",K33-T33)</f>
        <v>10</v>
      </c>
      <c r="Y33" s="32" t="str">
        <f t="shared" ref="Y33" si="45">IF(L33="","",L33)</f>
        <v>个</v>
      </c>
      <c r="Z33" s="15"/>
      <c r="AA33" s="15"/>
      <c r="AB33" s="15"/>
    </row>
    <row r="34" spans="1:28" s="46" customFormat="1" ht="19.899999999999999" customHeight="1" x14ac:dyDescent="0.15">
      <c r="A34" s="34">
        <v>30</v>
      </c>
      <c r="B34" s="98" t="s">
        <v>1968</v>
      </c>
      <c r="C34" s="29" t="s">
        <v>135</v>
      </c>
      <c r="D34" s="32" t="str">
        <f t="shared" ref="D34" si="46">IF(C34="J1","常规化学品",IF(C34="J2","危险化学品",IF(C34="J3","标准物质",IF(C34="J4","玻璃仪器",IF(C34="J5","实验气体",IF(C34="J6","专用物耗",IF(C34="J7","备品配件",IF(C34="J8","专用工具",IF(C34="Z1","劳保物资",IF(C34="Z2","办公耗材",IF(C34="Z3","食品饮料",IF(C34="Z4","特殊物耗",IF(C34="Z5","通用物耗",IF(C34="Z6","通用工具",""))))))))))))))</f>
        <v>备品配件</v>
      </c>
      <c r="E34" s="15"/>
      <c r="F34" s="109"/>
      <c r="G34" s="109"/>
      <c r="H34" s="15"/>
      <c r="I34" s="15"/>
      <c r="J34" s="29" t="s">
        <v>1608</v>
      </c>
      <c r="K34" s="113">
        <v>10</v>
      </c>
      <c r="L34" s="110" t="s">
        <v>134</v>
      </c>
      <c r="M34" s="32" t="str">
        <f t="shared" ref="M34" si="47">IF(D34="危险化学品","五双",IF(D34="标准物资","严控",IF(D34&lt;&gt;"","常规","")))</f>
        <v>常规</v>
      </c>
      <c r="N34" s="15"/>
      <c r="O34" s="137" t="s">
        <v>2271</v>
      </c>
      <c r="P34" s="15"/>
      <c r="Q34" s="15"/>
      <c r="R34" s="15"/>
      <c r="S34" s="15"/>
      <c r="T34" s="110"/>
      <c r="U34" s="32" t="str">
        <f t="shared" ref="U34" si="48">IF(L34="","",L34)</f>
        <v>个</v>
      </c>
      <c r="V34" s="15"/>
      <c r="W34" s="15"/>
      <c r="X34" s="32">
        <f t="shared" ref="X34" si="49">IF((K34-T34)&lt;=0,"",K34-T34)</f>
        <v>10</v>
      </c>
      <c r="Y34" s="32" t="str">
        <f t="shared" ref="Y34" si="50">IF(L34="","",L34)</f>
        <v>个</v>
      </c>
      <c r="Z34" s="15"/>
      <c r="AA34" s="15"/>
      <c r="AB34" s="15"/>
    </row>
    <row r="35" spans="1:28" s="46" customFormat="1" ht="19.899999999999999" customHeight="1" x14ac:dyDescent="0.15">
      <c r="A35" s="34">
        <v>31</v>
      </c>
      <c r="B35" s="98" t="s">
        <v>1969</v>
      </c>
      <c r="C35" s="29" t="s">
        <v>135</v>
      </c>
      <c r="D35" s="32" t="str">
        <f t="shared" ref="D35" si="51">IF(C35="J1","常规化学品",IF(C35="J2","危险化学品",IF(C35="J3","标准物质",IF(C35="J4","玻璃仪器",IF(C35="J5","实验气体",IF(C35="J6","专用物耗",IF(C35="J7","备品配件",IF(C35="J8","专用工具",IF(C35="Z1","劳保物资",IF(C35="Z2","办公耗材",IF(C35="Z3","食品饮料",IF(C35="Z4","特殊物耗",IF(C35="Z5","通用物耗",IF(C35="Z6","通用工具",""))))))))))))))</f>
        <v>备品配件</v>
      </c>
      <c r="E35" s="15"/>
      <c r="F35" s="109">
        <v>6040.2303000000002</v>
      </c>
      <c r="G35" s="109"/>
      <c r="H35" s="15"/>
      <c r="I35" s="15"/>
      <c r="J35" s="29" t="s">
        <v>1608</v>
      </c>
      <c r="K35" s="113">
        <v>1</v>
      </c>
      <c r="L35" s="110" t="s">
        <v>134</v>
      </c>
      <c r="M35" s="32" t="str">
        <f t="shared" ref="M35" si="52">IF(D35="危险化学品","五双",IF(D35="标准物资","严控",IF(D35&lt;&gt;"","常规","")))</f>
        <v>常规</v>
      </c>
      <c r="N35" s="15"/>
      <c r="O35" s="137" t="s">
        <v>2271</v>
      </c>
      <c r="P35" s="15"/>
      <c r="Q35" s="15"/>
      <c r="R35" s="15"/>
      <c r="S35" s="15"/>
      <c r="T35" s="110"/>
      <c r="U35" s="32" t="str">
        <f t="shared" ref="U35" si="53">IF(L35="","",L35)</f>
        <v>个</v>
      </c>
      <c r="V35" s="15"/>
      <c r="W35" s="15"/>
      <c r="X35" s="32">
        <f t="shared" ref="X35" si="54">IF((K35-T35)&lt;=0,"",K35-T35)</f>
        <v>1</v>
      </c>
      <c r="Y35" s="32" t="str">
        <f t="shared" ref="Y35" si="55">IF(L35="","",L35)</f>
        <v>个</v>
      </c>
      <c r="Z35" s="15"/>
      <c r="AA35" s="15"/>
      <c r="AB35" s="15"/>
    </row>
    <row r="36" spans="1:28" s="46" customFormat="1" ht="19.899999999999999" customHeight="1" x14ac:dyDescent="0.15">
      <c r="A36" s="34">
        <v>32</v>
      </c>
      <c r="B36" s="98" t="s">
        <v>1971</v>
      </c>
      <c r="C36" s="29" t="s">
        <v>135</v>
      </c>
      <c r="D36" s="32" t="str">
        <f t="shared" ref="D36" si="56">IF(C36="J1","常规化学品",IF(C36="J2","危险化学品",IF(C36="J3","标准物质",IF(C36="J4","玻璃仪器",IF(C36="J5","实验气体",IF(C36="J6","专用物耗",IF(C36="J7","备品配件",IF(C36="J8","专用工具",IF(C36="Z1","劳保物资",IF(C36="Z2","办公耗材",IF(C36="Z3","食品饮料",IF(C36="Z4","特殊物耗",IF(C36="Z5","通用物耗",IF(C36="Z6","通用工具",""))))))))))))))</f>
        <v>备品配件</v>
      </c>
      <c r="E36" s="15"/>
      <c r="F36" s="109">
        <v>6000.0042000000003</v>
      </c>
      <c r="G36" s="109"/>
      <c r="H36" s="15"/>
      <c r="I36" s="15"/>
      <c r="J36" s="29" t="s">
        <v>1608</v>
      </c>
      <c r="K36" s="113">
        <v>1</v>
      </c>
      <c r="L36" s="110" t="s">
        <v>134</v>
      </c>
      <c r="M36" s="32" t="str">
        <f t="shared" ref="M36" si="57">IF(D36="危险化学品","五双",IF(D36="标准物资","严控",IF(D36&lt;&gt;"","常规","")))</f>
        <v>常规</v>
      </c>
      <c r="N36" s="15"/>
      <c r="O36" s="137" t="s">
        <v>2271</v>
      </c>
      <c r="P36" s="15"/>
      <c r="Q36" s="15"/>
      <c r="R36" s="15"/>
      <c r="S36" s="15"/>
      <c r="T36" s="110"/>
      <c r="U36" s="32" t="str">
        <f t="shared" ref="U36" si="58">IF(L36="","",L36)</f>
        <v>个</v>
      </c>
      <c r="V36" s="15"/>
      <c r="W36" s="15"/>
      <c r="X36" s="32">
        <f t="shared" ref="X36" si="59">IF((K36-T36)&lt;=0,"",K36-T36)</f>
        <v>1</v>
      </c>
      <c r="Y36" s="32" t="str">
        <f t="shared" ref="Y36" si="60">IF(L36="","",L36)</f>
        <v>个</v>
      </c>
      <c r="Z36" s="15"/>
      <c r="AA36" s="15"/>
      <c r="AB36" s="15"/>
    </row>
    <row r="37" spans="1:28" s="46" customFormat="1" ht="19.899999999999999" customHeight="1" x14ac:dyDescent="0.15">
      <c r="A37" s="34">
        <v>33</v>
      </c>
      <c r="B37" s="98">
        <v>2146.2624999999998</v>
      </c>
      <c r="C37" s="29" t="s">
        <v>135</v>
      </c>
      <c r="D37" s="32" t="str">
        <f t="shared" ref="D37" si="61">IF(C37="J1","常规化学品",IF(C37="J2","危险化学品",IF(C37="J3","标准物质",IF(C37="J4","玻璃仪器",IF(C37="J5","实验气体",IF(C37="J6","专用物耗",IF(C37="J7","备品配件",IF(C37="J8","专用工具",IF(C37="Z1","劳保物资",IF(C37="Z2","办公耗材",IF(C37="Z3","食品饮料",IF(C37="Z4","特殊物耗",IF(C37="Z5","通用物耗",IF(C37="Z6","通用工具",""))))))))))))))</f>
        <v>备品配件</v>
      </c>
      <c r="E37" s="15"/>
      <c r="F37" s="109" t="s">
        <v>1972</v>
      </c>
      <c r="G37" s="98" t="s">
        <v>3102</v>
      </c>
      <c r="H37" s="15"/>
      <c r="I37" s="15"/>
      <c r="J37" s="29" t="s">
        <v>1608</v>
      </c>
      <c r="K37" s="113">
        <v>1</v>
      </c>
      <c r="L37" s="110" t="s">
        <v>134</v>
      </c>
      <c r="M37" s="32" t="str">
        <f t="shared" ref="M37" si="62">IF(D37="危险化学品","五双",IF(D37="标准物资","严控",IF(D37&lt;&gt;"","常规","")))</f>
        <v>常规</v>
      </c>
      <c r="N37" s="15"/>
      <c r="O37" s="137" t="s">
        <v>2271</v>
      </c>
      <c r="P37" s="15"/>
      <c r="Q37" s="15"/>
      <c r="R37" s="15"/>
      <c r="S37" s="15"/>
      <c r="T37" s="110"/>
      <c r="U37" s="32" t="str">
        <f t="shared" ref="U37" si="63">IF(L37="","",L37)</f>
        <v>个</v>
      </c>
      <c r="V37" s="15"/>
      <c r="W37" s="15"/>
      <c r="X37" s="32">
        <f t="shared" ref="X37" si="64">IF((K37-T37)&lt;=0,"",K37-T37)</f>
        <v>1</v>
      </c>
      <c r="Y37" s="32" t="str">
        <f t="shared" ref="Y37" si="65">IF(L37="","",L37)</f>
        <v>个</v>
      </c>
      <c r="Z37" s="15"/>
      <c r="AA37" s="15"/>
      <c r="AB37" s="15"/>
    </row>
    <row r="38" spans="1:28" s="46" customFormat="1" ht="19.899999999999999" customHeight="1" x14ac:dyDescent="0.15">
      <c r="A38" s="34">
        <v>34</v>
      </c>
      <c r="B38" s="98" t="s">
        <v>1973</v>
      </c>
      <c r="C38" s="29" t="s">
        <v>135</v>
      </c>
      <c r="D38" s="32" t="str">
        <f t="shared" ref="D38" si="66">IF(C38="J1","常规化学品",IF(C38="J2","危险化学品",IF(C38="J3","标准物质",IF(C38="J4","玻璃仪器",IF(C38="J5","实验气体",IF(C38="J6","专用物耗",IF(C38="J7","备品配件",IF(C38="J8","专用工具",IF(C38="Z1","劳保物资",IF(C38="Z2","办公耗材",IF(C38="Z3","食品饮料",IF(C38="Z4","特殊物耗",IF(C38="Z5","通用物耗",IF(C38="Z6","通用工具",""))))))))))))))</f>
        <v>备品配件</v>
      </c>
      <c r="E38" s="15"/>
      <c r="F38" s="114" t="s">
        <v>1974</v>
      </c>
      <c r="G38" s="109"/>
      <c r="H38" s="15"/>
      <c r="I38" s="15"/>
      <c r="J38" s="29" t="s">
        <v>1608</v>
      </c>
      <c r="K38" s="113">
        <v>3</v>
      </c>
      <c r="L38" s="110" t="s">
        <v>134</v>
      </c>
      <c r="M38" s="32" t="str">
        <f t="shared" ref="M38" si="67">IF(D38="危险化学品","五双",IF(D38="标准物资","严控",IF(D38&lt;&gt;"","常规","")))</f>
        <v>常规</v>
      </c>
      <c r="N38" s="15"/>
      <c r="O38" s="137" t="s">
        <v>2271</v>
      </c>
      <c r="P38" s="15"/>
      <c r="Q38" s="15"/>
      <c r="R38" s="15"/>
      <c r="S38" s="15"/>
      <c r="T38" s="110"/>
      <c r="U38" s="32" t="str">
        <f t="shared" ref="U38" si="68">IF(L38="","",L38)</f>
        <v>个</v>
      </c>
      <c r="V38" s="15"/>
      <c r="W38" s="15"/>
      <c r="X38" s="32">
        <f t="shared" ref="X38" si="69">IF((K38-T38)&lt;=0,"",K38-T38)</f>
        <v>3</v>
      </c>
      <c r="Y38" s="32" t="str">
        <f t="shared" ref="Y38" si="70">IF(L38="","",L38)</f>
        <v>个</v>
      </c>
      <c r="Z38" s="15"/>
      <c r="AA38" s="15"/>
      <c r="AB38" s="15"/>
    </row>
    <row r="39" spans="1:28" s="46" customFormat="1" ht="19.899999999999999" customHeight="1" x14ac:dyDescent="0.15">
      <c r="A39" s="34">
        <v>35</v>
      </c>
      <c r="B39" s="98" t="s">
        <v>1973</v>
      </c>
      <c r="C39" s="29" t="s">
        <v>135</v>
      </c>
      <c r="D39" s="32" t="str">
        <f t="shared" ref="D39:D41" si="71">IF(C39="J1","常规化学品",IF(C39="J2","危险化学品",IF(C39="J3","标准物质",IF(C39="J4","玻璃仪器",IF(C39="J5","实验气体",IF(C39="J6","专用物耗",IF(C39="J7","备品配件",IF(C39="J8","专用工具",IF(C39="Z1","劳保物资",IF(C39="Z2","办公耗材",IF(C39="Z3","食品饮料",IF(C39="Z4","特殊物耗",IF(C39="Z5","通用物耗",IF(C39="Z6","通用工具",""))))))))))))))</f>
        <v>备品配件</v>
      </c>
      <c r="E39" s="15"/>
      <c r="F39" s="109">
        <v>1270.0101</v>
      </c>
      <c r="G39" s="109"/>
      <c r="H39" s="15"/>
      <c r="I39" s="15"/>
      <c r="J39" s="29" t="s">
        <v>1608</v>
      </c>
      <c r="K39" s="113">
        <v>5</v>
      </c>
      <c r="L39" s="110" t="s">
        <v>134</v>
      </c>
      <c r="M39" s="32" t="str">
        <f t="shared" ref="M39:M41" si="72">IF(D39="危险化学品","五双",IF(D39="标准物资","严控",IF(D39&lt;&gt;"","常规","")))</f>
        <v>常规</v>
      </c>
      <c r="N39" s="15"/>
      <c r="O39" s="137" t="s">
        <v>2271</v>
      </c>
      <c r="P39" s="15"/>
      <c r="Q39" s="15"/>
      <c r="R39" s="15"/>
      <c r="S39" s="15"/>
      <c r="T39" s="110"/>
      <c r="U39" s="32" t="str">
        <f t="shared" ref="U39:U41" si="73">IF(L39="","",L39)</f>
        <v>个</v>
      </c>
      <c r="V39" s="15"/>
      <c r="W39" s="15"/>
      <c r="X39" s="32">
        <f t="shared" ref="X39:X41" si="74">IF((K39-T39)&lt;=0,"",K39-T39)</f>
        <v>5</v>
      </c>
      <c r="Y39" s="32" t="str">
        <f t="shared" ref="Y39:Y41" si="75">IF(L39="","",L39)</f>
        <v>个</v>
      </c>
      <c r="Z39" s="15"/>
      <c r="AA39" s="15"/>
      <c r="AB39" s="15"/>
    </row>
    <row r="40" spans="1:28" s="46" customFormat="1" ht="19.899999999999999" customHeight="1" x14ac:dyDescent="0.15">
      <c r="A40" s="34">
        <v>36</v>
      </c>
      <c r="B40" s="98" t="s">
        <v>1973</v>
      </c>
      <c r="C40" s="29" t="s">
        <v>135</v>
      </c>
      <c r="D40" s="32" t="str">
        <f t="shared" si="71"/>
        <v>备品配件</v>
      </c>
      <c r="E40" s="15"/>
      <c r="F40" s="109">
        <v>1270.0101999999999</v>
      </c>
      <c r="G40" s="109"/>
      <c r="H40" s="15"/>
      <c r="I40" s="15"/>
      <c r="J40" s="29" t="s">
        <v>1608</v>
      </c>
      <c r="K40" s="113">
        <v>2</v>
      </c>
      <c r="L40" s="110" t="s">
        <v>134</v>
      </c>
      <c r="M40" s="32" t="str">
        <f t="shared" si="72"/>
        <v>常规</v>
      </c>
      <c r="N40" s="15"/>
      <c r="O40" s="137" t="s">
        <v>2271</v>
      </c>
      <c r="P40" s="15"/>
      <c r="Q40" s="15"/>
      <c r="R40" s="15"/>
      <c r="S40" s="15"/>
      <c r="T40" s="110"/>
      <c r="U40" s="32" t="str">
        <f t="shared" si="73"/>
        <v>个</v>
      </c>
      <c r="V40" s="15"/>
      <c r="W40" s="15"/>
      <c r="X40" s="32">
        <f t="shared" si="74"/>
        <v>2</v>
      </c>
      <c r="Y40" s="32" t="str">
        <f t="shared" si="75"/>
        <v>个</v>
      </c>
      <c r="Z40" s="15"/>
      <c r="AA40" s="15"/>
      <c r="AB40" s="15"/>
    </row>
    <row r="41" spans="1:28" s="46" customFormat="1" ht="19.899999999999999" customHeight="1" x14ac:dyDescent="0.15">
      <c r="A41" s="34">
        <v>37</v>
      </c>
      <c r="B41" s="98" t="s">
        <v>1973</v>
      </c>
      <c r="C41" s="29" t="s">
        <v>135</v>
      </c>
      <c r="D41" s="32" t="str">
        <f t="shared" si="71"/>
        <v>备品配件</v>
      </c>
      <c r="E41" s="15"/>
      <c r="F41" s="109">
        <v>1270.0102999999999</v>
      </c>
      <c r="G41" s="109"/>
      <c r="H41" s="15"/>
      <c r="I41" s="15"/>
      <c r="J41" s="29" t="s">
        <v>1608</v>
      </c>
      <c r="K41" s="113">
        <v>2</v>
      </c>
      <c r="L41" s="110" t="s">
        <v>134</v>
      </c>
      <c r="M41" s="32" t="str">
        <f t="shared" si="72"/>
        <v>常规</v>
      </c>
      <c r="N41" s="15"/>
      <c r="O41" s="137" t="s">
        <v>2271</v>
      </c>
      <c r="P41" s="15"/>
      <c r="Q41" s="15"/>
      <c r="R41" s="15"/>
      <c r="S41" s="15"/>
      <c r="T41" s="110"/>
      <c r="U41" s="32" t="str">
        <f t="shared" si="73"/>
        <v>个</v>
      </c>
      <c r="V41" s="15"/>
      <c r="W41" s="15"/>
      <c r="X41" s="32">
        <f t="shared" si="74"/>
        <v>2</v>
      </c>
      <c r="Y41" s="32" t="str">
        <f t="shared" si="75"/>
        <v>个</v>
      </c>
      <c r="Z41" s="15"/>
      <c r="AA41" s="15"/>
      <c r="AB41" s="15"/>
    </row>
    <row r="42" spans="1:28" s="46" customFormat="1" ht="19.899999999999999" customHeight="1" x14ac:dyDescent="0.15">
      <c r="A42" s="34">
        <v>38</v>
      </c>
      <c r="B42" s="98" t="s">
        <v>1975</v>
      </c>
      <c r="C42" s="29" t="s">
        <v>135</v>
      </c>
      <c r="D42" s="32" t="str">
        <f t="shared" ref="D42:D45" si="76">IF(C42="J1","常规化学品",IF(C42="J2","危险化学品",IF(C42="J3","标准物质",IF(C42="J4","玻璃仪器",IF(C42="J5","实验气体",IF(C42="J6","专用物耗",IF(C42="J7","备品配件",IF(C42="J8","专用工具",IF(C42="Z1","劳保物资",IF(C42="Z2","办公耗材",IF(C42="Z3","食品饮料",IF(C42="Z4","特殊物耗",IF(C42="Z5","通用物耗",IF(C42="Z6","通用工具",""))))))))))))))</f>
        <v>备品配件</v>
      </c>
      <c r="E42" s="15"/>
      <c r="F42" s="109">
        <v>2263.3002000000001</v>
      </c>
      <c r="G42" s="109"/>
      <c r="H42" s="15"/>
      <c r="I42" s="15"/>
      <c r="J42" s="29" t="s">
        <v>1608</v>
      </c>
      <c r="K42" s="113">
        <v>5</v>
      </c>
      <c r="L42" s="110" t="s">
        <v>134</v>
      </c>
      <c r="M42" s="32" t="str">
        <f t="shared" ref="M42:M45" si="77">IF(D42="危险化学品","五双",IF(D42="标准物资","严控",IF(D42&lt;&gt;"","常规","")))</f>
        <v>常规</v>
      </c>
      <c r="N42" s="15"/>
      <c r="O42" s="137" t="s">
        <v>2271</v>
      </c>
      <c r="P42" s="15"/>
      <c r="Q42" s="15"/>
      <c r="R42" s="15"/>
      <c r="S42" s="15"/>
      <c r="T42" s="110"/>
      <c r="U42" s="32" t="str">
        <f t="shared" ref="U42:U45" si="78">IF(L42="","",L42)</f>
        <v>个</v>
      </c>
      <c r="V42" s="15"/>
      <c r="W42" s="15"/>
      <c r="X42" s="32">
        <f t="shared" ref="X42:X45" si="79">IF((K42-T42)&lt;=0,"",K42-T42)</f>
        <v>5</v>
      </c>
      <c r="Y42" s="32" t="str">
        <f t="shared" ref="Y42:Y45" si="80">IF(L42="","",L42)</f>
        <v>个</v>
      </c>
      <c r="Z42" s="15"/>
      <c r="AA42" s="15"/>
      <c r="AB42" s="15"/>
    </row>
    <row r="43" spans="1:28" s="46" customFormat="1" ht="19.899999999999999" customHeight="1" x14ac:dyDescent="0.15">
      <c r="A43" s="34">
        <v>39</v>
      </c>
      <c r="B43" s="98" t="s">
        <v>1976</v>
      </c>
      <c r="C43" s="29" t="s">
        <v>135</v>
      </c>
      <c r="D43" s="32" t="str">
        <f t="shared" si="76"/>
        <v>备品配件</v>
      </c>
      <c r="E43" s="15"/>
      <c r="F43" s="109" t="s">
        <v>1977</v>
      </c>
      <c r="G43" s="109"/>
      <c r="H43" s="15"/>
      <c r="I43" s="15"/>
      <c r="J43" s="29" t="s">
        <v>1608</v>
      </c>
      <c r="K43" s="113">
        <v>10</v>
      </c>
      <c r="L43" s="110" t="s">
        <v>134</v>
      </c>
      <c r="M43" s="32" t="str">
        <f t="shared" si="77"/>
        <v>常规</v>
      </c>
      <c r="N43" s="15"/>
      <c r="O43" s="137" t="s">
        <v>2271</v>
      </c>
      <c r="P43" s="15"/>
      <c r="Q43" s="15"/>
      <c r="R43" s="15"/>
      <c r="S43" s="15"/>
      <c r="T43" s="110"/>
      <c r="U43" s="32" t="str">
        <f t="shared" si="78"/>
        <v>个</v>
      </c>
      <c r="V43" s="15"/>
      <c r="W43" s="15"/>
      <c r="X43" s="32">
        <v>12</v>
      </c>
      <c r="Y43" s="32" t="str">
        <f t="shared" si="80"/>
        <v>个</v>
      </c>
      <c r="Z43" s="15"/>
      <c r="AA43" s="15"/>
      <c r="AB43" s="15"/>
    </row>
    <row r="44" spans="1:28" s="46" customFormat="1" ht="19.899999999999999" customHeight="1" x14ac:dyDescent="0.15">
      <c r="A44" s="34">
        <v>40</v>
      </c>
      <c r="B44" s="98" t="s">
        <v>1978</v>
      </c>
      <c r="C44" s="29" t="s">
        <v>135</v>
      </c>
      <c r="D44" s="32" t="str">
        <f t="shared" si="76"/>
        <v>备品配件</v>
      </c>
      <c r="E44" s="15"/>
      <c r="F44" s="109" t="s">
        <v>1980</v>
      </c>
      <c r="G44" s="109"/>
      <c r="H44" s="15"/>
      <c r="I44" s="15"/>
      <c r="J44" s="29" t="s">
        <v>1608</v>
      </c>
      <c r="K44" s="113">
        <v>1</v>
      </c>
      <c r="L44" s="110" t="s">
        <v>1933</v>
      </c>
      <c r="M44" s="32" t="str">
        <f t="shared" si="77"/>
        <v>常规</v>
      </c>
      <c r="N44" s="15"/>
      <c r="O44" s="137" t="s">
        <v>2271</v>
      </c>
      <c r="P44" s="15"/>
      <c r="Q44" s="15"/>
      <c r="R44" s="15"/>
      <c r="S44" s="15"/>
      <c r="T44" s="110"/>
      <c r="U44" s="32" t="str">
        <f t="shared" si="78"/>
        <v>套</v>
      </c>
      <c r="V44" s="15"/>
      <c r="W44" s="15"/>
      <c r="X44" s="32">
        <f t="shared" si="79"/>
        <v>1</v>
      </c>
      <c r="Y44" s="32" t="str">
        <f t="shared" si="80"/>
        <v>套</v>
      </c>
      <c r="Z44" s="15"/>
      <c r="AA44" s="15"/>
      <c r="AB44" s="15"/>
    </row>
    <row r="45" spans="1:28" s="46" customFormat="1" ht="19.899999999999999" customHeight="1" x14ac:dyDescent="0.15">
      <c r="A45" s="34">
        <v>41</v>
      </c>
      <c r="B45" s="98" t="s">
        <v>1979</v>
      </c>
      <c r="C45" s="29" t="s">
        <v>135</v>
      </c>
      <c r="D45" s="32" t="str">
        <f t="shared" si="76"/>
        <v>备品配件</v>
      </c>
      <c r="E45" s="15"/>
      <c r="F45" s="109" t="s">
        <v>1981</v>
      </c>
      <c r="G45" s="109"/>
      <c r="H45" s="15"/>
      <c r="I45" s="15"/>
      <c r="J45" s="29" t="s">
        <v>1608</v>
      </c>
      <c r="K45" s="113">
        <v>7</v>
      </c>
      <c r="L45" s="110" t="s">
        <v>134</v>
      </c>
      <c r="M45" s="32" t="str">
        <f t="shared" si="77"/>
        <v>常规</v>
      </c>
      <c r="N45" s="15"/>
      <c r="O45" s="137" t="s">
        <v>2271</v>
      </c>
      <c r="P45" s="15"/>
      <c r="Q45" s="15"/>
      <c r="R45" s="15"/>
      <c r="S45" s="15"/>
      <c r="T45" s="110"/>
      <c r="U45" s="32" t="str">
        <f t="shared" si="78"/>
        <v>个</v>
      </c>
      <c r="V45" s="15"/>
      <c r="W45" s="15"/>
      <c r="X45" s="32">
        <f t="shared" si="79"/>
        <v>7</v>
      </c>
      <c r="Y45" s="32" t="str">
        <f t="shared" si="80"/>
        <v>个</v>
      </c>
      <c r="Z45" s="15"/>
      <c r="AA45" s="15"/>
      <c r="AB45" s="15"/>
    </row>
    <row r="46" spans="1:28" s="46" customFormat="1" ht="19.899999999999999" customHeight="1" x14ac:dyDescent="0.15">
      <c r="A46" s="34">
        <v>42</v>
      </c>
      <c r="B46" s="112" t="s">
        <v>1970</v>
      </c>
      <c r="C46" s="29" t="s">
        <v>135</v>
      </c>
      <c r="D46" s="32" t="str">
        <f t="shared" si="25"/>
        <v>备品配件</v>
      </c>
      <c r="E46" s="15"/>
      <c r="F46" s="109"/>
      <c r="G46" s="98" t="s">
        <v>1901</v>
      </c>
      <c r="H46" s="15"/>
      <c r="I46" s="15"/>
      <c r="J46" s="29" t="s">
        <v>1608</v>
      </c>
      <c r="K46" s="110">
        <v>1</v>
      </c>
      <c r="L46" s="110" t="s">
        <v>134</v>
      </c>
      <c r="M46" s="32" t="str">
        <f t="shared" si="6"/>
        <v>常规</v>
      </c>
      <c r="N46" s="15"/>
      <c r="O46" s="137" t="s">
        <v>2270</v>
      </c>
      <c r="P46" s="15"/>
      <c r="Q46" s="15"/>
      <c r="R46" s="15"/>
      <c r="S46" s="15"/>
      <c r="T46" s="115"/>
      <c r="U46" s="32" t="str">
        <f t="shared" si="7"/>
        <v>个</v>
      </c>
      <c r="V46" s="15"/>
      <c r="W46" s="15"/>
      <c r="X46" s="32">
        <f t="shared" si="8"/>
        <v>1</v>
      </c>
      <c r="Y46" s="32" t="str">
        <f t="shared" si="9"/>
        <v>个</v>
      </c>
      <c r="Z46" s="15"/>
      <c r="AA46" s="15"/>
      <c r="AB46" s="15"/>
    </row>
    <row r="47" spans="1:28" s="46" customFormat="1" ht="19.899999999999999" customHeight="1" x14ac:dyDescent="0.15">
      <c r="A47" s="34">
        <v>43</v>
      </c>
      <c r="B47" s="112" t="s">
        <v>1946</v>
      </c>
      <c r="C47" s="29" t="s">
        <v>135</v>
      </c>
      <c r="D47" s="32" t="str">
        <f t="shared" si="25"/>
        <v>备品配件</v>
      </c>
      <c r="E47" s="15"/>
      <c r="F47" s="109"/>
      <c r="G47" s="98" t="s">
        <v>1902</v>
      </c>
      <c r="H47" s="15"/>
      <c r="I47" s="15"/>
      <c r="J47" s="29" t="s">
        <v>1608</v>
      </c>
      <c r="K47" s="110">
        <v>1</v>
      </c>
      <c r="L47" s="110" t="s">
        <v>134</v>
      </c>
      <c r="M47" s="32" t="str">
        <f t="shared" si="6"/>
        <v>常规</v>
      </c>
      <c r="N47" s="15"/>
      <c r="O47" s="137" t="s">
        <v>2270</v>
      </c>
      <c r="P47" s="15"/>
      <c r="Q47" s="15"/>
      <c r="R47" s="15"/>
      <c r="S47" s="15"/>
      <c r="T47" s="115"/>
      <c r="U47" s="32" t="str">
        <f t="shared" si="7"/>
        <v>个</v>
      </c>
      <c r="V47" s="15"/>
      <c r="W47" s="15"/>
      <c r="X47" s="32">
        <f t="shared" ref="X47:X64" si="81">IF((K47-T47)&lt;=0,"",K47-T47)</f>
        <v>1</v>
      </c>
      <c r="Y47" s="32" t="str">
        <f t="shared" si="9"/>
        <v>个</v>
      </c>
      <c r="Z47" s="15"/>
      <c r="AA47" s="15"/>
      <c r="AB47" s="15"/>
    </row>
    <row r="48" spans="1:28" s="46" customFormat="1" ht="19.899999999999999" customHeight="1" x14ac:dyDescent="0.15">
      <c r="A48" s="34">
        <v>44</v>
      </c>
      <c r="B48" s="112" t="s">
        <v>1671</v>
      </c>
      <c r="C48" s="29" t="s">
        <v>135</v>
      </c>
      <c r="D48" s="32" t="str">
        <f t="shared" si="25"/>
        <v>备品配件</v>
      </c>
      <c r="E48" s="15"/>
      <c r="F48" s="109"/>
      <c r="G48" s="98" t="s">
        <v>1902</v>
      </c>
      <c r="H48" s="15"/>
      <c r="I48" s="15"/>
      <c r="J48" s="29" t="s">
        <v>1608</v>
      </c>
      <c r="K48" s="110">
        <v>1</v>
      </c>
      <c r="L48" s="110" t="s">
        <v>134</v>
      </c>
      <c r="M48" s="32" t="str">
        <f t="shared" si="6"/>
        <v>常规</v>
      </c>
      <c r="N48" s="15"/>
      <c r="O48" s="137" t="s">
        <v>2270</v>
      </c>
      <c r="P48" s="15"/>
      <c r="Q48" s="15"/>
      <c r="R48" s="15"/>
      <c r="S48" s="15"/>
      <c r="T48" s="116"/>
      <c r="U48" s="32" t="str">
        <f t="shared" si="7"/>
        <v>个</v>
      </c>
      <c r="V48" s="15"/>
      <c r="W48" s="15"/>
      <c r="X48" s="32">
        <f t="shared" si="81"/>
        <v>1</v>
      </c>
      <c r="Y48" s="32" t="str">
        <f t="shared" si="9"/>
        <v>个</v>
      </c>
      <c r="Z48" s="15"/>
      <c r="AA48" s="15"/>
      <c r="AB48" s="15"/>
    </row>
    <row r="49" spans="1:28" s="46" customFormat="1" ht="19.899999999999999" customHeight="1" x14ac:dyDescent="0.15">
      <c r="A49" s="34">
        <v>45</v>
      </c>
      <c r="B49" s="112" t="s">
        <v>1672</v>
      </c>
      <c r="C49" s="29" t="s">
        <v>135</v>
      </c>
      <c r="D49" s="32" t="str">
        <f t="shared" si="25"/>
        <v>备品配件</v>
      </c>
      <c r="E49" s="15"/>
      <c r="F49" s="109"/>
      <c r="G49" s="98" t="s">
        <v>1902</v>
      </c>
      <c r="H49" s="15"/>
      <c r="I49" s="15"/>
      <c r="J49" s="29" t="s">
        <v>1608</v>
      </c>
      <c r="K49" s="110">
        <v>2</v>
      </c>
      <c r="L49" s="110" t="s">
        <v>134</v>
      </c>
      <c r="M49" s="32" t="str">
        <f t="shared" ref="M49:M64" si="82">IF(D49="危险化学品","五双",IF(D49="标准物资","严控",IF(D49&lt;&gt;"","常规","")))</f>
        <v>常规</v>
      </c>
      <c r="N49" s="15"/>
      <c r="O49" s="137" t="s">
        <v>2270</v>
      </c>
      <c r="P49" s="15"/>
      <c r="Q49" s="15"/>
      <c r="R49" s="15"/>
      <c r="S49" s="15"/>
      <c r="T49" s="116"/>
      <c r="U49" s="32" t="str">
        <f t="shared" si="7"/>
        <v>个</v>
      </c>
      <c r="V49" s="15"/>
      <c r="W49" s="15"/>
      <c r="X49" s="32">
        <f t="shared" si="81"/>
        <v>2</v>
      </c>
      <c r="Y49" s="32" t="str">
        <f t="shared" si="9"/>
        <v>个</v>
      </c>
      <c r="Z49" s="15"/>
      <c r="AA49" s="15"/>
      <c r="AB49" s="15"/>
    </row>
    <row r="50" spans="1:28" s="46" customFormat="1" ht="19.899999999999999" customHeight="1" x14ac:dyDescent="0.15">
      <c r="A50" s="34">
        <v>46</v>
      </c>
      <c r="B50" s="112" t="s">
        <v>1673</v>
      </c>
      <c r="C50" s="29" t="s">
        <v>135</v>
      </c>
      <c r="D50" s="32" t="str">
        <f t="shared" si="25"/>
        <v>备品配件</v>
      </c>
      <c r="E50" s="15"/>
      <c r="F50" s="109"/>
      <c r="G50" s="98" t="s">
        <v>1902</v>
      </c>
      <c r="H50" s="15"/>
      <c r="I50" s="15"/>
      <c r="J50" s="29" t="s">
        <v>1608</v>
      </c>
      <c r="K50" s="110">
        <v>1</v>
      </c>
      <c r="L50" s="110" t="s">
        <v>134</v>
      </c>
      <c r="M50" s="32" t="str">
        <f t="shared" si="82"/>
        <v>常规</v>
      </c>
      <c r="N50" s="15"/>
      <c r="O50" s="137" t="s">
        <v>2270</v>
      </c>
      <c r="P50" s="15"/>
      <c r="Q50" s="15"/>
      <c r="R50" s="15"/>
      <c r="S50" s="15"/>
      <c r="T50" s="116"/>
      <c r="U50" s="32" t="str">
        <f t="shared" si="7"/>
        <v>个</v>
      </c>
      <c r="V50" s="15"/>
      <c r="W50" s="15"/>
      <c r="X50" s="32">
        <f t="shared" si="81"/>
        <v>1</v>
      </c>
      <c r="Y50" s="32" t="str">
        <f t="shared" si="9"/>
        <v>个</v>
      </c>
      <c r="Z50" s="15"/>
      <c r="AA50" s="15"/>
      <c r="AB50" s="15"/>
    </row>
    <row r="51" spans="1:28" s="46" customFormat="1" ht="19.899999999999999" customHeight="1" x14ac:dyDescent="0.15">
      <c r="A51" s="34">
        <v>47</v>
      </c>
      <c r="B51" s="112" t="s">
        <v>1674</v>
      </c>
      <c r="C51" s="29" t="s">
        <v>135</v>
      </c>
      <c r="D51" s="32" t="str">
        <f t="shared" si="25"/>
        <v>备品配件</v>
      </c>
      <c r="E51" s="15"/>
      <c r="F51" s="109"/>
      <c r="G51" s="98" t="s">
        <v>1902</v>
      </c>
      <c r="H51" s="15"/>
      <c r="I51" s="15"/>
      <c r="J51" s="29" t="s">
        <v>1608</v>
      </c>
      <c r="K51" s="110">
        <v>1</v>
      </c>
      <c r="L51" s="110" t="s">
        <v>134</v>
      </c>
      <c r="M51" s="32" t="str">
        <f t="shared" si="82"/>
        <v>常规</v>
      </c>
      <c r="N51" s="15"/>
      <c r="O51" s="137" t="s">
        <v>2270</v>
      </c>
      <c r="P51" s="15"/>
      <c r="Q51" s="15"/>
      <c r="R51" s="15"/>
      <c r="S51" s="15"/>
      <c r="T51" s="116"/>
      <c r="U51" s="32" t="str">
        <f t="shared" si="7"/>
        <v>个</v>
      </c>
      <c r="V51" s="15"/>
      <c r="W51" s="15"/>
      <c r="X51" s="32">
        <f t="shared" si="81"/>
        <v>1</v>
      </c>
      <c r="Y51" s="32" t="str">
        <f t="shared" si="9"/>
        <v>个</v>
      </c>
      <c r="Z51" s="15"/>
      <c r="AA51" s="15"/>
      <c r="AB51" s="15"/>
    </row>
    <row r="52" spans="1:28" s="46" customFormat="1" ht="19.899999999999999" customHeight="1" x14ac:dyDescent="0.15">
      <c r="A52" s="34">
        <v>48</v>
      </c>
      <c r="B52" s="109" t="s">
        <v>1675</v>
      </c>
      <c r="C52" s="29" t="s">
        <v>135</v>
      </c>
      <c r="D52" s="32" t="str">
        <f t="shared" si="25"/>
        <v>备品配件</v>
      </c>
      <c r="E52" s="15"/>
      <c r="F52" s="117"/>
      <c r="G52" s="98" t="s">
        <v>1902</v>
      </c>
      <c r="H52" s="15"/>
      <c r="I52" s="15"/>
      <c r="J52" s="29" t="s">
        <v>1608</v>
      </c>
      <c r="K52" s="110">
        <v>5</v>
      </c>
      <c r="L52" s="110" t="s">
        <v>134</v>
      </c>
      <c r="M52" s="32" t="str">
        <f t="shared" si="82"/>
        <v>常规</v>
      </c>
      <c r="N52" s="15"/>
      <c r="O52" s="137" t="s">
        <v>2270</v>
      </c>
      <c r="P52" s="15"/>
      <c r="Q52" s="15"/>
      <c r="R52" s="15"/>
      <c r="S52" s="15"/>
      <c r="T52" s="116"/>
      <c r="U52" s="32" t="str">
        <f t="shared" si="7"/>
        <v>个</v>
      </c>
      <c r="V52" s="15"/>
      <c r="W52" s="15"/>
      <c r="X52" s="32">
        <f t="shared" si="81"/>
        <v>5</v>
      </c>
      <c r="Y52" s="32" t="str">
        <f t="shared" si="9"/>
        <v>个</v>
      </c>
      <c r="Z52" s="15"/>
      <c r="AA52" s="15"/>
      <c r="AB52" s="15"/>
    </row>
    <row r="53" spans="1:28" s="46" customFormat="1" ht="19.899999999999999" customHeight="1" x14ac:dyDescent="0.15">
      <c r="A53" s="34">
        <v>49</v>
      </c>
      <c r="B53" s="109" t="s">
        <v>1676</v>
      </c>
      <c r="C53" s="29" t="s">
        <v>135</v>
      </c>
      <c r="D53" s="32" t="str">
        <f t="shared" si="25"/>
        <v>备品配件</v>
      </c>
      <c r="E53" s="15"/>
      <c r="F53" s="117"/>
      <c r="G53" s="98" t="s">
        <v>1902</v>
      </c>
      <c r="H53" s="15"/>
      <c r="I53" s="15"/>
      <c r="J53" s="29" t="s">
        <v>1608</v>
      </c>
      <c r="K53" s="110">
        <v>4</v>
      </c>
      <c r="L53" s="110" t="s">
        <v>134</v>
      </c>
      <c r="M53" s="32" t="str">
        <f t="shared" si="82"/>
        <v>常规</v>
      </c>
      <c r="N53" s="15"/>
      <c r="O53" s="137" t="s">
        <v>2270</v>
      </c>
      <c r="P53" s="15"/>
      <c r="Q53" s="15"/>
      <c r="R53" s="15"/>
      <c r="S53" s="15"/>
      <c r="T53" s="116"/>
      <c r="U53" s="32" t="str">
        <f t="shared" si="7"/>
        <v>个</v>
      </c>
      <c r="V53" s="15"/>
      <c r="W53" s="15"/>
      <c r="X53" s="32">
        <f t="shared" si="81"/>
        <v>4</v>
      </c>
      <c r="Y53" s="32" t="str">
        <f t="shared" si="9"/>
        <v>个</v>
      </c>
      <c r="Z53" s="15"/>
      <c r="AA53" s="15"/>
      <c r="AB53" s="15"/>
    </row>
    <row r="54" spans="1:28" s="46" customFormat="1" ht="19.899999999999999" customHeight="1" x14ac:dyDescent="0.15">
      <c r="A54" s="34">
        <v>50</v>
      </c>
      <c r="B54" s="112" t="s">
        <v>1677</v>
      </c>
      <c r="C54" s="29" t="s">
        <v>135</v>
      </c>
      <c r="D54" s="32" t="str">
        <f t="shared" si="25"/>
        <v>备品配件</v>
      </c>
      <c r="E54" s="15"/>
      <c r="F54" s="109"/>
      <c r="G54" s="98" t="s">
        <v>1902</v>
      </c>
      <c r="H54" s="15"/>
      <c r="I54" s="15"/>
      <c r="J54" s="29" t="s">
        <v>1608</v>
      </c>
      <c r="K54" s="110">
        <v>1</v>
      </c>
      <c r="L54" s="110" t="s">
        <v>134</v>
      </c>
      <c r="M54" s="32" t="str">
        <f t="shared" si="82"/>
        <v>常规</v>
      </c>
      <c r="N54" s="15"/>
      <c r="O54" s="137" t="s">
        <v>2270</v>
      </c>
      <c r="P54" s="15"/>
      <c r="Q54" s="15"/>
      <c r="R54" s="15"/>
      <c r="S54" s="15"/>
      <c r="T54" s="116"/>
      <c r="U54" s="32" t="str">
        <f t="shared" si="7"/>
        <v>个</v>
      </c>
      <c r="V54" s="15"/>
      <c r="W54" s="15"/>
      <c r="X54" s="32">
        <f t="shared" si="81"/>
        <v>1</v>
      </c>
      <c r="Y54" s="32" t="str">
        <f t="shared" si="9"/>
        <v>个</v>
      </c>
      <c r="Z54" s="15"/>
      <c r="AA54" s="15"/>
      <c r="AB54" s="15"/>
    </row>
    <row r="55" spans="1:28" s="46" customFormat="1" ht="19.899999999999999" customHeight="1" x14ac:dyDescent="0.15">
      <c r="A55" s="34">
        <v>51</v>
      </c>
      <c r="B55" s="112" t="s">
        <v>1678</v>
      </c>
      <c r="C55" s="29" t="s">
        <v>135</v>
      </c>
      <c r="D55" s="32" t="str">
        <f t="shared" si="25"/>
        <v>备品配件</v>
      </c>
      <c r="E55" s="15"/>
      <c r="F55" s="109"/>
      <c r="G55" s="98" t="s">
        <v>1902</v>
      </c>
      <c r="H55" s="15"/>
      <c r="I55" s="15"/>
      <c r="J55" s="29" t="s">
        <v>1608</v>
      </c>
      <c r="K55" s="110">
        <v>4</v>
      </c>
      <c r="L55" s="110" t="s">
        <v>134</v>
      </c>
      <c r="M55" s="32" t="str">
        <f t="shared" si="82"/>
        <v>常规</v>
      </c>
      <c r="N55" s="15"/>
      <c r="O55" s="137" t="s">
        <v>2270</v>
      </c>
      <c r="P55" s="15"/>
      <c r="Q55" s="15"/>
      <c r="R55" s="15"/>
      <c r="S55" s="15" t="s">
        <v>2137</v>
      </c>
      <c r="T55" s="116">
        <v>1</v>
      </c>
      <c r="U55" s="32" t="str">
        <f t="shared" si="7"/>
        <v>个</v>
      </c>
      <c r="V55" s="15"/>
      <c r="W55" s="15"/>
      <c r="X55" s="32">
        <f t="shared" si="81"/>
        <v>3</v>
      </c>
      <c r="Y55" s="32" t="str">
        <f t="shared" si="9"/>
        <v>个</v>
      </c>
      <c r="Z55" s="15"/>
      <c r="AA55" s="15"/>
      <c r="AB55" s="15"/>
    </row>
    <row r="56" spans="1:28" s="46" customFormat="1" ht="19.899999999999999" customHeight="1" x14ac:dyDescent="0.15">
      <c r="A56" s="34">
        <v>52</v>
      </c>
      <c r="B56" s="98" t="s">
        <v>1679</v>
      </c>
      <c r="C56" s="29" t="s">
        <v>135</v>
      </c>
      <c r="D56" s="32" t="str">
        <f t="shared" si="25"/>
        <v>备品配件</v>
      </c>
      <c r="E56" s="15"/>
      <c r="F56" s="109"/>
      <c r="G56" s="98" t="s">
        <v>1903</v>
      </c>
      <c r="H56" s="15"/>
      <c r="I56" s="15"/>
      <c r="J56" s="29" t="s">
        <v>1608</v>
      </c>
      <c r="K56" s="110">
        <v>3</v>
      </c>
      <c r="L56" s="110" t="s">
        <v>134</v>
      </c>
      <c r="M56" s="32" t="str">
        <f t="shared" si="82"/>
        <v>常规</v>
      </c>
      <c r="N56" s="15"/>
      <c r="O56" s="137" t="s">
        <v>2270</v>
      </c>
      <c r="P56" s="15"/>
      <c r="Q56" s="15"/>
      <c r="R56" s="15"/>
      <c r="S56" s="15"/>
      <c r="T56" s="116"/>
      <c r="U56" s="32" t="str">
        <f t="shared" si="7"/>
        <v>个</v>
      </c>
      <c r="V56" s="15"/>
      <c r="W56" s="15"/>
      <c r="X56" s="32">
        <f t="shared" si="81"/>
        <v>3</v>
      </c>
      <c r="Y56" s="32" t="str">
        <f t="shared" si="9"/>
        <v>个</v>
      </c>
      <c r="Z56" s="15"/>
      <c r="AA56" s="15"/>
      <c r="AB56" s="15"/>
    </row>
    <row r="57" spans="1:28" s="46" customFormat="1" ht="19.899999999999999" customHeight="1" x14ac:dyDescent="0.15">
      <c r="A57" s="34">
        <v>53</v>
      </c>
      <c r="B57" s="98" t="s">
        <v>1680</v>
      </c>
      <c r="C57" s="29" t="s">
        <v>135</v>
      </c>
      <c r="D57" s="32" t="str">
        <f t="shared" si="25"/>
        <v>备品配件</v>
      </c>
      <c r="E57" s="15"/>
      <c r="F57" s="109"/>
      <c r="G57" s="98" t="s">
        <v>1902</v>
      </c>
      <c r="H57" s="15"/>
      <c r="I57" s="15"/>
      <c r="J57" s="29" t="s">
        <v>1608</v>
      </c>
      <c r="K57" s="110">
        <v>2</v>
      </c>
      <c r="L57" s="110" t="s">
        <v>134</v>
      </c>
      <c r="M57" s="32" t="str">
        <f t="shared" si="82"/>
        <v>常规</v>
      </c>
      <c r="N57" s="15"/>
      <c r="O57" s="137" t="s">
        <v>2270</v>
      </c>
      <c r="P57" s="15"/>
      <c r="Q57" s="15"/>
      <c r="R57" s="15"/>
      <c r="S57" s="15"/>
      <c r="T57" s="116"/>
      <c r="U57" s="32" t="str">
        <f t="shared" si="7"/>
        <v>个</v>
      </c>
      <c r="V57" s="15"/>
      <c r="W57" s="15"/>
      <c r="X57" s="32">
        <f t="shared" si="81"/>
        <v>2</v>
      </c>
      <c r="Y57" s="32" t="str">
        <f t="shared" si="9"/>
        <v>个</v>
      </c>
      <c r="Z57" s="15"/>
      <c r="AA57" s="15"/>
      <c r="AB57" s="15"/>
    </row>
    <row r="58" spans="1:28" s="46" customFormat="1" ht="19.899999999999999" customHeight="1" x14ac:dyDescent="0.15">
      <c r="A58" s="34">
        <v>54</v>
      </c>
      <c r="B58" s="112" t="s">
        <v>1681</v>
      </c>
      <c r="C58" s="29" t="s">
        <v>135</v>
      </c>
      <c r="D58" s="32" t="str">
        <f t="shared" si="25"/>
        <v>备品配件</v>
      </c>
      <c r="E58" s="15"/>
      <c r="F58" s="98" t="s">
        <v>1817</v>
      </c>
      <c r="G58" s="98" t="s">
        <v>1902</v>
      </c>
      <c r="H58" s="15"/>
      <c r="I58" s="15"/>
      <c r="J58" s="29" t="s">
        <v>1608</v>
      </c>
      <c r="K58" s="110">
        <v>1</v>
      </c>
      <c r="L58" s="110" t="s">
        <v>1932</v>
      </c>
      <c r="M58" s="32" t="str">
        <f t="shared" si="82"/>
        <v>常规</v>
      </c>
      <c r="N58" s="15"/>
      <c r="O58" s="137" t="s">
        <v>2270</v>
      </c>
      <c r="P58" s="15"/>
      <c r="Q58" s="15"/>
      <c r="R58" s="15"/>
      <c r="S58" s="15"/>
      <c r="T58" s="116"/>
      <c r="U58" s="32" t="str">
        <f t="shared" si="7"/>
        <v>根</v>
      </c>
      <c r="V58" s="15"/>
      <c r="W58" s="15"/>
      <c r="X58" s="32">
        <f t="shared" si="81"/>
        <v>1</v>
      </c>
      <c r="Y58" s="32" t="str">
        <f t="shared" si="9"/>
        <v>根</v>
      </c>
      <c r="Z58" s="15"/>
      <c r="AA58" s="15"/>
      <c r="AB58" s="15"/>
    </row>
    <row r="59" spans="1:28" s="46" customFormat="1" ht="19.899999999999999" customHeight="1" x14ac:dyDescent="0.15">
      <c r="A59" s="34">
        <v>55</v>
      </c>
      <c r="B59" s="112" t="s">
        <v>1681</v>
      </c>
      <c r="C59" s="29" t="s">
        <v>135</v>
      </c>
      <c r="D59" s="32" t="str">
        <f t="shared" si="25"/>
        <v>备品配件</v>
      </c>
      <c r="E59" s="15"/>
      <c r="F59" s="98" t="s">
        <v>1818</v>
      </c>
      <c r="G59" s="98" t="s">
        <v>1902</v>
      </c>
      <c r="H59" s="15"/>
      <c r="I59" s="15"/>
      <c r="J59" s="29" t="s">
        <v>1608</v>
      </c>
      <c r="K59" s="110">
        <v>2</v>
      </c>
      <c r="L59" s="110" t="s">
        <v>1932</v>
      </c>
      <c r="M59" s="32" t="str">
        <f t="shared" si="82"/>
        <v>常规</v>
      </c>
      <c r="N59" s="15"/>
      <c r="O59" s="137" t="s">
        <v>2270</v>
      </c>
      <c r="P59" s="15"/>
      <c r="Q59" s="15"/>
      <c r="R59" s="15"/>
      <c r="S59" s="15"/>
      <c r="T59" s="116"/>
      <c r="U59" s="32" t="str">
        <f t="shared" si="7"/>
        <v>根</v>
      </c>
      <c r="V59" s="15"/>
      <c r="W59" s="15"/>
      <c r="X59" s="32">
        <f t="shared" si="81"/>
        <v>2</v>
      </c>
      <c r="Y59" s="32" t="str">
        <f t="shared" si="9"/>
        <v>根</v>
      </c>
      <c r="Z59" s="15"/>
      <c r="AA59" s="15"/>
      <c r="AB59" s="15"/>
    </row>
    <row r="60" spans="1:28" s="46" customFormat="1" ht="19.899999999999999" customHeight="1" x14ac:dyDescent="0.15">
      <c r="A60" s="34">
        <v>56</v>
      </c>
      <c r="B60" s="112" t="s">
        <v>1681</v>
      </c>
      <c r="C60" s="29" t="s">
        <v>135</v>
      </c>
      <c r="D60" s="32" t="str">
        <f t="shared" si="25"/>
        <v>备品配件</v>
      </c>
      <c r="E60" s="15"/>
      <c r="F60" s="118" t="s">
        <v>1819</v>
      </c>
      <c r="G60" s="98" t="s">
        <v>1902</v>
      </c>
      <c r="H60" s="15"/>
      <c r="I60" s="15"/>
      <c r="J60" s="29" t="s">
        <v>1608</v>
      </c>
      <c r="K60" s="110">
        <v>1</v>
      </c>
      <c r="L60" s="110" t="s">
        <v>1932</v>
      </c>
      <c r="M60" s="32" t="str">
        <f t="shared" si="82"/>
        <v>常规</v>
      </c>
      <c r="N60" s="15"/>
      <c r="O60" s="137" t="s">
        <v>2270</v>
      </c>
      <c r="P60" s="15"/>
      <c r="Q60" s="15"/>
      <c r="R60" s="15"/>
      <c r="S60" s="15"/>
      <c r="T60" s="110"/>
      <c r="U60" s="32" t="str">
        <f t="shared" si="7"/>
        <v>根</v>
      </c>
      <c r="V60" s="15"/>
      <c r="W60" s="15"/>
      <c r="X60" s="32">
        <f t="shared" si="81"/>
        <v>1</v>
      </c>
      <c r="Y60" s="32" t="str">
        <f t="shared" si="9"/>
        <v>根</v>
      </c>
      <c r="Z60" s="15"/>
      <c r="AA60" s="15"/>
      <c r="AB60" s="15"/>
    </row>
    <row r="61" spans="1:28" s="46" customFormat="1" ht="19.899999999999999" customHeight="1" x14ac:dyDescent="0.15">
      <c r="A61" s="34">
        <v>57</v>
      </c>
      <c r="B61" s="98" t="s">
        <v>3103</v>
      </c>
      <c r="C61" s="29" t="s">
        <v>135</v>
      </c>
      <c r="D61" s="32" t="str">
        <f t="shared" si="25"/>
        <v>备品配件</v>
      </c>
      <c r="E61" s="15"/>
      <c r="F61" s="119"/>
      <c r="G61" s="98" t="s">
        <v>1902</v>
      </c>
      <c r="H61" s="15"/>
      <c r="I61" s="15"/>
      <c r="J61" s="29" t="s">
        <v>1608</v>
      </c>
      <c r="K61" s="113">
        <v>2</v>
      </c>
      <c r="L61" s="110" t="s">
        <v>1932</v>
      </c>
      <c r="M61" s="32" t="str">
        <f t="shared" si="82"/>
        <v>常规</v>
      </c>
      <c r="N61" s="15"/>
      <c r="O61" s="137" t="s">
        <v>2270</v>
      </c>
      <c r="P61" s="15"/>
      <c r="Q61" s="15"/>
      <c r="R61" s="15"/>
      <c r="S61" s="15"/>
      <c r="T61" s="110"/>
      <c r="U61" s="32" t="str">
        <f t="shared" si="7"/>
        <v>根</v>
      </c>
      <c r="V61" s="15"/>
      <c r="W61" s="15"/>
      <c r="X61" s="32">
        <f t="shared" si="81"/>
        <v>2</v>
      </c>
      <c r="Y61" s="32" t="str">
        <f t="shared" si="9"/>
        <v>根</v>
      </c>
      <c r="Z61" s="15"/>
      <c r="AA61" s="15"/>
      <c r="AB61" s="15"/>
    </row>
    <row r="62" spans="1:28" s="46" customFormat="1" ht="19.899999999999999" customHeight="1" x14ac:dyDescent="0.15">
      <c r="A62" s="34">
        <v>58</v>
      </c>
      <c r="B62" s="98" t="s">
        <v>2941</v>
      </c>
      <c r="C62" s="29" t="s">
        <v>135</v>
      </c>
      <c r="D62" s="32" t="str">
        <f t="shared" si="25"/>
        <v>备品配件</v>
      </c>
      <c r="E62" s="15"/>
      <c r="F62" s="109" t="s">
        <v>1820</v>
      </c>
      <c r="G62" s="98" t="s">
        <v>1904</v>
      </c>
      <c r="H62" s="15"/>
      <c r="I62" s="15"/>
      <c r="J62" s="29" t="s">
        <v>1608</v>
      </c>
      <c r="K62" s="110">
        <v>500</v>
      </c>
      <c r="L62" s="110" t="s">
        <v>134</v>
      </c>
      <c r="M62" s="32" t="str">
        <f t="shared" si="82"/>
        <v>常规</v>
      </c>
      <c r="N62" s="15"/>
      <c r="O62" s="137" t="s">
        <v>2272</v>
      </c>
      <c r="P62" s="15"/>
      <c r="Q62" s="15"/>
      <c r="R62" s="15"/>
      <c r="S62" s="15"/>
      <c r="T62" s="110"/>
      <c r="U62" s="32" t="str">
        <f t="shared" si="7"/>
        <v>个</v>
      </c>
      <c r="V62" s="15"/>
      <c r="W62" s="15"/>
      <c r="X62" s="32">
        <f t="shared" si="81"/>
        <v>500</v>
      </c>
      <c r="Y62" s="32" t="str">
        <f t="shared" si="9"/>
        <v>个</v>
      </c>
      <c r="Z62" s="15"/>
      <c r="AA62" s="15"/>
      <c r="AB62" s="15"/>
    </row>
    <row r="63" spans="1:28" s="46" customFormat="1" ht="19.899999999999999" customHeight="1" x14ac:dyDescent="0.15">
      <c r="A63" s="34">
        <v>59</v>
      </c>
      <c r="B63" s="112" t="s">
        <v>1682</v>
      </c>
      <c r="C63" s="29" t="s">
        <v>135</v>
      </c>
      <c r="D63" s="32" t="str">
        <f t="shared" si="25"/>
        <v>备品配件</v>
      </c>
      <c r="E63" s="15"/>
      <c r="F63" s="109" t="s">
        <v>1821</v>
      </c>
      <c r="G63" s="98" t="s">
        <v>1904</v>
      </c>
      <c r="H63" s="15"/>
      <c r="I63" s="15"/>
      <c r="J63" s="29" t="s">
        <v>1608</v>
      </c>
      <c r="K63" s="110">
        <v>500</v>
      </c>
      <c r="L63" s="110" t="s">
        <v>134</v>
      </c>
      <c r="M63" s="32" t="str">
        <f t="shared" si="82"/>
        <v>常规</v>
      </c>
      <c r="N63" s="15"/>
      <c r="O63" s="137" t="s">
        <v>2272</v>
      </c>
      <c r="P63" s="15"/>
      <c r="Q63" s="15"/>
      <c r="R63" s="15"/>
      <c r="S63" s="15"/>
      <c r="T63" s="110"/>
      <c r="U63" s="32" t="str">
        <f t="shared" si="7"/>
        <v>个</v>
      </c>
      <c r="V63" s="15"/>
      <c r="W63" s="15"/>
      <c r="X63" s="32">
        <f t="shared" si="81"/>
        <v>500</v>
      </c>
      <c r="Y63" s="32" t="str">
        <f t="shared" si="9"/>
        <v>个</v>
      </c>
      <c r="Z63" s="15"/>
      <c r="AA63" s="15"/>
      <c r="AB63" s="15"/>
    </row>
    <row r="64" spans="1:28" s="46" customFormat="1" ht="19.899999999999999" customHeight="1" x14ac:dyDescent="0.15">
      <c r="A64" s="34">
        <v>60</v>
      </c>
      <c r="B64" s="112" t="s">
        <v>1982</v>
      </c>
      <c r="C64" s="29" t="s">
        <v>135</v>
      </c>
      <c r="D64" s="32" t="str">
        <f t="shared" si="25"/>
        <v>备品配件</v>
      </c>
      <c r="E64" s="15"/>
      <c r="F64" s="98" t="s">
        <v>1983</v>
      </c>
      <c r="G64" s="98" t="s">
        <v>1904</v>
      </c>
      <c r="H64" s="15"/>
      <c r="I64" s="15"/>
      <c r="J64" s="29" t="s">
        <v>1608</v>
      </c>
      <c r="K64" s="113">
        <v>2</v>
      </c>
      <c r="L64" s="110" t="s">
        <v>134</v>
      </c>
      <c r="M64" s="32" t="str">
        <f t="shared" si="82"/>
        <v>常规</v>
      </c>
      <c r="N64" s="15"/>
      <c r="O64" s="137" t="s">
        <v>2272</v>
      </c>
      <c r="P64" s="15"/>
      <c r="Q64" s="15"/>
      <c r="R64" s="15"/>
      <c r="S64" s="15"/>
      <c r="T64" s="110"/>
      <c r="U64" s="32" t="str">
        <f t="shared" si="7"/>
        <v>个</v>
      </c>
      <c r="V64" s="15"/>
      <c r="W64" s="15"/>
      <c r="X64" s="32">
        <f t="shared" si="81"/>
        <v>2</v>
      </c>
      <c r="Y64" s="32" t="str">
        <f t="shared" si="9"/>
        <v>个</v>
      </c>
      <c r="Z64" s="15"/>
      <c r="AA64" s="15"/>
      <c r="AB64" s="15"/>
    </row>
    <row r="65" spans="1:28" s="46" customFormat="1" ht="19.899999999999999" customHeight="1" x14ac:dyDescent="0.15">
      <c r="A65" s="34">
        <v>61</v>
      </c>
      <c r="B65" s="112" t="s">
        <v>1984</v>
      </c>
      <c r="C65" s="29" t="s">
        <v>135</v>
      </c>
      <c r="D65" s="32" t="str">
        <f t="shared" ref="D65:D67" si="83">IF(C65="J1","常规化学品",IF(C65="J2","危险化学品",IF(C65="J3","标准物质",IF(C65="J4","玻璃仪器",IF(C65="J5","实验气体",IF(C65="J6","专用物耗",IF(C65="J7","备品配件",IF(C65="J8","专用工具",IF(C65="Z1","劳保物资",IF(C65="Z2","办公耗材",IF(C65="Z3","食品饮料",IF(C65="Z4","特殊物耗",IF(C65="Z5","通用物耗",IF(C65="Z6","通用工具",""))))))))))))))</f>
        <v>备品配件</v>
      </c>
      <c r="E65" s="15"/>
      <c r="F65" s="98"/>
      <c r="G65" s="98" t="s">
        <v>1904</v>
      </c>
      <c r="H65" s="15"/>
      <c r="I65" s="15"/>
      <c r="J65" s="29" t="s">
        <v>1608</v>
      </c>
      <c r="K65" s="113">
        <v>1</v>
      </c>
      <c r="L65" s="110" t="s">
        <v>1933</v>
      </c>
      <c r="M65" s="32" t="str">
        <f t="shared" ref="M65:M67" si="84">IF(D65="危险化学品","五双",IF(D65="标准物资","严控",IF(D65&lt;&gt;"","常规","")))</f>
        <v>常规</v>
      </c>
      <c r="N65" s="15"/>
      <c r="O65" s="137" t="s">
        <v>2272</v>
      </c>
      <c r="P65" s="15"/>
      <c r="Q65" s="15"/>
      <c r="R65" s="15"/>
      <c r="S65" s="15"/>
      <c r="T65" s="110"/>
      <c r="U65" s="32" t="str">
        <f t="shared" ref="U65:U67" si="85">IF(L65="","",L65)</f>
        <v>套</v>
      </c>
      <c r="V65" s="15"/>
      <c r="W65" s="15"/>
      <c r="X65" s="32">
        <f t="shared" ref="X65:X67" si="86">IF((K65-T65)&lt;=0,"",K65-T65)</f>
        <v>1</v>
      </c>
      <c r="Y65" s="32" t="str">
        <f t="shared" ref="Y65:Y67" si="87">IF(L65="","",L65)</f>
        <v>套</v>
      </c>
      <c r="Z65" s="15"/>
      <c r="AA65" s="15"/>
      <c r="AB65" s="15"/>
    </row>
    <row r="66" spans="1:28" s="46" customFormat="1" ht="19.899999999999999" customHeight="1" x14ac:dyDescent="0.15">
      <c r="A66" s="34">
        <v>62</v>
      </c>
      <c r="B66" s="112" t="s">
        <v>1985</v>
      </c>
      <c r="C66" s="29" t="s">
        <v>135</v>
      </c>
      <c r="D66" s="32" t="str">
        <f t="shared" si="83"/>
        <v>备品配件</v>
      </c>
      <c r="E66" s="15"/>
      <c r="F66" s="98"/>
      <c r="G66" s="98" t="s">
        <v>1904</v>
      </c>
      <c r="H66" s="15"/>
      <c r="I66" s="15"/>
      <c r="J66" s="29" t="s">
        <v>1608</v>
      </c>
      <c r="K66" s="113">
        <v>1</v>
      </c>
      <c r="L66" s="110" t="s">
        <v>1933</v>
      </c>
      <c r="M66" s="32" t="str">
        <f t="shared" si="84"/>
        <v>常规</v>
      </c>
      <c r="N66" s="15"/>
      <c r="O66" s="137" t="s">
        <v>2272</v>
      </c>
      <c r="P66" s="15"/>
      <c r="Q66" s="15"/>
      <c r="R66" s="15"/>
      <c r="S66" s="15"/>
      <c r="T66" s="110"/>
      <c r="U66" s="32" t="str">
        <f t="shared" si="85"/>
        <v>套</v>
      </c>
      <c r="V66" s="15"/>
      <c r="W66" s="15"/>
      <c r="X66" s="32">
        <f t="shared" si="86"/>
        <v>1</v>
      </c>
      <c r="Y66" s="32" t="str">
        <f t="shared" si="87"/>
        <v>套</v>
      </c>
      <c r="Z66" s="15"/>
      <c r="AA66" s="15"/>
      <c r="AB66" s="15"/>
    </row>
    <row r="67" spans="1:28" s="46" customFormat="1" ht="19.899999999999999" customHeight="1" x14ac:dyDescent="0.15">
      <c r="A67" s="34">
        <v>63</v>
      </c>
      <c r="B67" s="112" t="s">
        <v>1986</v>
      </c>
      <c r="C67" s="29" t="s">
        <v>135</v>
      </c>
      <c r="D67" s="32" t="str">
        <f t="shared" si="83"/>
        <v>备品配件</v>
      </c>
      <c r="E67" s="15"/>
      <c r="F67" s="98"/>
      <c r="G67" s="98" t="s">
        <v>1904</v>
      </c>
      <c r="H67" s="15"/>
      <c r="I67" s="15"/>
      <c r="J67" s="29" t="s">
        <v>1608</v>
      </c>
      <c r="K67" s="113">
        <v>2</v>
      </c>
      <c r="L67" s="110" t="s">
        <v>134</v>
      </c>
      <c r="M67" s="32" t="str">
        <f t="shared" si="84"/>
        <v>常规</v>
      </c>
      <c r="N67" s="15"/>
      <c r="O67" s="137" t="s">
        <v>2272</v>
      </c>
      <c r="P67" s="15"/>
      <c r="Q67" s="15"/>
      <c r="R67" s="15"/>
      <c r="S67" s="15"/>
      <c r="T67" s="110"/>
      <c r="U67" s="32" t="str">
        <f t="shared" si="85"/>
        <v>个</v>
      </c>
      <c r="V67" s="15"/>
      <c r="W67" s="15"/>
      <c r="X67" s="32">
        <f t="shared" si="86"/>
        <v>2</v>
      </c>
      <c r="Y67" s="32" t="str">
        <f t="shared" si="87"/>
        <v>个</v>
      </c>
      <c r="Z67" s="15"/>
      <c r="AA67" s="15"/>
      <c r="AB67" s="15"/>
    </row>
    <row r="68" spans="1:28" s="46" customFormat="1" ht="19.899999999999999" customHeight="1" x14ac:dyDescent="0.15">
      <c r="A68" s="34">
        <v>64</v>
      </c>
      <c r="B68" s="112" t="s">
        <v>1987</v>
      </c>
      <c r="C68" s="29" t="s">
        <v>135</v>
      </c>
      <c r="D68" s="32" t="str">
        <f t="shared" ref="D68" si="88">IF(C68="J1","常规化学品",IF(C68="J2","危险化学品",IF(C68="J3","标准物质",IF(C68="J4","玻璃仪器",IF(C68="J5","实验气体",IF(C68="J6","专用物耗",IF(C68="J7","备品配件",IF(C68="J8","专用工具",IF(C68="Z1","劳保物资",IF(C68="Z2","办公耗材",IF(C68="Z3","食品饮料",IF(C68="Z4","特殊物耗",IF(C68="Z5","通用物耗",IF(C68="Z6","通用工具",""))))))))))))))</f>
        <v>备品配件</v>
      </c>
      <c r="E68" s="15"/>
      <c r="F68" s="98"/>
      <c r="G68" s="98" t="s">
        <v>1904</v>
      </c>
      <c r="H68" s="15"/>
      <c r="I68" s="15"/>
      <c r="J68" s="29" t="s">
        <v>1608</v>
      </c>
      <c r="K68" s="113">
        <v>1</v>
      </c>
      <c r="L68" s="110" t="s">
        <v>134</v>
      </c>
      <c r="M68" s="32" t="str">
        <f t="shared" ref="M68" si="89">IF(D68="危险化学品","五双",IF(D68="标准物资","严控",IF(D68&lt;&gt;"","常规","")))</f>
        <v>常规</v>
      </c>
      <c r="N68" s="15"/>
      <c r="O68" s="137" t="s">
        <v>2272</v>
      </c>
      <c r="P68" s="15"/>
      <c r="Q68" s="15"/>
      <c r="R68" s="15"/>
      <c r="S68" s="15"/>
      <c r="T68" s="110"/>
      <c r="U68" s="32" t="str">
        <f t="shared" ref="U68" si="90">IF(L68="","",L68)</f>
        <v>个</v>
      </c>
      <c r="V68" s="15"/>
      <c r="W68" s="15"/>
      <c r="X68" s="32">
        <f t="shared" ref="X68" si="91">IF((K68-T68)&lt;=0,"",K68-T68)</f>
        <v>1</v>
      </c>
      <c r="Y68" s="32" t="str">
        <f t="shared" ref="Y68" si="92">IF(L68="","",L68)</f>
        <v>个</v>
      </c>
      <c r="Z68" s="15"/>
      <c r="AA68" s="15"/>
      <c r="AB68" s="15"/>
    </row>
    <row r="69" spans="1:28" s="46" customFormat="1" ht="19.899999999999999" customHeight="1" x14ac:dyDescent="0.15">
      <c r="A69" s="34">
        <v>65</v>
      </c>
      <c r="B69" s="111" t="s">
        <v>1756</v>
      </c>
      <c r="C69" s="29" t="s">
        <v>135</v>
      </c>
      <c r="D69" s="32" t="str">
        <f t="shared" ref="D69" si="93">IF(C69="J1","常规化学品",IF(C69="J2","危险化学品",IF(C69="J3","标准物质",IF(C69="J4","玻璃仪器",IF(C69="J5","实验气体",IF(C69="J6","专用物耗",IF(C69="J7","备品配件",IF(C69="J8","专用工具",IF(C69="Z1","劳保物资",IF(C69="Z2","办公耗材",IF(C69="Z3","食品饮料",IF(C69="Z4","特殊物耗",IF(C69="Z5","通用物耗",IF(C69="Z6","通用工具",""))))))))))))))</f>
        <v>备品配件</v>
      </c>
      <c r="E69" s="15"/>
      <c r="F69" s="109">
        <v>23033000</v>
      </c>
      <c r="G69" s="109"/>
      <c r="H69" s="15"/>
      <c r="I69" s="15"/>
      <c r="J69" s="29" t="s">
        <v>1608</v>
      </c>
      <c r="K69" s="110">
        <v>3</v>
      </c>
      <c r="L69" s="110" t="s">
        <v>1932</v>
      </c>
      <c r="M69" s="32" t="str">
        <f t="shared" ref="M69" si="94">IF(D69="危险化学品","五双",IF(D69="标准物资","严控",IF(D69&lt;&gt;"","常规","")))</f>
        <v>常规</v>
      </c>
      <c r="N69" s="15"/>
      <c r="O69" s="137" t="s">
        <v>2273</v>
      </c>
      <c r="P69" s="15"/>
      <c r="Q69" s="15"/>
      <c r="R69" s="15"/>
      <c r="S69" s="15"/>
      <c r="T69" s="110"/>
      <c r="U69" s="32" t="str">
        <f t="shared" ref="U69" si="95">IF(L69="","",L69)</f>
        <v>根</v>
      </c>
      <c r="V69" s="15"/>
      <c r="W69" s="15"/>
      <c r="X69" s="32">
        <f t="shared" ref="X69" si="96">IF((K69-T69)&lt;=0,"",K69-T69)</f>
        <v>3</v>
      </c>
      <c r="Y69" s="32" t="str">
        <f t="shared" ref="Y69" si="97">IF(L69="","",L69)</f>
        <v>根</v>
      </c>
      <c r="Z69" s="15"/>
      <c r="AA69" s="15"/>
      <c r="AB69" s="15"/>
    </row>
    <row r="70" spans="1:28" s="46" customFormat="1" ht="19.899999999999999" customHeight="1" x14ac:dyDescent="0.15">
      <c r="A70" s="34">
        <v>66</v>
      </c>
      <c r="B70" s="111" t="s">
        <v>1756</v>
      </c>
      <c r="C70" s="29" t="s">
        <v>135</v>
      </c>
      <c r="D70" s="32" t="str">
        <f t="shared" ref="D70:D128" si="98">IF(C70="J1","常规化学品",IF(C70="J2","危险化学品",IF(C70="J3","标准物质",IF(C70="J4","玻璃仪器",IF(C70="J5","实验气体",IF(C70="J6","专用物耗",IF(C70="J7","备品配件",IF(C70="J8","专用工具",IF(C70="Z1","劳保物资",IF(C70="Z2","办公耗材",IF(C70="Z3","食品饮料",IF(C70="Z4","特殊物耗",IF(C70="Z5","通用物耗",IF(C70="Z6","通用工具",""))))))))))))))</f>
        <v>备品配件</v>
      </c>
      <c r="E70" s="15"/>
      <c r="F70" s="109">
        <v>23033035</v>
      </c>
      <c r="G70" s="109"/>
      <c r="H70" s="15"/>
      <c r="I70" s="15"/>
      <c r="J70" s="29" t="s">
        <v>1608</v>
      </c>
      <c r="K70" s="110">
        <v>3</v>
      </c>
      <c r="L70" s="110" t="s">
        <v>1932</v>
      </c>
      <c r="M70" s="32" t="str">
        <f t="shared" ref="M70:M128" si="99">IF(D70="危险化学品","五双",IF(D70="标准物资","严控",IF(D70&lt;&gt;"","常规","")))</f>
        <v>常规</v>
      </c>
      <c r="N70" s="15"/>
      <c r="O70" s="137" t="s">
        <v>2273</v>
      </c>
      <c r="P70" s="15"/>
      <c r="Q70" s="15"/>
      <c r="R70" s="15"/>
      <c r="S70" s="15"/>
      <c r="T70" s="110"/>
      <c r="U70" s="32" t="str">
        <f t="shared" ref="U70:U128" si="100">IF(L70="","",L70)</f>
        <v>根</v>
      </c>
      <c r="V70" s="15"/>
      <c r="W70" s="15"/>
      <c r="X70" s="32">
        <f t="shared" ref="X70:X128" si="101">IF((K70-T70)&lt;=0,"",K70-T70)</f>
        <v>3</v>
      </c>
      <c r="Y70" s="32" t="str">
        <f t="shared" ref="Y70:Y128" si="102">IF(L70="","",L70)</f>
        <v>根</v>
      </c>
      <c r="Z70" s="15"/>
      <c r="AA70" s="15"/>
      <c r="AB70" s="15"/>
    </row>
    <row r="71" spans="1:28" s="46" customFormat="1" ht="19.899999999999999" customHeight="1" x14ac:dyDescent="0.15">
      <c r="A71" s="34">
        <v>67</v>
      </c>
      <c r="B71" s="111" t="s">
        <v>1757</v>
      </c>
      <c r="C71" s="29" t="s">
        <v>135</v>
      </c>
      <c r="D71" s="32" t="str">
        <f t="shared" si="98"/>
        <v>备品配件</v>
      </c>
      <c r="E71" s="15"/>
      <c r="F71" s="109">
        <v>2060920</v>
      </c>
      <c r="G71" s="109"/>
      <c r="H71" s="15"/>
      <c r="I71" s="15"/>
      <c r="J71" s="29" t="s">
        <v>1608</v>
      </c>
      <c r="K71" s="110">
        <v>1</v>
      </c>
      <c r="L71" s="110" t="s">
        <v>1932</v>
      </c>
      <c r="M71" s="32" t="str">
        <f t="shared" si="99"/>
        <v>常规</v>
      </c>
      <c r="N71" s="15"/>
      <c r="O71" s="137" t="s">
        <v>2273</v>
      </c>
      <c r="P71" s="15"/>
      <c r="Q71" s="15"/>
      <c r="R71" s="15"/>
      <c r="S71" s="15"/>
      <c r="T71" s="110"/>
      <c r="U71" s="32" t="str">
        <f t="shared" si="100"/>
        <v>根</v>
      </c>
      <c r="V71" s="15"/>
      <c r="W71" s="15"/>
      <c r="X71" s="32">
        <f t="shared" si="101"/>
        <v>1</v>
      </c>
      <c r="Y71" s="32" t="str">
        <f t="shared" si="102"/>
        <v>根</v>
      </c>
      <c r="Z71" s="15"/>
      <c r="AA71" s="15"/>
      <c r="AB71" s="15"/>
    </row>
    <row r="72" spans="1:28" s="46" customFormat="1" ht="19.899999999999999" customHeight="1" x14ac:dyDescent="0.15">
      <c r="A72" s="34">
        <v>68</v>
      </c>
      <c r="B72" s="98" t="s">
        <v>1683</v>
      </c>
      <c r="C72" s="29" t="s">
        <v>135</v>
      </c>
      <c r="D72" s="32" t="str">
        <f t="shared" si="98"/>
        <v>备品配件</v>
      </c>
      <c r="E72" s="15"/>
      <c r="F72" s="98" t="s">
        <v>1822</v>
      </c>
      <c r="G72" s="109"/>
      <c r="H72" s="15"/>
      <c r="I72" s="15"/>
      <c r="J72" s="29" t="s">
        <v>1608</v>
      </c>
      <c r="K72" s="110">
        <v>4</v>
      </c>
      <c r="L72" s="110" t="s">
        <v>1932</v>
      </c>
      <c r="M72" s="32" t="str">
        <f t="shared" si="99"/>
        <v>常规</v>
      </c>
      <c r="N72" s="15"/>
      <c r="O72" s="137" t="s">
        <v>2273</v>
      </c>
      <c r="P72" s="15"/>
      <c r="Q72" s="15"/>
      <c r="R72" s="15"/>
      <c r="S72" s="15"/>
      <c r="T72" s="110"/>
      <c r="U72" s="32" t="str">
        <f t="shared" si="100"/>
        <v>根</v>
      </c>
      <c r="V72" s="15"/>
      <c r="W72" s="15"/>
      <c r="X72" s="32">
        <f t="shared" si="101"/>
        <v>4</v>
      </c>
      <c r="Y72" s="32" t="str">
        <f t="shared" si="102"/>
        <v>根</v>
      </c>
      <c r="Z72" s="15"/>
      <c r="AA72" s="15"/>
      <c r="AB72" s="15"/>
    </row>
    <row r="73" spans="1:28" s="46" customFormat="1" ht="19.899999999999999" customHeight="1" x14ac:dyDescent="0.15">
      <c r="A73" s="34">
        <v>69</v>
      </c>
      <c r="B73" s="98" t="s">
        <v>1684</v>
      </c>
      <c r="C73" s="29" t="s">
        <v>135</v>
      </c>
      <c r="D73" s="32" t="str">
        <f t="shared" si="98"/>
        <v>备品配件</v>
      </c>
      <c r="E73" s="15"/>
      <c r="F73" s="109"/>
      <c r="G73" s="109"/>
      <c r="H73" s="15"/>
      <c r="I73" s="15"/>
      <c r="J73" s="29" t="s">
        <v>1608</v>
      </c>
      <c r="K73" s="113">
        <v>9</v>
      </c>
      <c r="L73" s="110" t="s">
        <v>1932</v>
      </c>
      <c r="M73" s="32" t="str">
        <f t="shared" si="99"/>
        <v>常规</v>
      </c>
      <c r="N73" s="15"/>
      <c r="O73" s="137" t="s">
        <v>2273</v>
      </c>
      <c r="P73" s="15"/>
      <c r="Q73" s="15"/>
      <c r="R73" s="15"/>
      <c r="S73" s="15"/>
      <c r="T73" s="110"/>
      <c r="U73" s="32" t="str">
        <f t="shared" si="100"/>
        <v>根</v>
      </c>
      <c r="V73" s="15"/>
      <c r="W73" s="15"/>
      <c r="X73" s="32">
        <f t="shared" si="101"/>
        <v>9</v>
      </c>
      <c r="Y73" s="32" t="str">
        <f t="shared" si="102"/>
        <v>根</v>
      </c>
      <c r="Z73" s="15"/>
      <c r="AA73" s="15"/>
      <c r="AB73" s="15"/>
    </row>
    <row r="74" spans="1:28" s="46" customFormat="1" ht="19.899999999999999" customHeight="1" x14ac:dyDescent="0.15">
      <c r="A74" s="34">
        <v>70</v>
      </c>
      <c r="B74" s="98" t="s">
        <v>1758</v>
      </c>
      <c r="C74" s="29" t="s">
        <v>135</v>
      </c>
      <c r="D74" s="32" t="str">
        <f t="shared" si="98"/>
        <v>备品配件</v>
      </c>
      <c r="E74" s="15"/>
      <c r="F74" s="109"/>
      <c r="G74" s="98" t="s">
        <v>1905</v>
      </c>
      <c r="H74" s="15"/>
      <c r="I74" s="15"/>
      <c r="J74" s="29" t="s">
        <v>1608</v>
      </c>
      <c r="K74" s="110">
        <v>2</v>
      </c>
      <c r="L74" s="110" t="s">
        <v>1935</v>
      </c>
      <c r="M74" s="32" t="str">
        <f t="shared" si="99"/>
        <v>常规</v>
      </c>
      <c r="N74" s="15"/>
      <c r="O74" s="137" t="s">
        <v>2273</v>
      </c>
      <c r="P74" s="15"/>
      <c r="Q74" s="15"/>
      <c r="R74" s="15"/>
      <c r="S74" s="15"/>
      <c r="T74" s="110"/>
      <c r="U74" s="32" t="str">
        <f t="shared" si="100"/>
        <v>只</v>
      </c>
      <c r="V74" s="15"/>
      <c r="W74" s="15"/>
      <c r="X74" s="32">
        <f t="shared" si="101"/>
        <v>2</v>
      </c>
      <c r="Y74" s="32" t="str">
        <f t="shared" si="102"/>
        <v>只</v>
      </c>
      <c r="Z74" s="15"/>
      <c r="AA74" s="15"/>
      <c r="AB74" s="15"/>
    </row>
    <row r="75" spans="1:28" s="46" customFormat="1" ht="19.899999999999999" customHeight="1" x14ac:dyDescent="0.15">
      <c r="A75" s="34">
        <v>71</v>
      </c>
      <c r="B75" s="109" t="s">
        <v>1759</v>
      </c>
      <c r="C75" s="29" t="s">
        <v>135</v>
      </c>
      <c r="D75" s="32" t="str">
        <f t="shared" si="98"/>
        <v>备品配件</v>
      </c>
      <c r="E75" s="15"/>
      <c r="F75" s="109"/>
      <c r="G75" s="109"/>
      <c r="H75" s="15"/>
      <c r="I75" s="15"/>
      <c r="J75" s="29" t="s">
        <v>1608</v>
      </c>
      <c r="K75" s="110">
        <v>2</v>
      </c>
      <c r="L75" s="110" t="s">
        <v>1935</v>
      </c>
      <c r="M75" s="32" t="str">
        <f t="shared" si="99"/>
        <v>常规</v>
      </c>
      <c r="N75" s="15"/>
      <c r="O75" s="137" t="s">
        <v>2273</v>
      </c>
      <c r="P75" s="15"/>
      <c r="Q75" s="15"/>
      <c r="R75" s="15"/>
      <c r="S75" s="15"/>
      <c r="T75" s="110"/>
      <c r="U75" s="32" t="str">
        <f t="shared" si="100"/>
        <v>只</v>
      </c>
      <c r="V75" s="15"/>
      <c r="W75" s="15"/>
      <c r="X75" s="32">
        <f t="shared" si="101"/>
        <v>2</v>
      </c>
      <c r="Y75" s="32" t="str">
        <f t="shared" si="102"/>
        <v>只</v>
      </c>
      <c r="Z75" s="15"/>
      <c r="AA75" s="15"/>
      <c r="AB75" s="15"/>
    </row>
    <row r="76" spans="1:28" s="46" customFormat="1" ht="19.899999999999999" customHeight="1" x14ac:dyDescent="0.15">
      <c r="A76" s="34">
        <v>72</v>
      </c>
      <c r="B76" s="109" t="s">
        <v>1760</v>
      </c>
      <c r="C76" s="29" t="s">
        <v>135</v>
      </c>
      <c r="D76" s="32" t="str">
        <f t="shared" si="98"/>
        <v>备品配件</v>
      </c>
      <c r="E76" s="15"/>
      <c r="F76" s="109"/>
      <c r="G76" s="109"/>
      <c r="H76" s="15"/>
      <c r="I76" s="15"/>
      <c r="J76" s="29" t="s">
        <v>1608</v>
      </c>
      <c r="K76" s="110">
        <v>1</v>
      </c>
      <c r="L76" s="110" t="s">
        <v>1936</v>
      </c>
      <c r="M76" s="32" t="str">
        <f t="shared" si="99"/>
        <v>常规</v>
      </c>
      <c r="N76" s="15"/>
      <c r="O76" s="137" t="s">
        <v>2273</v>
      </c>
      <c r="P76" s="15"/>
      <c r="Q76" s="15"/>
      <c r="R76" s="15"/>
      <c r="S76" s="15"/>
      <c r="T76" s="110"/>
      <c r="U76" s="32" t="str">
        <f t="shared" si="100"/>
        <v>支</v>
      </c>
      <c r="V76" s="15"/>
      <c r="W76" s="15"/>
      <c r="X76" s="32">
        <f t="shared" si="101"/>
        <v>1</v>
      </c>
      <c r="Y76" s="32" t="str">
        <f t="shared" si="102"/>
        <v>支</v>
      </c>
      <c r="Z76" s="15"/>
      <c r="AA76" s="15"/>
      <c r="AB76" s="15"/>
    </row>
    <row r="77" spans="1:28" s="46" customFormat="1" ht="19.899999999999999" customHeight="1" x14ac:dyDescent="0.15">
      <c r="A77" s="34">
        <v>73</v>
      </c>
      <c r="B77" s="109" t="s">
        <v>1761</v>
      </c>
      <c r="C77" s="29" t="s">
        <v>135</v>
      </c>
      <c r="D77" s="32" t="str">
        <f t="shared" si="98"/>
        <v>备品配件</v>
      </c>
      <c r="E77" s="15"/>
      <c r="F77" s="109"/>
      <c r="G77" s="109"/>
      <c r="H77" s="15"/>
      <c r="I77" s="15"/>
      <c r="J77" s="29" t="s">
        <v>1608</v>
      </c>
      <c r="K77" s="110">
        <v>2</v>
      </c>
      <c r="L77" s="110" t="s">
        <v>1935</v>
      </c>
      <c r="M77" s="32" t="str">
        <f t="shared" si="99"/>
        <v>常规</v>
      </c>
      <c r="N77" s="15"/>
      <c r="O77" s="137" t="s">
        <v>2273</v>
      </c>
      <c r="P77" s="15"/>
      <c r="Q77" s="15"/>
      <c r="R77" s="15"/>
      <c r="S77" s="15"/>
      <c r="T77" s="110"/>
      <c r="U77" s="32" t="str">
        <f t="shared" si="100"/>
        <v>只</v>
      </c>
      <c r="V77" s="15"/>
      <c r="W77" s="15"/>
      <c r="X77" s="32">
        <f t="shared" si="101"/>
        <v>2</v>
      </c>
      <c r="Y77" s="32" t="str">
        <f t="shared" si="102"/>
        <v>只</v>
      </c>
      <c r="Z77" s="15"/>
      <c r="AA77" s="15"/>
      <c r="AB77" s="15"/>
    </row>
    <row r="78" spans="1:28" s="46" customFormat="1" ht="19.899999999999999" customHeight="1" x14ac:dyDescent="0.15">
      <c r="A78" s="34">
        <v>74</v>
      </c>
      <c r="B78" s="109" t="s">
        <v>1762</v>
      </c>
      <c r="C78" s="29" t="s">
        <v>135</v>
      </c>
      <c r="D78" s="32" t="str">
        <f t="shared" si="98"/>
        <v>备品配件</v>
      </c>
      <c r="E78" s="15"/>
      <c r="F78" s="109"/>
      <c r="G78" s="109"/>
      <c r="H78" s="15"/>
      <c r="I78" s="15"/>
      <c r="J78" s="29" t="s">
        <v>1608</v>
      </c>
      <c r="K78" s="110">
        <v>1</v>
      </c>
      <c r="L78" s="110" t="s">
        <v>1937</v>
      </c>
      <c r="M78" s="32" t="str">
        <f t="shared" si="99"/>
        <v>常规</v>
      </c>
      <c r="N78" s="15"/>
      <c r="O78" s="137" t="s">
        <v>2273</v>
      </c>
      <c r="P78" s="15"/>
      <c r="Q78" s="15"/>
      <c r="R78" s="15"/>
      <c r="S78" s="15"/>
      <c r="T78" s="110"/>
      <c r="U78" s="32" t="str">
        <f t="shared" si="100"/>
        <v>根</v>
      </c>
      <c r="V78" s="15"/>
      <c r="W78" s="15"/>
      <c r="X78" s="32">
        <f t="shared" si="101"/>
        <v>1</v>
      </c>
      <c r="Y78" s="32" t="str">
        <f t="shared" si="102"/>
        <v>根</v>
      </c>
      <c r="Z78" s="15"/>
      <c r="AA78" s="15"/>
      <c r="AB78" s="15"/>
    </row>
    <row r="79" spans="1:28" s="46" customFormat="1" ht="19.899999999999999" customHeight="1" x14ac:dyDescent="0.15">
      <c r="A79" s="34">
        <v>75</v>
      </c>
      <c r="B79" s="109" t="s">
        <v>1685</v>
      </c>
      <c r="C79" s="29" t="s">
        <v>135</v>
      </c>
      <c r="D79" s="32" t="str">
        <f t="shared" si="98"/>
        <v>备品配件</v>
      </c>
      <c r="E79" s="15"/>
      <c r="F79" s="109"/>
      <c r="G79" s="109"/>
      <c r="H79" s="15"/>
      <c r="I79" s="15"/>
      <c r="J79" s="29" t="s">
        <v>1608</v>
      </c>
      <c r="K79" s="110">
        <v>8</v>
      </c>
      <c r="L79" s="110" t="s">
        <v>134</v>
      </c>
      <c r="M79" s="32" t="str">
        <f t="shared" si="99"/>
        <v>常规</v>
      </c>
      <c r="N79" s="15"/>
      <c r="O79" s="137" t="s">
        <v>2273</v>
      </c>
      <c r="P79" s="15"/>
      <c r="Q79" s="15"/>
      <c r="R79" s="15"/>
      <c r="S79" s="15"/>
      <c r="T79" s="110"/>
      <c r="U79" s="32" t="str">
        <f t="shared" si="100"/>
        <v>个</v>
      </c>
      <c r="V79" s="15"/>
      <c r="W79" s="15"/>
      <c r="X79" s="32">
        <f t="shared" si="101"/>
        <v>8</v>
      </c>
      <c r="Y79" s="32" t="str">
        <f t="shared" si="102"/>
        <v>个</v>
      </c>
      <c r="Z79" s="15"/>
      <c r="AA79" s="15"/>
      <c r="AB79" s="15"/>
    </row>
    <row r="80" spans="1:28" s="46" customFormat="1" ht="19.899999999999999" customHeight="1" x14ac:dyDescent="0.15">
      <c r="A80" s="34">
        <v>76</v>
      </c>
      <c r="B80" s="109" t="s">
        <v>1686</v>
      </c>
      <c r="C80" s="29" t="s">
        <v>135</v>
      </c>
      <c r="D80" s="32" t="str">
        <f t="shared" si="98"/>
        <v>备品配件</v>
      </c>
      <c r="E80" s="15"/>
      <c r="F80" s="109"/>
      <c r="G80" s="109"/>
      <c r="H80" s="15"/>
      <c r="I80" s="15"/>
      <c r="J80" s="29" t="s">
        <v>1608</v>
      </c>
      <c r="K80" s="110">
        <v>8</v>
      </c>
      <c r="L80" s="110" t="s">
        <v>134</v>
      </c>
      <c r="M80" s="32" t="str">
        <f t="shared" si="99"/>
        <v>常规</v>
      </c>
      <c r="N80" s="15"/>
      <c r="O80" s="137" t="s">
        <v>2273</v>
      </c>
      <c r="P80" s="15"/>
      <c r="Q80" s="15"/>
      <c r="R80" s="15"/>
      <c r="S80" s="15"/>
      <c r="T80" s="110"/>
      <c r="U80" s="32" t="str">
        <f t="shared" si="100"/>
        <v>个</v>
      </c>
      <c r="V80" s="15"/>
      <c r="W80" s="15"/>
      <c r="X80" s="32">
        <f t="shared" si="101"/>
        <v>8</v>
      </c>
      <c r="Y80" s="32" t="str">
        <f t="shared" si="102"/>
        <v>个</v>
      </c>
      <c r="Z80" s="15"/>
      <c r="AA80" s="15"/>
      <c r="AB80" s="15"/>
    </row>
    <row r="81" spans="1:28" s="46" customFormat="1" ht="19.899999999999999" customHeight="1" x14ac:dyDescent="0.15">
      <c r="A81" s="34">
        <v>77</v>
      </c>
      <c r="B81" s="98" t="s">
        <v>1687</v>
      </c>
      <c r="C81" s="29" t="s">
        <v>135</v>
      </c>
      <c r="D81" s="32" t="str">
        <f t="shared" si="98"/>
        <v>备品配件</v>
      </c>
      <c r="E81" s="15"/>
      <c r="F81" s="109"/>
      <c r="G81" s="109"/>
      <c r="H81" s="15"/>
      <c r="I81" s="15"/>
      <c r="J81" s="29" t="s">
        <v>1608</v>
      </c>
      <c r="K81" s="110">
        <v>1</v>
      </c>
      <c r="L81" s="110" t="s">
        <v>1937</v>
      </c>
      <c r="M81" s="32" t="str">
        <f t="shared" si="99"/>
        <v>常规</v>
      </c>
      <c r="N81" s="15"/>
      <c r="O81" s="137" t="s">
        <v>2273</v>
      </c>
      <c r="P81" s="15"/>
      <c r="Q81" s="15"/>
      <c r="R81" s="15"/>
      <c r="S81" s="15"/>
      <c r="T81" s="110"/>
      <c r="U81" s="32" t="str">
        <f t="shared" si="100"/>
        <v>根</v>
      </c>
      <c r="V81" s="15"/>
      <c r="W81" s="15"/>
      <c r="X81" s="32">
        <f t="shared" si="101"/>
        <v>1</v>
      </c>
      <c r="Y81" s="32" t="str">
        <f t="shared" si="102"/>
        <v>根</v>
      </c>
      <c r="Z81" s="15"/>
      <c r="AA81" s="15"/>
      <c r="AB81" s="15"/>
    </row>
    <row r="82" spans="1:28" s="46" customFormat="1" ht="19.899999999999999" customHeight="1" x14ac:dyDescent="0.15">
      <c r="A82" s="34">
        <v>78</v>
      </c>
      <c r="B82" s="112" t="s">
        <v>1688</v>
      </c>
      <c r="C82" s="29" t="s">
        <v>135</v>
      </c>
      <c r="D82" s="32" t="str">
        <f t="shared" si="98"/>
        <v>备品配件</v>
      </c>
      <c r="E82" s="15"/>
      <c r="F82" s="109"/>
      <c r="G82" s="109"/>
      <c r="H82" s="15"/>
      <c r="I82" s="15"/>
      <c r="J82" s="29" t="s">
        <v>1608</v>
      </c>
      <c r="K82" s="110">
        <v>1</v>
      </c>
      <c r="L82" s="110" t="s">
        <v>1933</v>
      </c>
      <c r="M82" s="32" t="str">
        <f t="shared" si="99"/>
        <v>常规</v>
      </c>
      <c r="N82" s="15"/>
      <c r="O82" s="137" t="s">
        <v>2273</v>
      </c>
      <c r="P82" s="15"/>
      <c r="Q82" s="15"/>
      <c r="R82" s="15"/>
      <c r="S82" s="15"/>
      <c r="T82" s="110"/>
      <c r="U82" s="32" t="str">
        <f t="shared" si="100"/>
        <v>套</v>
      </c>
      <c r="V82" s="15"/>
      <c r="W82" s="15"/>
      <c r="X82" s="32">
        <f t="shared" si="101"/>
        <v>1</v>
      </c>
      <c r="Y82" s="32" t="str">
        <f t="shared" si="102"/>
        <v>套</v>
      </c>
      <c r="Z82" s="15"/>
      <c r="AA82" s="15"/>
      <c r="AB82" s="15"/>
    </row>
    <row r="83" spans="1:28" s="46" customFormat="1" ht="19.899999999999999" customHeight="1" x14ac:dyDescent="0.15">
      <c r="A83" s="34">
        <v>79</v>
      </c>
      <c r="B83" s="109" t="s">
        <v>1689</v>
      </c>
      <c r="C83" s="29" t="s">
        <v>135</v>
      </c>
      <c r="D83" s="32" t="str">
        <f t="shared" si="98"/>
        <v>备品配件</v>
      </c>
      <c r="E83" s="15"/>
      <c r="F83" s="109" t="s">
        <v>1823</v>
      </c>
      <c r="G83" s="117"/>
      <c r="H83" s="15"/>
      <c r="I83" s="15"/>
      <c r="J83" s="29" t="s">
        <v>1608</v>
      </c>
      <c r="K83" s="110">
        <v>3</v>
      </c>
      <c r="L83" s="110" t="s">
        <v>134</v>
      </c>
      <c r="M83" s="32" t="str">
        <f t="shared" si="99"/>
        <v>常规</v>
      </c>
      <c r="N83" s="15"/>
      <c r="O83" s="137" t="s">
        <v>2273</v>
      </c>
      <c r="P83" s="15"/>
      <c r="Q83" s="15"/>
      <c r="R83" s="15"/>
      <c r="S83" s="15"/>
      <c r="T83" s="110"/>
      <c r="U83" s="32" t="str">
        <f t="shared" si="100"/>
        <v>个</v>
      </c>
      <c r="V83" s="15"/>
      <c r="W83" s="15"/>
      <c r="X83" s="32">
        <f t="shared" si="101"/>
        <v>3</v>
      </c>
      <c r="Y83" s="32" t="str">
        <f t="shared" si="102"/>
        <v>个</v>
      </c>
      <c r="Z83" s="15"/>
      <c r="AA83" s="15"/>
      <c r="AB83" s="15"/>
    </row>
    <row r="84" spans="1:28" s="46" customFormat="1" ht="19.899999999999999" customHeight="1" x14ac:dyDescent="0.15">
      <c r="A84" s="34">
        <v>80</v>
      </c>
      <c r="B84" s="109" t="s">
        <v>1763</v>
      </c>
      <c r="C84" s="29" t="s">
        <v>135</v>
      </c>
      <c r="D84" s="32" t="str">
        <f t="shared" si="98"/>
        <v>备品配件</v>
      </c>
      <c r="E84" s="15"/>
      <c r="F84" s="109" t="s">
        <v>1824</v>
      </c>
      <c r="G84" s="117"/>
      <c r="H84" s="15"/>
      <c r="I84" s="15"/>
      <c r="J84" s="29" t="s">
        <v>1608</v>
      </c>
      <c r="K84" s="110">
        <v>5</v>
      </c>
      <c r="L84" s="110" t="s">
        <v>134</v>
      </c>
      <c r="M84" s="32" t="str">
        <f t="shared" si="99"/>
        <v>常规</v>
      </c>
      <c r="N84" s="15"/>
      <c r="O84" s="137" t="s">
        <v>2273</v>
      </c>
      <c r="P84" s="15"/>
      <c r="Q84" s="15"/>
      <c r="R84" s="15"/>
      <c r="S84" s="15"/>
      <c r="T84" s="110"/>
      <c r="U84" s="32" t="str">
        <f t="shared" si="100"/>
        <v>个</v>
      </c>
      <c r="V84" s="15"/>
      <c r="W84" s="15"/>
      <c r="X84" s="32">
        <f t="shared" si="101"/>
        <v>5</v>
      </c>
      <c r="Y84" s="32" t="str">
        <f t="shared" si="102"/>
        <v>个</v>
      </c>
      <c r="Z84" s="15"/>
      <c r="AA84" s="15"/>
      <c r="AB84" s="15"/>
    </row>
    <row r="85" spans="1:28" s="46" customFormat="1" ht="19.899999999999999" customHeight="1" x14ac:dyDescent="0.15">
      <c r="A85" s="34">
        <v>81</v>
      </c>
      <c r="B85" s="112" t="s">
        <v>1764</v>
      </c>
      <c r="C85" s="29" t="s">
        <v>135</v>
      </c>
      <c r="D85" s="32" t="str">
        <f t="shared" si="98"/>
        <v>备品配件</v>
      </c>
      <c r="E85" s="15"/>
      <c r="F85" s="120" t="s">
        <v>1825</v>
      </c>
      <c r="G85" s="109"/>
      <c r="H85" s="15"/>
      <c r="I85" s="15"/>
      <c r="J85" s="29" t="s">
        <v>1608</v>
      </c>
      <c r="K85" s="110">
        <v>1</v>
      </c>
      <c r="L85" s="110" t="s">
        <v>134</v>
      </c>
      <c r="M85" s="32" t="str">
        <f t="shared" si="99"/>
        <v>常规</v>
      </c>
      <c r="N85" s="15"/>
      <c r="O85" s="137" t="s">
        <v>2273</v>
      </c>
      <c r="P85" s="15"/>
      <c r="Q85" s="15"/>
      <c r="R85" s="15"/>
      <c r="S85" s="15"/>
      <c r="T85" s="110"/>
      <c r="U85" s="32" t="str">
        <f t="shared" si="100"/>
        <v>个</v>
      </c>
      <c r="V85" s="15"/>
      <c r="W85" s="15"/>
      <c r="X85" s="32">
        <f t="shared" si="101"/>
        <v>1</v>
      </c>
      <c r="Y85" s="32" t="str">
        <f t="shared" si="102"/>
        <v>个</v>
      </c>
      <c r="Z85" s="15"/>
      <c r="AA85" s="15"/>
      <c r="AB85" s="15"/>
    </row>
    <row r="86" spans="1:28" s="46" customFormat="1" ht="19.899999999999999" customHeight="1" x14ac:dyDescent="0.15">
      <c r="A86" s="34">
        <v>82</v>
      </c>
      <c r="B86" s="112" t="s">
        <v>1690</v>
      </c>
      <c r="C86" s="29" t="s">
        <v>135</v>
      </c>
      <c r="D86" s="32" t="str">
        <f t="shared" si="98"/>
        <v>备品配件</v>
      </c>
      <c r="E86" s="15"/>
      <c r="F86" s="98">
        <v>188320</v>
      </c>
      <c r="G86" s="109"/>
      <c r="H86" s="15"/>
      <c r="I86" s="15"/>
      <c r="J86" s="29" t="s">
        <v>1608</v>
      </c>
      <c r="K86" s="110">
        <v>2</v>
      </c>
      <c r="L86" s="110" t="s">
        <v>134</v>
      </c>
      <c r="M86" s="32" t="str">
        <f t="shared" si="99"/>
        <v>常规</v>
      </c>
      <c r="N86" s="15"/>
      <c r="O86" s="137" t="s">
        <v>2273</v>
      </c>
      <c r="P86" s="15"/>
      <c r="Q86" s="15"/>
      <c r="R86" s="15"/>
      <c r="S86" s="15"/>
      <c r="T86" s="110"/>
      <c r="U86" s="32" t="str">
        <f t="shared" si="100"/>
        <v>个</v>
      </c>
      <c r="V86" s="15"/>
      <c r="W86" s="15"/>
      <c r="X86" s="32">
        <f t="shared" si="101"/>
        <v>2</v>
      </c>
      <c r="Y86" s="32" t="str">
        <f t="shared" si="102"/>
        <v>个</v>
      </c>
      <c r="Z86" s="15"/>
      <c r="AA86" s="15"/>
      <c r="AB86" s="15"/>
    </row>
    <row r="87" spans="1:28" s="46" customFormat="1" ht="19.899999999999999" customHeight="1" x14ac:dyDescent="0.15">
      <c r="A87" s="34">
        <v>83</v>
      </c>
      <c r="B87" s="98" t="s">
        <v>1691</v>
      </c>
      <c r="C87" s="29" t="s">
        <v>135</v>
      </c>
      <c r="D87" s="32" t="str">
        <f t="shared" si="98"/>
        <v>备品配件</v>
      </c>
      <c r="E87" s="15"/>
      <c r="F87" s="109"/>
      <c r="G87" s="109"/>
      <c r="H87" s="15"/>
      <c r="I87" s="15"/>
      <c r="J87" s="29" t="s">
        <v>1608</v>
      </c>
      <c r="K87" s="110">
        <v>1</v>
      </c>
      <c r="L87" s="110" t="s">
        <v>1932</v>
      </c>
      <c r="M87" s="32" t="str">
        <f t="shared" si="99"/>
        <v>常规</v>
      </c>
      <c r="N87" s="15"/>
      <c r="O87" s="137" t="s">
        <v>2273</v>
      </c>
      <c r="P87" s="15"/>
      <c r="Q87" s="15"/>
      <c r="R87" s="15"/>
      <c r="S87" s="15"/>
      <c r="T87" s="110"/>
      <c r="U87" s="32" t="str">
        <f t="shared" si="100"/>
        <v>根</v>
      </c>
      <c r="V87" s="15"/>
      <c r="W87" s="15"/>
      <c r="X87" s="32">
        <f t="shared" si="101"/>
        <v>1</v>
      </c>
      <c r="Y87" s="32" t="str">
        <f t="shared" si="102"/>
        <v>根</v>
      </c>
      <c r="Z87" s="15"/>
      <c r="AA87" s="15"/>
      <c r="AB87" s="15"/>
    </row>
    <row r="88" spans="1:28" s="46" customFormat="1" ht="19.899999999999999" customHeight="1" x14ac:dyDescent="0.15">
      <c r="A88" s="34">
        <v>84</v>
      </c>
      <c r="B88" s="98" t="s">
        <v>1692</v>
      </c>
      <c r="C88" s="29" t="s">
        <v>135</v>
      </c>
      <c r="D88" s="32" t="str">
        <f t="shared" si="98"/>
        <v>备品配件</v>
      </c>
      <c r="E88" s="15"/>
      <c r="F88" s="109"/>
      <c r="G88" s="98" t="s">
        <v>1906</v>
      </c>
      <c r="H88" s="15"/>
      <c r="I88" s="15"/>
      <c r="J88" s="29" t="s">
        <v>1608</v>
      </c>
      <c r="K88" s="110">
        <v>1</v>
      </c>
      <c r="L88" s="110" t="s">
        <v>1932</v>
      </c>
      <c r="M88" s="32" t="str">
        <f t="shared" si="99"/>
        <v>常规</v>
      </c>
      <c r="N88" s="15"/>
      <c r="O88" s="137" t="s">
        <v>2273</v>
      </c>
      <c r="P88" s="15"/>
      <c r="Q88" s="15"/>
      <c r="R88" s="15"/>
      <c r="S88" s="15"/>
      <c r="T88" s="110"/>
      <c r="U88" s="32" t="str">
        <f t="shared" si="100"/>
        <v>根</v>
      </c>
      <c r="V88" s="15"/>
      <c r="W88" s="15"/>
      <c r="X88" s="32">
        <f t="shared" si="101"/>
        <v>1</v>
      </c>
      <c r="Y88" s="32" t="str">
        <f t="shared" si="102"/>
        <v>根</v>
      </c>
      <c r="Z88" s="15"/>
      <c r="AA88" s="15"/>
      <c r="AB88" s="15"/>
    </row>
    <row r="89" spans="1:28" s="46" customFormat="1" ht="19.899999999999999" customHeight="1" x14ac:dyDescent="0.15">
      <c r="A89" s="34">
        <v>85</v>
      </c>
      <c r="B89" s="112" t="s">
        <v>1765</v>
      </c>
      <c r="C89" s="29" t="s">
        <v>135</v>
      </c>
      <c r="D89" s="32" t="str">
        <f t="shared" si="98"/>
        <v>备品配件</v>
      </c>
      <c r="E89" s="15"/>
      <c r="F89" s="109" t="s">
        <v>1826</v>
      </c>
      <c r="G89" s="109"/>
      <c r="H89" s="15"/>
      <c r="I89" s="15"/>
      <c r="J89" s="29" t="s">
        <v>1608</v>
      </c>
      <c r="K89" s="110">
        <v>1</v>
      </c>
      <c r="L89" s="110" t="s">
        <v>1932</v>
      </c>
      <c r="M89" s="32" t="str">
        <f t="shared" si="99"/>
        <v>常规</v>
      </c>
      <c r="N89" s="15"/>
      <c r="O89" s="137" t="s">
        <v>2273</v>
      </c>
      <c r="P89" s="15"/>
      <c r="Q89" s="15"/>
      <c r="R89" s="15"/>
      <c r="S89" s="15"/>
      <c r="T89" s="110"/>
      <c r="U89" s="32" t="str">
        <f t="shared" si="100"/>
        <v>根</v>
      </c>
      <c r="V89" s="15"/>
      <c r="W89" s="15"/>
      <c r="X89" s="32">
        <f t="shared" si="101"/>
        <v>1</v>
      </c>
      <c r="Y89" s="32" t="str">
        <f t="shared" si="102"/>
        <v>根</v>
      </c>
      <c r="Z89" s="15"/>
      <c r="AA89" s="15"/>
      <c r="AB89" s="15"/>
    </row>
    <row r="90" spans="1:28" s="46" customFormat="1" ht="19.899999999999999" customHeight="1" x14ac:dyDescent="0.15">
      <c r="A90" s="34">
        <v>86</v>
      </c>
      <c r="B90" s="112" t="s">
        <v>1693</v>
      </c>
      <c r="C90" s="29" t="s">
        <v>135</v>
      </c>
      <c r="D90" s="32" t="str">
        <f t="shared" si="98"/>
        <v>备品配件</v>
      </c>
      <c r="E90" s="15"/>
      <c r="F90" s="98"/>
      <c r="G90" s="98" t="s">
        <v>1907</v>
      </c>
      <c r="H90" s="15"/>
      <c r="I90" s="15"/>
      <c r="J90" s="29" t="s">
        <v>1608</v>
      </c>
      <c r="K90" s="110">
        <v>1</v>
      </c>
      <c r="L90" s="110" t="s">
        <v>1932</v>
      </c>
      <c r="M90" s="32" t="str">
        <f t="shared" si="99"/>
        <v>常规</v>
      </c>
      <c r="N90" s="15"/>
      <c r="O90" s="137" t="s">
        <v>2273</v>
      </c>
      <c r="P90" s="15"/>
      <c r="Q90" s="15"/>
      <c r="R90" s="15"/>
      <c r="S90" s="15"/>
      <c r="T90" s="110"/>
      <c r="U90" s="32" t="str">
        <f t="shared" si="100"/>
        <v>根</v>
      </c>
      <c r="V90" s="15"/>
      <c r="W90" s="15"/>
      <c r="X90" s="32">
        <f t="shared" si="101"/>
        <v>1</v>
      </c>
      <c r="Y90" s="32" t="str">
        <f t="shared" si="102"/>
        <v>根</v>
      </c>
      <c r="Z90" s="15"/>
      <c r="AA90" s="15"/>
      <c r="AB90" s="15"/>
    </row>
    <row r="91" spans="1:28" s="46" customFormat="1" ht="19.899999999999999" customHeight="1" x14ac:dyDescent="0.15">
      <c r="A91" s="34">
        <v>87</v>
      </c>
      <c r="B91" s="112" t="s">
        <v>1694</v>
      </c>
      <c r="C91" s="29" t="s">
        <v>135</v>
      </c>
      <c r="D91" s="32" t="str">
        <f t="shared" si="98"/>
        <v>备品配件</v>
      </c>
      <c r="E91" s="15"/>
      <c r="F91" s="98"/>
      <c r="G91" s="98" t="s">
        <v>1908</v>
      </c>
      <c r="H91" s="15"/>
      <c r="I91" s="15"/>
      <c r="J91" s="29" t="s">
        <v>1608</v>
      </c>
      <c r="K91" s="110">
        <v>2</v>
      </c>
      <c r="L91" s="110" t="s">
        <v>1932</v>
      </c>
      <c r="M91" s="32" t="str">
        <f t="shared" si="99"/>
        <v>常规</v>
      </c>
      <c r="N91" s="15"/>
      <c r="O91" s="137" t="s">
        <v>2273</v>
      </c>
      <c r="P91" s="15"/>
      <c r="Q91" s="15"/>
      <c r="R91" s="15"/>
      <c r="S91" s="15"/>
      <c r="T91" s="110"/>
      <c r="U91" s="32" t="str">
        <f t="shared" si="100"/>
        <v>根</v>
      </c>
      <c r="V91" s="15"/>
      <c r="W91" s="15"/>
      <c r="X91" s="32">
        <f t="shared" si="101"/>
        <v>2</v>
      </c>
      <c r="Y91" s="32" t="str">
        <f t="shared" si="102"/>
        <v>根</v>
      </c>
      <c r="Z91" s="15"/>
      <c r="AA91" s="15"/>
      <c r="AB91" s="15"/>
    </row>
    <row r="92" spans="1:28" s="46" customFormat="1" ht="19.899999999999999" customHeight="1" x14ac:dyDescent="0.15">
      <c r="A92" s="34">
        <v>88</v>
      </c>
      <c r="B92" s="112" t="s">
        <v>2147</v>
      </c>
      <c r="C92" s="29" t="s">
        <v>135</v>
      </c>
      <c r="D92" s="32" t="str">
        <f t="shared" si="98"/>
        <v>备品配件</v>
      </c>
      <c r="E92" s="15"/>
      <c r="F92" s="98"/>
      <c r="G92" s="98"/>
      <c r="H92" s="15"/>
      <c r="I92" s="15"/>
      <c r="J92" s="29" t="s">
        <v>1608</v>
      </c>
      <c r="K92" s="110">
        <v>1</v>
      </c>
      <c r="L92" s="110" t="s">
        <v>1933</v>
      </c>
      <c r="M92" s="32" t="str">
        <f t="shared" si="99"/>
        <v>常规</v>
      </c>
      <c r="N92" s="15"/>
      <c r="O92" s="137" t="s">
        <v>2273</v>
      </c>
      <c r="P92" s="15"/>
      <c r="Q92" s="15"/>
      <c r="R92" s="15"/>
      <c r="S92" s="15"/>
      <c r="T92" s="110"/>
      <c r="U92" s="32" t="str">
        <f t="shared" si="100"/>
        <v>套</v>
      </c>
      <c r="V92" s="15"/>
      <c r="W92" s="15"/>
      <c r="X92" s="32">
        <f t="shared" si="101"/>
        <v>1</v>
      </c>
      <c r="Y92" s="32" t="str">
        <f t="shared" si="102"/>
        <v>套</v>
      </c>
      <c r="Z92" s="15"/>
      <c r="AA92" s="15"/>
      <c r="AB92" s="15"/>
    </row>
    <row r="93" spans="1:28" s="46" customFormat="1" ht="19.899999999999999" customHeight="1" x14ac:dyDescent="0.15">
      <c r="A93" s="34">
        <v>89</v>
      </c>
      <c r="B93" s="98" t="s">
        <v>1695</v>
      </c>
      <c r="C93" s="29" t="s">
        <v>135</v>
      </c>
      <c r="D93" s="32" t="str">
        <f t="shared" si="98"/>
        <v>备品配件</v>
      </c>
      <c r="E93" s="15"/>
      <c r="F93" s="109"/>
      <c r="G93" s="109"/>
      <c r="H93" s="15"/>
      <c r="I93" s="15"/>
      <c r="J93" s="29" t="s">
        <v>1608</v>
      </c>
      <c r="K93" s="110">
        <v>1</v>
      </c>
      <c r="L93" s="110" t="s">
        <v>134</v>
      </c>
      <c r="M93" s="32" t="str">
        <f t="shared" si="99"/>
        <v>常规</v>
      </c>
      <c r="N93" s="15"/>
      <c r="O93" s="137" t="s">
        <v>2270</v>
      </c>
      <c r="P93" s="15"/>
      <c r="Q93" s="15"/>
      <c r="R93" s="15"/>
      <c r="S93" s="15"/>
      <c r="T93" s="110"/>
      <c r="U93" s="32" t="str">
        <f t="shared" si="100"/>
        <v>个</v>
      </c>
      <c r="V93" s="15"/>
      <c r="W93" s="15"/>
      <c r="X93" s="32">
        <f t="shared" si="101"/>
        <v>1</v>
      </c>
      <c r="Y93" s="32" t="str">
        <f t="shared" si="102"/>
        <v>个</v>
      </c>
      <c r="Z93" s="15"/>
      <c r="AA93" s="15"/>
      <c r="AB93" s="15"/>
    </row>
    <row r="94" spans="1:28" s="46" customFormat="1" ht="19.899999999999999" customHeight="1" x14ac:dyDescent="0.15">
      <c r="A94" s="34">
        <v>90</v>
      </c>
      <c r="B94" s="98" t="s">
        <v>1696</v>
      </c>
      <c r="C94" s="29" t="s">
        <v>135</v>
      </c>
      <c r="D94" s="32" t="str">
        <f t="shared" si="98"/>
        <v>备品配件</v>
      </c>
      <c r="E94" s="15"/>
      <c r="F94" s="109" t="s">
        <v>1827</v>
      </c>
      <c r="G94" s="109" t="s">
        <v>1909</v>
      </c>
      <c r="H94" s="15"/>
      <c r="I94" s="15"/>
      <c r="J94" s="29" t="s">
        <v>1608</v>
      </c>
      <c r="K94" s="110">
        <v>2</v>
      </c>
      <c r="L94" s="110" t="s">
        <v>134</v>
      </c>
      <c r="M94" s="32" t="str">
        <f t="shared" si="99"/>
        <v>常规</v>
      </c>
      <c r="N94" s="15"/>
      <c r="O94" s="137" t="s">
        <v>2270</v>
      </c>
      <c r="P94" s="15"/>
      <c r="Q94" s="15"/>
      <c r="R94" s="15"/>
      <c r="S94" s="15"/>
      <c r="T94" s="110"/>
      <c r="U94" s="32" t="str">
        <f t="shared" si="100"/>
        <v>个</v>
      </c>
      <c r="V94" s="15"/>
      <c r="W94" s="15"/>
      <c r="X94" s="32">
        <f t="shared" si="101"/>
        <v>2</v>
      </c>
      <c r="Y94" s="32" t="str">
        <f t="shared" si="102"/>
        <v>个</v>
      </c>
      <c r="Z94" s="15"/>
      <c r="AA94" s="15"/>
      <c r="AB94" s="15"/>
    </row>
    <row r="95" spans="1:28" s="46" customFormat="1" ht="19.899999999999999" customHeight="1" x14ac:dyDescent="0.15">
      <c r="A95" s="34">
        <v>91</v>
      </c>
      <c r="B95" s="98" t="s">
        <v>1697</v>
      </c>
      <c r="C95" s="29" t="s">
        <v>135</v>
      </c>
      <c r="D95" s="32" t="str">
        <f t="shared" si="98"/>
        <v>备品配件</v>
      </c>
      <c r="E95" s="15"/>
      <c r="F95" s="109" t="s">
        <v>1828</v>
      </c>
      <c r="G95" s="109" t="s">
        <v>1909</v>
      </c>
      <c r="H95" s="15"/>
      <c r="I95" s="15"/>
      <c r="J95" s="29" t="s">
        <v>1608</v>
      </c>
      <c r="K95" s="110">
        <v>2</v>
      </c>
      <c r="L95" s="110" t="s">
        <v>134</v>
      </c>
      <c r="M95" s="32" t="str">
        <f t="shared" si="99"/>
        <v>常规</v>
      </c>
      <c r="N95" s="15"/>
      <c r="O95" s="137" t="s">
        <v>2270</v>
      </c>
      <c r="P95" s="15"/>
      <c r="Q95" s="15"/>
      <c r="R95" s="15"/>
      <c r="S95" s="15"/>
      <c r="T95" s="110"/>
      <c r="U95" s="32" t="str">
        <f t="shared" si="100"/>
        <v>个</v>
      </c>
      <c r="V95" s="15"/>
      <c r="W95" s="15"/>
      <c r="X95" s="32">
        <f t="shared" si="101"/>
        <v>2</v>
      </c>
      <c r="Y95" s="32" t="str">
        <f t="shared" si="102"/>
        <v>个</v>
      </c>
      <c r="Z95" s="15"/>
      <c r="AA95" s="15"/>
      <c r="AB95" s="15"/>
    </row>
    <row r="96" spans="1:28" s="46" customFormat="1" ht="19.899999999999999" customHeight="1" x14ac:dyDescent="0.15">
      <c r="A96" s="34">
        <v>92</v>
      </c>
      <c r="B96" s="98" t="s">
        <v>1698</v>
      </c>
      <c r="C96" s="29" t="s">
        <v>135</v>
      </c>
      <c r="D96" s="32" t="str">
        <f t="shared" si="98"/>
        <v>备品配件</v>
      </c>
      <c r="E96" s="15"/>
      <c r="F96" s="109" t="s">
        <v>1829</v>
      </c>
      <c r="G96" s="109" t="s">
        <v>1909</v>
      </c>
      <c r="H96" s="15"/>
      <c r="I96" s="15"/>
      <c r="J96" s="29" t="s">
        <v>1608</v>
      </c>
      <c r="K96" s="110">
        <v>2</v>
      </c>
      <c r="L96" s="110" t="s">
        <v>134</v>
      </c>
      <c r="M96" s="32" t="str">
        <f t="shared" si="99"/>
        <v>常规</v>
      </c>
      <c r="N96" s="15"/>
      <c r="O96" s="137" t="s">
        <v>2270</v>
      </c>
      <c r="P96" s="15"/>
      <c r="Q96" s="15"/>
      <c r="R96" s="15"/>
      <c r="S96" s="15"/>
      <c r="T96" s="110"/>
      <c r="U96" s="32" t="str">
        <f t="shared" si="100"/>
        <v>个</v>
      </c>
      <c r="V96" s="15"/>
      <c r="W96" s="15"/>
      <c r="X96" s="32">
        <f t="shared" si="101"/>
        <v>2</v>
      </c>
      <c r="Y96" s="32" t="str">
        <f t="shared" si="102"/>
        <v>个</v>
      </c>
      <c r="Z96" s="15"/>
      <c r="AA96" s="15"/>
      <c r="AB96" s="15"/>
    </row>
    <row r="97" spans="1:28" s="46" customFormat="1" ht="19.899999999999999" customHeight="1" x14ac:dyDescent="0.15">
      <c r="A97" s="34">
        <v>93</v>
      </c>
      <c r="B97" s="98" t="s">
        <v>1699</v>
      </c>
      <c r="C97" s="29" t="s">
        <v>135</v>
      </c>
      <c r="D97" s="32" t="str">
        <f t="shared" si="98"/>
        <v>备品配件</v>
      </c>
      <c r="E97" s="15"/>
      <c r="F97" s="109" t="s">
        <v>1830</v>
      </c>
      <c r="G97" s="109" t="s">
        <v>1909</v>
      </c>
      <c r="H97" s="15"/>
      <c r="I97" s="15"/>
      <c r="J97" s="29" t="s">
        <v>1608</v>
      </c>
      <c r="K97" s="110">
        <v>4</v>
      </c>
      <c r="L97" s="110" t="s">
        <v>134</v>
      </c>
      <c r="M97" s="32" t="str">
        <f t="shared" si="99"/>
        <v>常规</v>
      </c>
      <c r="N97" s="15"/>
      <c r="O97" s="137" t="s">
        <v>2270</v>
      </c>
      <c r="P97" s="15"/>
      <c r="Q97" s="15"/>
      <c r="R97" s="15"/>
      <c r="S97" s="15"/>
      <c r="T97" s="110"/>
      <c r="U97" s="32" t="str">
        <f t="shared" si="100"/>
        <v>个</v>
      </c>
      <c r="V97" s="15"/>
      <c r="W97" s="15"/>
      <c r="X97" s="32">
        <f t="shared" si="101"/>
        <v>4</v>
      </c>
      <c r="Y97" s="32" t="str">
        <f t="shared" si="102"/>
        <v>个</v>
      </c>
      <c r="Z97" s="15"/>
      <c r="AA97" s="15"/>
      <c r="AB97" s="15"/>
    </row>
    <row r="98" spans="1:28" s="46" customFormat="1" ht="19.899999999999999" customHeight="1" x14ac:dyDescent="0.15">
      <c r="A98" s="34">
        <v>94</v>
      </c>
      <c r="B98" s="98" t="s">
        <v>1700</v>
      </c>
      <c r="C98" s="29" t="s">
        <v>135</v>
      </c>
      <c r="D98" s="32" t="str">
        <f t="shared" si="98"/>
        <v>备品配件</v>
      </c>
      <c r="E98" s="15"/>
      <c r="F98" s="109" t="s">
        <v>1831</v>
      </c>
      <c r="G98" s="109" t="s">
        <v>1909</v>
      </c>
      <c r="H98" s="15"/>
      <c r="I98" s="15"/>
      <c r="J98" s="29" t="s">
        <v>1608</v>
      </c>
      <c r="K98" s="110">
        <v>4</v>
      </c>
      <c r="L98" s="110" t="s">
        <v>134</v>
      </c>
      <c r="M98" s="32" t="str">
        <f t="shared" si="99"/>
        <v>常规</v>
      </c>
      <c r="N98" s="15"/>
      <c r="O98" s="137" t="s">
        <v>2270</v>
      </c>
      <c r="P98" s="15"/>
      <c r="Q98" s="15"/>
      <c r="R98" s="15"/>
      <c r="S98" s="15"/>
      <c r="T98" s="110"/>
      <c r="U98" s="32" t="str">
        <f t="shared" si="100"/>
        <v>个</v>
      </c>
      <c r="V98" s="15"/>
      <c r="W98" s="15"/>
      <c r="X98" s="32">
        <f t="shared" si="101"/>
        <v>4</v>
      </c>
      <c r="Y98" s="32" t="str">
        <f t="shared" si="102"/>
        <v>个</v>
      </c>
      <c r="Z98" s="15"/>
      <c r="AA98" s="15"/>
      <c r="AB98" s="15"/>
    </row>
    <row r="99" spans="1:28" s="46" customFormat="1" ht="19.899999999999999" customHeight="1" x14ac:dyDescent="0.15">
      <c r="A99" s="34">
        <v>95</v>
      </c>
      <c r="B99" s="98" t="s">
        <v>1701</v>
      </c>
      <c r="C99" s="29" t="s">
        <v>135</v>
      </c>
      <c r="D99" s="32" t="str">
        <f t="shared" si="98"/>
        <v>备品配件</v>
      </c>
      <c r="E99" s="15"/>
      <c r="F99" s="121"/>
      <c r="G99" s="98" t="s">
        <v>1910</v>
      </c>
      <c r="H99" s="15"/>
      <c r="I99" s="15"/>
      <c r="J99" s="29" t="s">
        <v>1608</v>
      </c>
      <c r="K99" s="113">
        <v>2</v>
      </c>
      <c r="L99" s="110" t="s">
        <v>1932</v>
      </c>
      <c r="M99" s="32" t="str">
        <f t="shared" si="99"/>
        <v>常规</v>
      </c>
      <c r="N99" s="15"/>
      <c r="O99" s="137" t="s">
        <v>2273</v>
      </c>
      <c r="P99" s="15"/>
      <c r="Q99" s="15"/>
      <c r="R99" s="15"/>
      <c r="S99" s="15"/>
      <c r="T99" s="110"/>
      <c r="U99" s="32" t="str">
        <f t="shared" si="100"/>
        <v>根</v>
      </c>
      <c r="V99" s="15"/>
      <c r="W99" s="15"/>
      <c r="X99" s="32">
        <f t="shared" si="101"/>
        <v>2</v>
      </c>
      <c r="Y99" s="32" t="str">
        <f t="shared" si="102"/>
        <v>根</v>
      </c>
      <c r="Z99" s="15"/>
      <c r="AA99" s="15"/>
      <c r="AB99" s="15"/>
    </row>
    <row r="100" spans="1:28" s="46" customFormat="1" ht="19.899999999999999" customHeight="1" x14ac:dyDescent="0.15">
      <c r="A100" s="34">
        <v>96</v>
      </c>
      <c r="B100" s="98" t="s">
        <v>1702</v>
      </c>
      <c r="C100" s="29" t="s">
        <v>135</v>
      </c>
      <c r="D100" s="32" t="str">
        <f t="shared" si="98"/>
        <v>备品配件</v>
      </c>
      <c r="E100" s="15"/>
      <c r="F100" s="98"/>
      <c r="G100" s="98" t="s">
        <v>2229</v>
      </c>
      <c r="H100" s="15"/>
      <c r="I100" s="15"/>
      <c r="J100" s="29" t="s">
        <v>1608</v>
      </c>
      <c r="K100" s="110">
        <v>2</v>
      </c>
      <c r="L100" s="110" t="s">
        <v>1938</v>
      </c>
      <c r="M100" s="32" t="str">
        <f t="shared" si="99"/>
        <v>常规</v>
      </c>
      <c r="N100" s="15"/>
      <c r="O100" s="137" t="s">
        <v>2273</v>
      </c>
      <c r="P100" s="15"/>
      <c r="Q100" s="15"/>
      <c r="R100" s="15"/>
      <c r="S100" s="15"/>
      <c r="T100" s="110"/>
      <c r="U100" s="32" t="str">
        <f t="shared" si="100"/>
        <v>瓶</v>
      </c>
      <c r="V100" s="15"/>
      <c r="W100" s="15"/>
      <c r="X100" s="32">
        <f t="shared" si="101"/>
        <v>2</v>
      </c>
      <c r="Y100" s="32" t="str">
        <f t="shared" si="102"/>
        <v>瓶</v>
      </c>
      <c r="Z100" s="15"/>
      <c r="AA100" s="15"/>
      <c r="AB100" s="15"/>
    </row>
    <row r="101" spans="1:28" s="46" customFormat="1" ht="19.899999999999999" customHeight="1" x14ac:dyDescent="0.15">
      <c r="A101" s="34">
        <v>97</v>
      </c>
      <c r="B101" s="98" t="s">
        <v>1703</v>
      </c>
      <c r="C101" s="29" t="s">
        <v>135</v>
      </c>
      <c r="D101" s="32" t="str">
        <f t="shared" si="98"/>
        <v>备品配件</v>
      </c>
      <c r="E101" s="15"/>
      <c r="F101" s="98"/>
      <c r="G101" s="98" t="s">
        <v>1911</v>
      </c>
      <c r="H101" s="15"/>
      <c r="I101" s="15"/>
      <c r="J101" s="29" t="s">
        <v>1608</v>
      </c>
      <c r="K101" s="110">
        <v>1</v>
      </c>
      <c r="L101" s="110" t="s">
        <v>1933</v>
      </c>
      <c r="M101" s="32" t="str">
        <f t="shared" si="99"/>
        <v>常规</v>
      </c>
      <c r="N101" s="15"/>
      <c r="O101" s="137" t="s">
        <v>2274</v>
      </c>
      <c r="P101" s="15"/>
      <c r="Q101" s="15"/>
      <c r="R101" s="15"/>
      <c r="S101" s="15"/>
      <c r="T101" s="110"/>
      <c r="U101" s="32" t="str">
        <f t="shared" si="100"/>
        <v>套</v>
      </c>
      <c r="V101" s="15"/>
      <c r="W101" s="15"/>
      <c r="X101" s="32">
        <f t="shared" si="101"/>
        <v>1</v>
      </c>
      <c r="Y101" s="32" t="str">
        <f t="shared" si="102"/>
        <v>套</v>
      </c>
      <c r="Z101" s="15"/>
      <c r="AA101" s="15"/>
      <c r="AB101" s="15"/>
    </row>
    <row r="102" spans="1:28" s="46" customFormat="1" ht="19.899999999999999" customHeight="1" x14ac:dyDescent="0.15">
      <c r="A102" s="34">
        <v>98</v>
      </c>
      <c r="B102" s="98" t="s">
        <v>1704</v>
      </c>
      <c r="C102" s="29" t="s">
        <v>135</v>
      </c>
      <c r="D102" s="32" t="str">
        <f t="shared" si="98"/>
        <v>备品配件</v>
      </c>
      <c r="E102" s="15"/>
      <c r="F102" s="98" t="s">
        <v>1832</v>
      </c>
      <c r="G102" s="98" t="s">
        <v>1912</v>
      </c>
      <c r="H102" s="15"/>
      <c r="I102" s="15"/>
      <c r="J102" s="29" t="s">
        <v>1608</v>
      </c>
      <c r="K102" s="110">
        <v>1</v>
      </c>
      <c r="L102" s="110" t="s">
        <v>134</v>
      </c>
      <c r="M102" s="32" t="str">
        <f t="shared" si="99"/>
        <v>常规</v>
      </c>
      <c r="N102" s="15"/>
      <c r="O102" s="137" t="s">
        <v>2274</v>
      </c>
      <c r="P102" s="15"/>
      <c r="Q102" s="15"/>
      <c r="R102" s="15"/>
      <c r="S102" s="15"/>
      <c r="T102" s="110"/>
      <c r="U102" s="32" t="str">
        <f t="shared" si="100"/>
        <v>个</v>
      </c>
      <c r="V102" s="15"/>
      <c r="W102" s="15"/>
      <c r="X102" s="32">
        <f t="shared" si="101"/>
        <v>1</v>
      </c>
      <c r="Y102" s="32" t="str">
        <f t="shared" si="102"/>
        <v>个</v>
      </c>
      <c r="Z102" s="15"/>
      <c r="AA102" s="15"/>
      <c r="AB102" s="15"/>
    </row>
    <row r="103" spans="1:28" s="46" customFormat="1" ht="19.899999999999999" customHeight="1" x14ac:dyDescent="0.15">
      <c r="A103" s="34">
        <v>99</v>
      </c>
      <c r="B103" s="122" t="s">
        <v>1705</v>
      </c>
      <c r="C103" s="29" t="s">
        <v>135</v>
      </c>
      <c r="D103" s="32" t="str">
        <f t="shared" si="98"/>
        <v>备品配件</v>
      </c>
      <c r="E103" s="15"/>
      <c r="F103" s="98" t="s">
        <v>1833</v>
      </c>
      <c r="G103" s="98" t="s">
        <v>1913</v>
      </c>
      <c r="H103" s="15"/>
      <c r="I103" s="15"/>
      <c r="J103" s="29" t="s">
        <v>1608</v>
      </c>
      <c r="K103" s="110">
        <v>2</v>
      </c>
      <c r="L103" s="110" t="s">
        <v>134</v>
      </c>
      <c r="M103" s="32" t="str">
        <f t="shared" si="99"/>
        <v>常规</v>
      </c>
      <c r="N103" s="15"/>
      <c r="O103" s="137" t="s">
        <v>2274</v>
      </c>
      <c r="P103" s="15"/>
      <c r="Q103" s="15"/>
      <c r="R103" s="15"/>
      <c r="S103" s="15"/>
      <c r="T103" s="110"/>
      <c r="U103" s="32" t="str">
        <f t="shared" si="100"/>
        <v>个</v>
      </c>
      <c r="V103" s="15"/>
      <c r="W103" s="15"/>
      <c r="X103" s="32">
        <f t="shared" si="101"/>
        <v>2</v>
      </c>
      <c r="Y103" s="32" t="str">
        <f t="shared" si="102"/>
        <v>个</v>
      </c>
      <c r="Z103" s="15"/>
      <c r="AA103" s="15"/>
      <c r="AB103" s="15"/>
    </row>
    <row r="104" spans="1:28" s="46" customFormat="1" ht="19.899999999999999" customHeight="1" x14ac:dyDescent="0.15">
      <c r="A104" s="34">
        <v>100</v>
      </c>
      <c r="B104" s="112" t="s">
        <v>1706</v>
      </c>
      <c r="C104" s="29" t="s">
        <v>135</v>
      </c>
      <c r="D104" s="32" t="str">
        <f t="shared" si="98"/>
        <v>备品配件</v>
      </c>
      <c r="E104" s="15"/>
      <c r="F104" s="109"/>
      <c r="G104" s="98" t="s">
        <v>1914</v>
      </c>
      <c r="H104" s="15"/>
      <c r="I104" s="15"/>
      <c r="J104" s="29" t="s">
        <v>1608</v>
      </c>
      <c r="K104" s="110">
        <v>4</v>
      </c>
      <c r="L104" s="110" t="s">
        <v>1939</v>
      </c>
      <c r="M104" s="32" t="str">
        <f t="shared" si="99"/>
        <v>常规</v>
      </c>
      <c r="N104" s="15"/>
      <c r="O104" s="137" t="s">
        <v>2274</v>
      </c>
      <c r="P104" s="15"/>
      <c r="Q104" s="15"/>
      <c r="R104" s="15"/>
      <c r="S104" s="15"/>
      <c r="T104" s="110"/>
      <c r="U104" s="32" t="str">
        <f t="shared" si="100"/>
        <v>块</v>
      </c>
      <c r="V104" s="15"/>
      <c r="W104" s="15"/>
      <c r="X104" s="32">
        <f t="shared" si="101"/>
        <v>4</v>
      </c>
      <c r="Y104" s="32" t="str">
        <f t="shared" si="102"/>
        <v>块</v>
      </c>
      <c r="Z104" s="15"/>
      <c r="AA104" s="15"/>
      <c r="AB104" s="15"/>
    </row>
    <row r="105" spans="1:28" s="46" customFormat="1" ht="19.899999999999999" customHeight="1" x14ac:dyDescent="0.15">
      <c r="A105" s="34">
        <v>101</v>
      </c>
      <c r="B105" s="112" t="s">
        <v>1707</v>
      </c>
      <c r="C105" s="29" t="s">
        <v>135</v>
      </c>
      <c r="D105" s="32" t="str">
        <f t="shared" si="98"/>
        <v>备品配件</v>
      </c>
      <c r="E105" s="15"/>
      <c r="F105" s="109"/>
      <c r="G105" s="98" t="s">
        <v>1915</v>
      </c>
      <c r="H105" s="15"/>
      <c r="I105" s="15"/>
      <c r="J105" s="29" t="s">
        <v>1608</v>
      </c>
      <c r="K105" s="110">
        <v>1</v>
      </c>
      <c r="L105" s="110" t="s">
        <v>1933</v>
      </c>
      <c r="M105" s="32" t="str">
        <f t="shared" si="99"/>
        <v>常规</v>
      </c>
      <c r="N105" s="15"/>
      <c r="O105" s="137" t="s">
        <v>2274</v>
      </c>
      <c r="P105" s="15"/>
      <c r="Q105" s="15"/>
      <c r="R105" s="15"/>
      <c r="S105" s="15"/>
      <c r="T105" s="110"/>
      <c r="U105" s="32" t="str">
        <f t="shared" si="100"/>
        <v>套</v>
      </c>
      <c r="V105" s="15"/>
      <c r="W105" s="15"/>
      <c r="X105" s="32">
        <f t="shared" si="101"/>
        <v>1</v>
      </c>
      <c r="Y105" s="32" t="str">
        <f t="shared" si="102"/>
        <v>套</v>
      </c>
      <c r="Z105" s="15"/>
      <c r="AA105" s="15"/>
      <c r="AB105" s="15"/>
    </row>
    <row r="106" spans="1:28" s="46" customFormat="1" ht="19.899999999999999" customHeight="1" x14ac:dyDescent="0.15">
      <c r="A106" s="34">
        <v>102</v>
      </c>
      <c r="B106" s="112" t="s">
        <v>1766</v>
      </c>
      <c r="C106" s="29" t="s">
        <v>135</v>
      </c>
      <c r="D106" s="32" t="str">
        <f t="shared" si="98"/>
        <v>备品配件</v>
      </c>
      <c r="E106" s="15"/>
      <c r="F106" s="109"/>
      <c r="G106" s="98"/>
      <c r="H106" s="15"/>
      <c r="I106" s="15"/>
      <c r="J106" s="29" t="s">
        <v>1608</v>
      </c>
      <c r="K106" s="110">
        <v>1</v>
      </c>
      <c r="L106" s="110" t="s">
        <v>1940</v>
      </c>
      <c r="M106" s="32" t="str">
        <f t="shared" si="99"/>
        <v>常规</v>
      </c>
      <c r="N106" s="15"/>
      <c r="O106" s="137" t="s">
        <v>2274</v>
      </c>
      <c r="P106" s="15"/>
      <c r="Q106" s="98" t="s">
        <v>2277</v>
      </c>
      <c r="R106" s="15"/>
      <c r="S106" s="15"/>
      <c r="T106" s="110"/>
      <c r="U106" s="32" t="str">
        <f t="shared" si="100"/>
        <v>袋</v>
      </c>
      <c r="V106" s="15"/>
      <c r="W106" s="15"/>
      <c r="X106" s="32">
        <f t="shared" si="101"/>
        <v>1</v>
      </c>
      <c r="Y106" s="32" t="str">
        <f t="shared" si="102"/>
        <v>袋</v>
      </c>
      <c r="Z106" s="15"/>
      <c r="AA106" s="15"/>
      <c r="AB106" s="15"/>
    </row>
    <row r="107" spans="1:28" s="46" customFormat="1" ht="19.899999999999999" customHeight="1" x14ac:dyDescent="0.15">
      <c r="A107" s="34">
        <v>103</v>
      </c>
      <c r="B107" s="112" t="s">
        <v>1767</v>
      </c>
      <c r="C107" s="29" t="s">
        <v>135</v>
      </c>
      <c r="D107" s="32" t="str">
        <f t="shared" si="98"/>
        <v>备品配件</v>
      </c>
      <c r="E107" s="15"/>
      <c r="F107" s="98" t="s">
        <v>1834</v>
      </c>
      <c r="G107" s="117"/>
      <c r="H107" s="15"/>
      <c r="I107" s="15"/>
      <c r="J107" s="29" t="s">
        <v>1608</v>
      </c>
      <c r="K107" s="113">
        <v>12</v>
      </c>
      <c r="L107" s="110" t="s">
        <v>1932</v>
      </c>
      <c r="M107" s="32" t="str">
        <f t="shared" si="99"/>
        <v>常规</v>
      </c>
      <c r="N107" s="15"/>
      <c r="O107" s="137" t="s">
        <v>2275</v>
      </c>
      <c r="P107" s="15"/>
      <c r="Q107" s="117" t="s">
        <v>1916</v>
      </c>
      <c r="R107" s="15"/>
      <c r="S107" s="15"/>
      <c r="T107" s="110"/>
      <c r="U107" s="32" t="str">
        <f t="shared" si="100"/>
        <v>根</v>
      </c>
      <c r="V107" s="15"/>
      <c r="W107" s="15"/>
      <c r="X107" s="32">
        <f t="shared" si="101"/>
        <v>12</v>
      </c>
      <c r="Y107" s="32" t="str">
        <f t="shared" si="102"/>
        <v>根</v>
      </c>
      <c r="Z107" s="15"/>
      <c r="AA107" s="15"/>
      <c r="AB107" s="15"/>
    </row>
    <row r="108" spans="1:28" s="46" customFormat="1" ht="19.899999999999999" customHeight="1" x14ac:dyDescent="0.15">
      <c r="A108" s="34">
        <v>104</v>
      </c>
      <c r="B108" s="112" t="s">
        <v>1768</v>
      </c>
      <c r="C108" s="29" t="s">
        <v>135</v>
      </c>
      <c r="D108" s="32" t="str">
        <f t="shared" si="98"/>
        <v>备品配件</v>
      </c>
      <c r="E108" s="15"/>
      <c r="F108" s="98" t="s">
        <v>1835</v>
      </c>
      <c r="G108" s="117"/>
      <c r="H108" s="15"/>
      <c r="I108" s="15"/>
      <c r="J108" s="29" t="s">
        <v>1608</v>
      </c>
      <c r="K108" s="113">
        <v>12</v>
      </c>
      <c r="L108" s="110" t="s">
        <v>1932</v>
      </c>
      <c r="M108" s="32" t="str">
        <f t="shared" si="99"/>
        <v>常规</v>
      </c>
      <c r="N108" s="15"/>
      <c r="O108" s="137" t="s">
        <v>2275</v>
      </c>
      <c r="P108" s="15"/>
      <c r="Q108" s="117" t="s">
        <v>1916</v>
      </c>
      <c r="R108" s="15"/>
      <c r="S108" s="15"/>
      <c r="T108" s="110"/>
      <c r="U108" s="32" t="str">
        <f t="shared" si="100"/>
        <v>根</v>
      </c>
      <c r="V108" s="15"/>
      <c r="W108" s="15"/>
      <c r="X108" s="32">
        <f t="shared" si="101"/>
        <v>12</v>
      </c>
      <c r="Y108" s="32" t="str">
        <f t="shared" si="102"/>
        <v>根</v>
      </c>
      <c r="Z108" s="15"/>
      <c r="AA108" s="15"/>
      <c r="AB108" s="15"/>
    </row>
    <row r="109" spans="1:28" s="46" customFormat="1" ht="19.899999999999999" customHeight="1" x14ac:dyDescent="0.15">
      <c r="A109" s="34">
        <v>105</v>
      </c>
      <c r="B109" s="112" t="s">
        <v>1769</v>
      </c>
      <c r="C109" s="29" t="s">
        <v>135</v>
      </c>
      <c r="D109" s="32" t="str">
        <f t="shared" si="98"/>
        <v>备品配件</v>
      </c>
      <c r="E109" s="15"/>
      <c r="F109" s="98" t="s">
        <v>1836</v>
      </c>
      <c r="G109" s="117"/>
      <c r="H109" s="15"/>
      <c r="I109" s="15"/>
      <c r="J109" s="29" t="s">
        <v>1608</v>
      </c>
      <c r="K109" s="113">
        <v>1</v>
      </c>
      <c r="L109" s="110" t="s">
        <v>134</v>
      </c>
      <c r="M109" s="32" t="str">
        <f t="shared" si="99"/>
        <v>常规</v>
      </c>
      <c r="N109" s="15"/>
      <c r="O109" s="137" t="s">
        <v>2275</v>
      </c>
      <c r="P109" s="15"/>
      <c r="Q109" s="117" t="s">
        <v>1916</v>
      </c>
      <c r="R109" s="15"/>
      <c r="S109" s="15"/>
      <c r="T109" s="110"/>
      <c r="U109" s="32" t="str">
        <f t="shared" si="100"/>
        <v>个</v>
      </c>
      <c r="V109" s="15"/>
      <c r="W109" s="15"/>
      <c r="X109" s="32">
        <f t="shared" si="101"/>
        <v>1</v>
      </c>
      <c r="Y109" s="32" t="str">
        <f t="shared" si="102"/>
        <v>个</v>
      </c>
      <c r="Z109" s="15"/>
      <c r="AA109" s="15"/>
      <c r="AB109" s="15"/>
    </row>
    <row r="110" spans="1:28" s="46" customFormat="1" ht="19.899999999999999" customHeight="1" x14ac:dyDescent="0.15">
      <c r="A110" s="34">
        <v>106</v>
      </c>
      <c r="B110" s="112" t="s">
        <v>1770</v>
      </c>
      <c r="C110" s="29" t="s">
        <v>135</v>
      </c>
      <c r="D110" s="32" t="str">
        <f t="shared" si="98"/>
        <v>备品配件</v>
      </c>
      <c r="E110" s="15"/>
      <c r="F110" s="98" t="s">
        <v>1837</v>
      </c>
      <c r="G110" s="117"/>
      <c r="H110" s="15"/>
      <c r="I110" s="15"/>
      <c r="J110" s="29" t="s">
        <v>1608</v>
      </c>
      <c r="K110" s="113">
        <v>1</v>
      </c>
      <c r="L110" s="110" t="s">
        <v>1932</v>
      </c>
      <c r="M110" s="32" t="str">
        <f t="shared" si="99"/>
        <v>常规</v>
      </c>
      <c r="N110" s="15"/>
      <c r="O110" s="137" t="s">
        <v>2275</v>
      </c>
      <c r="P110" s="15"/>
      <c r="Q110" s="117" t="s">
        <v>1916</v>
      </c>
      <c r="R110" s="15"/>
      <c r="S110" s="15"/>
      <c r="T110" s="110"/>
      <c r="U110" s="32" t="str">
        <f t="shared" si="100"/>
        <v>根</v>
      </c>
      <c r="V110" s="15"/>
      <c r="W110" s="15"/>
      <c r="X110" s="32">
        <f t="shared" si="101"/>
        <v>1</v>
      </c>
      <c r="Y110" s="32" t="str">
        <f t="shared" si="102"/>
        <v>根</v>
      </c>
      <c r="Z110" s="15"/>
      <c r="AA110" s="15"/>
      <c r="AB110" s="15"/>
    </row>
    <row r="111" spans="1:28" s="46" customFormat="1" ht="19.899999999999999" customHeight="1" x14ac:dyDescent="0.15">
      <c r="A111" s="34">
        <v>107</v>
      </c>
      <c r="B111" s="112" t="s">
        <v>1771</v>
      </c>
      <c r="C111" s="29" t="s">
        <v>135</v>
      </c>
      <c r="D111" s="32" t="str">
        <f t="shared" si="98"/>
        <v>备品配件</v>
      </c>
      <c r="E111" s="15"/>
      <c r="F111" s="98">
        <v>1041071</v>
      </c>
      <c r="G111" s="117"/>
      <c r="H111" s="15"/>
      <c r="I111" s="15"/>
      <c r="J111" s="29" t="s">
        <v>1608</v>
      </c>
      <c r="K111" s="113">
        <v>2</v>
      </c>
      <c r="L111" s="110" t="s">
        <v>1932</v>
      </c>
      <c r="M111" s="32" t="str">
        <f t="shared" si="99"/>
        <v>常规</v>
      </c>
      <c r="N111" s="15"/>
      <c r="O111" s="137" t="s">
        <v>2275</v>
      </c>
      <c r="P111" s="15"/>
      <c r="Q111" s="117" t="s">
        <v>1916</v>
      </c>
      <c r="R111" s="15"/>
      <c r="S111" s="15"/>
      <c r="T111" s="110"/>
      <c r="U111" s="32" t="str">
        <f t="shared" si="100"/>
        <v>根</v>
      </c>
      <c r="V111" s="15"/>
      <c r="W111" s="15"/>
      <c r="X111" s="32">
        <f t="shared" si="101"/>
        <v>2</v>
      </c>
      <c r="Y111" s="32" t="str">
        <f t="shared" si="102"/>
        <v>根</v>
      </c>
      <c r="Z111" s="15"/>
      <c r="AA111" s="15"/>
      <c r="AB111" s="15"/>
    </row>
    <row r="112" spans="1:28" s="46" customFormat="1" ht="19.899999999999999" customHeight="1" x14ac:dyDescent="0.15">
      <c r="A112" s="34">
        <v>108</v>
      </c>
      <c r="B112" s="112" t="s">
        <v>1772</v>
      </c>
      <c r="C112" s="29" t="s">
        <v>135</v>
      </c>
      <c r="D112" s="32" t="str">
        <f t="shared" si="98"/>
        <v>备品配件</v>
      </c>
      <c r="E112" s="15"/>
      <c r="F112" s="98">
        <v>1305600</v>
      </c>
      <c r="G112" s="117"/>
      <c r="H112" s="15"/>
      <c r="I112" s="15"/>
      <c r="J112" s="29" t="s">
        <v>1608</v>
      </c>
      <c r="K112" s="113">
        <v>2</v>
      </c>
      <c r="L112" s="110" t="s">
        <v>134</v>
      </c>
      <c r="M112" s="32" t="str">
        <f t="shared" si="99"/>
        <v>常规</v>
      </c>
      <c r="N112" s="15"/>
      <c r="O112" s="137" t="s">
        <v>2275</v>
      </c>
      <c r="P112" s="15"/>
      <c r="Q112" s="117" t="s">
        <v>1916</v>
      </c>
      <c r="R112" s="15"/>
      <c r="S112" s="15"/>
      <c r="T112" s="110"/>
      <c r="U112" s="32" t="str">
        <f t="shared" si="100"/>
        <v>个</v>
      </c>
      <c r="V112" s="15"/>
      <c r="W112" s="15"/>
      <c r="X112" s="32">
        <f t="shared" si="101"/>
        <v>2</v>
      </c>
      <c r="Y112" s="32" t="str">
        <f t="shared" si="102"/>
        <v>个</v>
      </c>
      <c r="Z112" s="15"/>
      <c r="AA112" s="15"/>
      <c r="AB112" s="15"/>
    </row>
    <row r="113" spans="1:28" s="46" customFormat="1" ht="19.899999999999999" customHeight="1" x14ac:dyDescent="0.15">
      <c r="A113" s="34">
        <v>109</v>
      </c>
      <c r="B113" s="112" t="s">
        <v>1773</v>
      </c>
      <c r="C113" s="29" t="s">
        <v>135</v>
      </c>
      <c r="D113" s="32" t="str">
        <f t="shared" si="98"/>
        <v>备品配件</v>
      </c>
      <c r="E113" s="15"/>
      <c r="F113" s="98">
        <v>1310900</v>
      </c>
      <c r="G113" s="117"/>
      <c r="H113" s="15"/>
      <c r="I113" s="15"/>
      <c r="J113" s="29" t="s">
        <v>1608</v>
      </c>
      <c r="K113" s="113">
        <v>20</v>
      </c>
      <c r="L113" s="110" t="s">
        <v>134</v>
      </c>
      <c r="M113" s="32" t="str">
        <f t="shared" si="99"/>
        <v>常规</v>
      </c>
      <c r="N113" s="15"/>
      <c r="O113" s="137" t="s">
        <v>2275</v>
      </c>
      <c r="P113" s="15"/>
      <c r="Q113" s="117" t="s">
        <v>1916</v>
      </c>
      <c r="R113" s="15"/>
      <c r="S113" s="15"/>
      <c r="T113" s="110"/>
      <c r="U113" s="32" t="str">
        <f t="shared" si="100"/>
        <v>个</v>
      </c>
      <c r="V113" s="15"/>
      <c r="W113" s="15"/>
      <c r="X113" s="32">
        <f t="shared" si="101"/>
        <v>20</v>
      </c>
      <c r="Y113" s="32" t="str">
        <f t="shared" si="102"/>
        <v>个</v>
      </c>
      <c r="Z113" s="15"/>
      <c r="AA113" s="15"/>
      <c r="AB113" s="15"/>
    </row>
    <row r="114" spans="1:28" s="46" customFormat="1" ht="19.899999999999999" customHeight="1" x14ac:dyDescent="0.15">
      <c r="A114" s="34">
        <v>110</v>
      </c>
      <c r="B114" s="112" t="s">
        <v>1774</v>
      </c>
      <c r="C114" s="29" t="s">
        <v>135</v>
      </c>
      <c r="D114" s="32" t="str">
        <f t="shared" si="98"/>
        <v>备品配件</v>
      </c>
      <c r="E114" s="15"/>
      <c r="F114" s="98">
        <v>1230790</v>
      </c>
      <c r="G114" s="117"/>
      <c r="H114" s="15"/>
      <c r="I114" s="15"/>
      <c r="J114" s="29" t="s">
        <v>1608</v>
      </c>
      <c r="K114" s="113">
        <v>2</v>
      </c>
      <c r="L114" s="110" t="s">
        <v>134</v>
      </c>
      <c r="M114" s="32" t="str">
        <f t="shared" si="99"/>
        <v>常规</v>
      </c>
      <c r="N114" s="15"/>
      <c r="O114" s="137" t="s">
        <v>2275</v>
      </c>
      <c r="P114" s="15"/>
      <c r="Q114" s="117" t="s">
        <v>1916</v>
      </c>
      <c r="R114" s="15"/>
      <c r="S114" s="15"/>
      <c r="T114" s="110"/>
      <c r="U114" s="32" t="str">
        <f t="shared" si="100"/>
        <v>个</v>
      </c>
      <c r="V114" s="15"/>
      <c r="W114" s="15"/>
      <c r="X114" s="32">
        <f t="shared" si="101"/>
        <v>2</v>
      </c>
      <c r="Y114" s="32" t="str">
        <f t="shared" si="102"/>
        <v>个</v>
      </c>
      <c r="Z114" s="15"/>
      <c r="AA114" s="15"/>
      <c r="AB114" s="15"/>
    </row>
    <row r="115" spans="1:28" s="46" customFormat="1" ht="19.899999999999999" customHeight="1" x14ac:dyDescent="0.15">
      <c r="A115" s="34">
        <v>111</v>
      </c>
      <c r="B115" s="112" t="s">
        <v>1775</v>
      </c>
      <c r="C115" s="29" t="s">
        <v>135</v>
      </c>
      <c r="D115" s="32" t="str">
        <f t="shared" si="98"/>
        <v>备品配件</v>
      </c>
      <c r="E115" s="15"/>
      <c r="F115" s="98" t="s">
        <v>1838</v>
      </c>
      <c r="G115" s="117"/>
      <c r="H115" s="15"/>
      <c r="I115" s="15"/>
      <c r="J115" s="29" t="s">
        <v>1608</v>
      </c>
      <c r="K115" s="113">
        <v>1</v>
      </c>
      <c r="L115" s="110" t="s">
        <v>134</v>
      </c>
      <c r="M115" s="32" t="str">
        <f t="shared" si="99"/>
        <v>常规</v>
      </c>
      <c r="N115" s="15"/>
      <c r="O115" s="137" t="s">
        <v>2275</v>
      </c>
      <c r="P115" s="15"/>
      <c r="Q115" s="117" t="s">
        <v>1916</v>
      </c>
      <c r="R115" s="15"/>
      <c r="S115" s="15"/>
      <c r="T115" s="110"/>
      <c r="U115" s="32" t="str">
        <f t="shared" si="100"/>
        <v>个</v>
      </c>
      <c r="V115" s="15"/>
      <c r="W115" s="15"/>
      <c r="X115" s="32">
        <f t="shared" si="101"/>
        <v>1</v>
      </c>
      <c r="Y115" s="32" t="str">
        <f t="shared" si="102"/>
        <v>个</v>
      </c>
      <c r="Z115" s="15"/>
      <c r="AA115" s="15"/>
      <c r="AB115" s="15"/>
    </row>
    <row r="116" spans="1:28" s="46" customFormat="1" ht="19.899999999999999" customHeight="1" x14ac:dyDescent="0.15">
      <c r="A116" s="34">
        <v>112</v>
      </c>
      <c r="B116" s="112" t="s">
        <v>1776</v>
      </c>
      <c r="C116" s="29" t="s">
        <v>135</v>
      </c>
      <c r="D116" s="32" t="str">
        <f t="shared" si="98"/>
        <v>备品配件</v>
      </c>
      <c r="E116" s="15"/>
      <c r="F116" s="98">
        <v>3600812</v>
      </c>
      <c r="G116" s="117"/>
      <c r="H116" s="15"/>
      <c r="I116" s="15"/>
      <c r="J116" s="29" t="s">
        <v>1608</v>
      </c>
      <c r="K116" s="113">
        <v>1</v>
      </c>
      <c r="L116" s="110" t="s">
        <v>1941</v>
      </c>
      <c r="M116" s="32" t="str">
        <f t="shared" si="99"/>
        <v>常规</v>
      </c>
      <c r="N116" s="15"/>
      <c r="O116" s="137" t="s">
        <v>2275</v>
      </c>
      <c r="P116" s="15"/>
      <c r="Q116" s="117" t="s">
        <v>1917</v>
      </c>
      <c r="R116" s="15"/>
      <c r="S116" s="15"/>
      <c r="T116" s="110"/>
      <c r="U116" s="32" t="str">
        <f t="shared" si="100"/>
        <v>个</v>
      </c>
      <c r="V116" s="15"/>
      <c r="W116" s="15"/>
      <c r="X116" s="32">
        <f t="shared" si="101"/>
        <v>1</v>
      </c>
      <c r="Y116" s="32" t="str">
        <f t="shared" si="102"/>
        <v>个</v>
      </c>
      <c r="Z116" s="15"/>
      <c r="AA116" s="15"/>
      <c r="AB116" s="15"/>
    </row>
    <row r="117" spans="1:28" s="46" customFormat="1" ht="19.899999999999999" customHeight="1" x14ac:dyDescent="0.15">
      <c r="A117" s="34">
        <v>113</v>
      </c>
      <c r="B117" s="112" t="s">
        <v>1777</v>
      </c>
      <c r="C117" s="29" t="s">
        <v>135</v>
      </c>
      <c r="D117" s="32" t="str">
        <f t="shared" si="98"/>
        <v>备品配件</v>
      </c>
      <c r="E117" s="15"/>
      <c r="F117" s="98" t="s">
        <v>1839</v>
      </c>
      <c r="G117" s="117"/>
      <c r="H117" s="15"/>
      <c r="I117" s="15"/>
      <c r="J117" s="29" t="s">
        <v>1608</v>
      </c>
      <c r="K117" s="113">
        <v>1</v>
      </c>
      <c r="L117" s="110" t="s">
        <v>1932</v>
      </c>
      <c r="M117" s="32" t="str">
        <f t="shared" si="99"/>
        <v>常规</v>
      </c>
      <c r="N117" s="15"/>
      <c r="O117" s="137" t="s">
        <v>2275</v>
      </c>
      <c r="P117" s="15"/>
      <c r="Q117" s="117" t="s">
        <v>2422</v>
      </c>
      <c r="R117" s="15"/>
      <c r="S117" s="15"/>
      <c r="T117" s="110"/>
      <c r="U117" s="32" t="str">
        <f t="shared" si="100"/>
        <v>根</v>
      </c>
      <c r="V117" s="15"/>
      <c r="W117" s="15"/>
      <c r="X117" s="32">
        <f t="shared" si="101"/>
        <v>1</v>
      </c>
      <c r="Y117" s="32" t="str">
        <f t="shared" si="102"/>
        <v>根</v>
      </c>
      <c r="Z117" s="15"/>
      <c r="AA117" s="15"/>
      <c r="AB117" s="15"/>
    </row>
    <row r="118" spans="1:28" s="46" customFormat="1" ht="19.899999999999999" customHeight="1" x14ac:dyDescent="0.15">
      <c r="A118" s="34">
        <v>114</v>
      </c>
      <c r="B118" s="112" t="s">
        <v>1778</v>
      </c>
      <c r="C118" s="29" t="s">
        <v>135</v>
      </c>
      <c r="D118" s="32" t="str">
        <f t="shared" si="98"/>
        <v>备品配件</v>
      </c>
      <c r="E118" s="15"/>
      <c r="F118" s="98" t="s">
        <v>1840</v>
      </c>
      <c r="G118" s="117"/>
      <c r="H118" s="15"/>
      <c r="I118" s="15"/>
      <c r="J118" s="29" t="s">
        <v>1608</v>
      </c>
      <c r="K118" s="113">
        <v>1</v>
      </c>
      <c r="L118" s="110" t="s">
        <v>1932</v>
      </c>
      <c r="M118" s="32" t="str">
        <f t="shared" si="99"/>
        <v>常规</v>
      </c>
      <c r="N118" s="15"/>
      <c r="O118" s="137" t="s">
        <v>2275</v>
      </c>
      <c r="P118" s="15"/>
      <c r="Q118" s="117" t="s">
        <v>1918</v>
      </c>
      <c r="R118" s="15"/>
      <c r="S118" s="15"/>
      <c r="T118" s="110"/>
      <c r="U118" s="32" t="str">
        <f t="shared" si="100"/>
        <v>根</v>
      </c>
      <c r="V118" s="15"/>
      <c r="W118" s="15"/>
      <c r="X118" s="32">
        <f t="shared" si="101"/>
        <v>1</v>
      </c>
      <c r="Y118" s="32" t="str">
        <f t="shared" si="102"/>
        <v>根</v>
      </c>
      <c r="Z118" s="15"/>
      <c r="AA118" s="15"/>
      <c r="AB118" s="15"/>
    </row>
    <row r="119" spans="1:28" s="46" customFormat="1" ht="19.899999999999999" customHeight="1" x14ac:dyDescent="0.15">
      <c r="A119" s="34">
        <v>115</v>
      </c>
      <c r="B119" s="112" t="s">
        <v>1708</v>
      </c>
      <c r="C119" s="29" t="s">
        <v>135</v>
      </c>
      <c r="D119" s="32" t="str">
        <f t="shared" si="98"/>
        <v>备品配件</v>
      </c>
      <c r="E119" s="15"/>
      <c r="F119" s="98" t="s">
        <v>1841</v>
      </c>
      <c r="G119" s="117"/>
      <c r="H119" s="15"/>
      <c r="I119" s="15"/>
      <c r="J119" s="29" t="s">
        <v>1608</v>
      </c>
      <c r="K119" s="113">
        <v>1</v>
      </c>
      <c r="L119" s="110" t="s">
        <v>1932</v>
      </c>
      <c r="M119" s="32" t="str">
        <f t="shared" si="99"/>
        <v>常规</v>
      </c>
      <c r="N119" s="15"/>
      <c r="O119" s="137" t="s">
        <v>2275</v>
      </c>
      <c r="P119" s="15"/>
      <c r="Q119" s="117" t="s">
        <v>1918</v>
      </c>
      <c r="R119" s="15"/>
      <c r="S119" s="15"/>
      <c r="T119" s="110"/>
      <c r="U119" s="32" t="str">
        <f t="shared" si="100"/>
        <v>根</v>
      </c>
      <c r="V119" s="15"/>
      <c r="W119" s="15"/>
      <c r="X119" s="32">
        <f t="shared" si="101"/>
        <v>1</v>
      </c>
      <c r="Y119" s="32" t="str">
        <f t="shared" si="102"/>
        <v>根</v>
      </c>
      <c r="Z119" s="15"/>
      <c r="AA119" s="15"/>
      <c r="AB119" s="15"/>
    </row>
    <row r="120" spans="1:28" s="46" customFormat="1" ht="19.899999999999999" customHeight="1" x14ac:dyDescent="0.15">
      <c r="A120" s="34">
        <v>116</v>
      </c>
      <c r="B120" s="112" t="s">
        <v>1779</v>
      </c>
      <c r="C120" s="29" t="s">
        <v>135</v>
      </c>
      <c r="D120" s="32" t="str">
        <f t="shared" si="98"/>
        <v>备品配件</v>
      </c>
      <c r="E120" s="15"/>
      <c r="F120" s="98" t="s">
        <v>1842</v>
      </c>
      <c r="G120" s="117"/>
      <c r="H120" s="15"/>
      <c r="I120" s="15"/>
      <c r="J120" s="29" t="s">
        <v>1608</v>
      </c>
      <c r="K120" s="113">
        <v>1</v>
      </c>
      <c r="L120" s="110" t="s">
        <v>134</v>
      </c>
      <c r="M120" s="32" t="str">
        <f t="shared" si="99"/>
        <v>常规</v>
      </c>
      <c r="N120" s="15"/>
      <c r="O120" s="137" t="s">
        <v>2275</v>
      </c>
      <c r="P120" s="15"/>
      <c r="Q120" s="117" t="s">
        <v>1918</v>
      </c>
      <c r="R120" s="15"/>
      <c r="S120" s="15"/>
      <c r="T120" s="110"/>
      <c r="U120" s="32" t="str">
        <f t="shared" si="100"/>
        <v>个</v>
      </c>
      <c r="V120" s="15"/>
      <c r="W120" s="15"/>
      <c r="X120" s="32">
        <f t="shared" si="101"/>
        <v>1</v>
      </c>
      <c r="Y120" s="32" t="str">
        <f t="shared" si="102"/>
        <v>个</v>
      </c>
      <c r="Z120" s="15"/>
      <c r="AA120" s="15"/>
      <c r="AB120" s="15"/>
    </row>
    <row r="121" spans="1:28" s="46" customFormat="1" ht="19.899999999999999" customHeight="1" x14ac:dyDescent="0.15">
      <c r="A121" s="34">
        <v>117</v>
      </c>
      <c r="B121" s="112" t="s">
        <v>1780</v>
      </c>
      <c r="C121" s="29" t="s">
        <v>135</v>
      </c>
      <c r="D121" s="32" t="str">
        <f t="shared" si="98"/>
        <v>备品配件</v>
      </c>
      <c r="E121" s="15"/>
      <c r="F121" s="98" t="s">
        <v>1843</v>
      </c>
      <c r="G121" s="117"/>
      <c r="H121" s="15"/>
      <c r="I121" s="15"/>
      <c r="J121" s="29" t="s">
        <v>1608</v>
      </c>
      <c r="K121" s="113">
        <v>36</v>
      </c>
      <c r="L121" s="110" t="s">
        <v>1932</v>
      </c>
      <c r="M121" s="32" t="str">
        <f t="shared" si="99"/>
        <v>常规</v>
      </c>
      <c r="N121" s="15"/>
      <c r="O121" s="137" t="s">
        <v>2275</v>
      </c>
      <c r="P121" s="15"/>
      <c r="Q121" s="123" t="s">
        <v>3006</v>
      </c>
      <c r="R121" s="15"/>
      <c r="S121" s="15"/>
      <c r="T121" s="110"/>
      <c r="U121" s="32" t="str">
        <f t="shared" si="100"/>
        <v>根</v>
      </c>
      <c r="V121" s="15"/>
      <c r="W121" s="15"/>
      <c r="X121" s="32">
        <f t="shared" si="101"/>
        <v>36</v>
      </c>
      <c r="Y121" s="32" t="str">
        <f t="shared" si="102"/>
        <v>根</v>
      </c>
      <c r="Z121" s="15"/>
      <c r="AA121" s="15"/>
      <c r="AB121" s="15"/>
    </row>
    <row r="122" spans="1:28" s="46" customFormat="1" ht="19.899999999999999" customHeight="1" x14ac:dyDescent="0.15">
      <c r="A122" s="34">
        <v>118</v>
      </c>
      <c r="B122" s="112" t="s">
        <v>1767</v>
      </c>
      <c r="C122" s="29" t="s">
        <v>135</v>
      </c>
      <c r="D122" s="32" t="str">
        <f t="shared" si="98"/>
        <v>备品配件</v>
      </c>
      <c r="E122" s="15"/>
      <c r="F122" s="98" t="s">
        <v>1834</v>
      </c>
      <c r="G122" s="117"/>
      <c r="H122" s="15"/>
      <c r="I122" s="15"/>
      <c r="J122" s="29" t="s">
        <v>1608</v>
      </c>
      <c r="K122" s="113">
        <v>72</v>
      </c>
      <c r="L122" s="110" t="s">
        <v>1932</v>
      </c>
      <c r="M122" s="32" t="str">
        <f t="shared" si="99"/>
        <v>常规</v>
      </c>
      <c r="N122" s="15"/>
      <c r="O122" s="137" t="s">
        <v>2275</v>
      </c>
      <c r="P122" s="15"/>
      <c r="Q122" s="117" t="s">
        <v>1919</v>
      </c>
      <c r="R122" s="15"/>
      <c r="S122" s="15"/>
      <c r="T122" s="110"/>
      <c r="U122" s="32" t="str">
        <f t="shared" si="100"/>
        <v>根</v>
      </c>
      <c r="V122" s="15"/>
      <c r="W122" s="15"/>
      <c r="X122" s="32">
        <f t="shared" si="101"/>
        <v>72</v>
      </c>
      <c r="Y122" s="32" t="str">
        <f t="shared" si="102"/>
        <v>根</v>
      </c>
      <c r="Z122" s="15"/>
      <c r="AA122" s="15"/>
      <c r="AB122" s="15"/>
    </row>
    <row r="123" spans="1:28" s="46" customFormat="1" ht="19.899999999999999" customHeight="1" x14ac:dyDescent="0.15">
      <c r="A123" s="34">
        <v>119</v>
      </c>
      <c r="B123" s="112" t="s">
        <v>2231</v>
      </c>
      <c r="C123" s="29" t="s">
        <v>135</v>
      </c>
      <c r="D123" s="32" t="str">
        <f t="shared" si="98"/>
        <v>备品配件</v>
      </c>
      <c r="E123" s="15"/>
      <c r="F123" s="98">
        <v>1320040</v>
      </c>
      <c r="G123" s="117"/>
      <c r="H123" s="15"/>
      <c r="I123" s="15"/>
      <c r="J123" s="29" t="s">
        <v>1608</v>
      </c>
      <c r="K123" s="113">
        <v>11</v>
      </c>
      <c r="L123" s="110" t="s">
        <v>1932</v>
      </c>
      <c r="M123" s="32" t="str">
        <f t="shared" si="99"/>
        <v>常规</v>
      </c>
      <c r="N123" s="15"/>
      <c r="O123" s="137" t="s">
        <v>2275</v>
      </c>
      <c r="P123" s="15"/>
      <c r="Q123" s="117" t="s">
        <v>1919</v>
      </c>
      <c r="R123" s="15"/>
      <c r="S123" s="15"/>
      <c r="T123" s="110"/>
      <c r="U123" s="32" t="str">
        <f t="shared" si="100"/>
        <v>根</v>
      </c>
      <c r="V123" s="15"/>
      <c r="W123" s="15"/>
      <c r="X123" s="32">
        <f t="shared" si="101"/>
        <v>11</v>
      </c>
      <c r="Y123" s="32" t="str">
        <f t="shared" si="102"/>
        <v>根</v>
      </c>
      <c r="Z123" s="15"/>
      <c r="AA123" s="15"/>
      <c r="AB123" s="15"/>
    </row>
    <row r="124" spans="1:28" s="46" customFormat="1" ht="19.899999999999999" customHeight="1" x14ac:dyDescent="0.15">
      <c r="A124" s="34">
        <v>120</v>
      </c>
      <c r="B124" s="112" t="s">
        <v>1772</v>
      </c>
      <c r="C124" s="29" t="s">
        <v>135</v>
      </c>
      <c r="D124" s="32" t="str">
        <f t="shared" si="98"/>
        <v>备品配件</v>
      </c>
      <c r="E124" s="15"/>
      <c r="F124" s="98">
        <v>1324730</v>
      </c>
      <c r="G124" s="117"/>
      <c r="H124" s="15"/>
      <c r="I124" s="15"/>
      <c r="J124" s="29" t="s">
        <v>1608</v>
      </c>
      <c r="K124" s="113">
        <v>1</v>
      </c>
      <c r="L124" s="110" t="s">
        <v>134</v>
      </c>
      <c r="M124" s="32" t="str">
        <f t="shared" si="99"/>
        <v>常规</v>
      </c>
      <c r="N124" s="15"/>
      <c r="O124" s="137" t="s">
        <v>2275</v>
      </c>
      <c r="P124" s="15"/>
      <c r="Q124" s="117" t="s">
        <v>1919</v>
      </c>
      <c r="R124" s="15"/>
      <c r="S124" s="15"/>
      <c r="T124" s="110"/>
      <c r="U124" s="32" t="str">
        <f t="shared" si="100"/>
        <v>个</v>
      </c>
      <c r="V124" s="15"/>
      <c r="W124" s="15"/>
      <c r="X124" s="32">
        <f t="shared" si="101"/>
        <v>1</v>
      </c>
      <c r="Y124" s="32" t="str">
        <f t="shared" si="102"/>
        <v>个</v>
      </c>
      <c r="Z124" s="15"/>
      <c r="AA124" s="15"/>
      <c r="AB124" s="15"/>
    </row>
    <row r="125" spans="1:28" s="46" customFormat="1" ht="19.899999999999999" customHeight="1" x14ac:dyDescent="0.15">
      <c r="A125" s="34">
        <v>121</v>
      </c>
      <c r="B125" s="112" t="s">
        <v>1781</v>
      </c>
      <c r="C125" s="29" t="s">
        <v>135</v>
      </c>
      <c r="D125" s="32" t="str">
        <f t="shared" si="98"/>
        <v>备品配件</v>
      </c>
      <c r="E125" s="15"/>
      <c r="F125" s="98" t="s">
        <v>1844</v>
      </c>
      <c r="G125" s="117"/>
      <c r="H125" s="15"/>
      <c r="I125" s="15"/>
      <c r="J125" s="29" t="s">
        <v>1608</v>
      </c>
      <c r="K125" s="113">
        <v>1</v>
      </c>
      <c r="L125" s="110" t="s">
        <v>134</v>
      </c>
      <c r="M125" s="32" t="str">
        <f t="shared" si="99"/>
        <v>常规</v>
      </c>
      <c r="N125" s="15"/>
      <c r="O125" s="137" t="s">
        <v>2275</v>
      </c>
      <c r="P125" s="15"/>
      <c r="Q125" s="117" t="s">
        <v>1919</v>
      </c>
      <c r="R125" s="15"/>
      <c r="S125" s="15"/>
      <c r="T125" s="110"/>
      <c r="U125" s="32" t="str">
        <f t="shared" si="100"/>
        <v>个</v>
      </c>
      <c r="V125" s="15"/>
      <c r="W125" s="15"/>
      <c r="X125" s="32">
        <f t="shared" si="101"/>
        <v>1</v>
      </c>
      <c r="Y125" s="32" t="str">
        <f t="shared" si="102"/>
        <v>个</v>
      </c>
      <c r="Z125" s="15"/>
      <c r="AA125" s="15"/>
      <c r="AB125" s="15"/>
    </row>
    <row r="126" spans="1:28" s="46" customFormat="1" ht="19.899999999999999" customHeight="1" x14ac:dyDescent="0.15">
      <c r="A126" s="34">
        <v>122</v>
      </c>
      <c r="B126" s="112" t="s">
        <v>1782</v>
      </c>
      <c r="C126" s="29" t="s">
        <v>135</v>
      </c>
      <c r="D126" s="32" t="str">
        <f t="shared" si="98"/>
        <v>备品配件</v>
      </c>
      <c r="E126" s="15"/>
      <c r="F126" s="98">
        <v>1310900</v>
      </c>
      <c r="G126" s="117"/>
      <c r="H126" s="15"/>
      <c r="I126" s="15"/>
      <c r="J126" s="29" t="s">
        <v>1608</v>
      </c>
      <c r="K126" s="113">
        <v>19</v>
      </c>
      <c r="L126" s="110" t="s">
        <v>134</v>
      </c>
      <c r="M126" s="32" t="str">
        <f t="shared" si="99"/>
        <v>常规</v>
      </c>
      <c r="N126" s="15"/>
      <c r="O126" s="137" t="s">
        <v>2275</v>
      </c>
      <c r="P126" s="15"/>
      <c r="Q126" s="117" t="s">
        <v>1919</v>
      </c>
      <c r="R126" s="15"/>
      <c r="S126" s="15"/>
      <c r="T126" s="110"/>
      <c r="U126" s="32" t="str">
        <f t="shared" si="100"/>
        <v>个</v>
      </c>
      <c r="V126" s="15"/>
      <c r="W126" s="15"/>
      <c r="X126" s="32">
        <f t="shared" si="101"/>
        <v>19</v>
      </c>
      <c r="Y126" s="32" t="str">
        <f t="shared" si="102"/>
        <v>个</v>
      </c>
      <c r="Z126" s="15"/>
      <c r="AA126" s="15"/>
      <c r="AB126" s="15"/>
    </row>
    <row r="127" spans="1:28" s="46" customFormat="1" ht="19.899999999999999" customHeight="1" x14ac:dyDescent="0.15">
      <c r="A127" s="34">
        <v>123</v>
      </c>
      <c r="B127" s="112" t="s">
        <v>1709</v>
      </c>
      <c r="C127" s="29" t="s">
        <v>135</v>
      </c>
      <c r="D127" s="32" t="str">
        <f t="shared" si="98"/>
        <v>备品配件</v>
      </c>
      <c r="E127" s="15"/>
      <c r="F127" s="118" t="s">
        <v>1845</v>
      </c>
      <c r="G127" s="117"/>
      <c r="H127" s="15"/>
      <c r="I127" s="15"/>
      <c r="J127" s="29" t="s">
        <v>1608</v>
      </c>
      <c r="K127" s="113">
        <v>2</v>
      </c>
      <c r="L127" s="110" t="s">
        <v>134</v>
      </c>
      <c r="M127" s="32" t="str">
        <f t="shared" si="99"/>
        <v>常规</v>
      </c>
      <c r="N127" s="15"/>
      <c r="O127" s="137" t="s">
        <v>2275</v>
      </c>
      <c r="P127" s="15"/>
      <c r="Q127" s="117" t="s">
        <v>1919</v>
      </c>
      <c r="R127" s="15"/>
      <c r="S127" s="15"/>
      <c r="T127" s="110"/>
      <c r="U127" s="32" t="str">
        <f t="shared" si="100"/>
        <v>个</v>
      </c>
      <c r="V127" s="15"/>
      <c r="W127" s="15"/>
      <c r="X127" s="32">
        <f t="shared" si="101"/>
        <v>2</v>
      </c>
      <c r="Y127" s="32" t="str">
        <f t="shared" si="102"/>
        <v>个</v>
      </c>
      <c r="Z127" s="15"/>
      <c r="AA127" s="15"/>
      <c r="AB127" s="15"/>
    </row>
    <row r="128" spans="1:28" s="46" customFormat="1" ht="19.899999999999999" customHeight="1" x14ac:dyDescent="0.15">
      <c r="A128" s="34">
        <v>124</v>
      </c>
      <c r="B128" s="112" t="s">
        <v>1710</v>
      </c>
      <c r="C128" s="29" t="s">
        <v>135</v>
      </c>
      <c r="D128" s="32" t="str">
        <f t="shared" si="98"/>
        <v>备品配件</v>
      </c>
      <c r="E128" s="15"/>
      <c r="F128" s="98">
        <v>1315560</v>
      </c>
      <c r="G128" s="117"/>
      <c r="H128" s="15"/>
      <c r="I128" s="15"/>
      <c r="J128" s="29" t="s">
        <v>1608</v>
      </c>
      <c r="K128" s="113">
        <v>1</v>
      </c>
      <c r="L128" s="110" t="s">
        <v>134</v>
      </c>
      <c r="M128" s="32" t="str">
        <f t="shared" si="99"/>
        <v>常规</v>
      </c>
      <c r="N128" s="15"/>
      <c r="O128" s="137" t="s">
        <v>2275</v>
      </c>
      <c r="P128" s="15"/>
      <c r="Q128" s="117" t="s">
        <v>1919</v>
      </c>
      <c r="R128" s="15"/>
      <c r="S128" s="15"/>
      <c r="T128" s="110"/>
      <c r="U128" s="32" t="str">
        <f t="shared" si="100"/>
        <v>个</v>
      </c>
      <c r="V128" s="15"/>
      <c r="W128" s="15"/>
      <c r="X128" s="32">
        <f t="shared" si="101"/>
        <v>1</v>
      </c>
      <c r="Y128" s="32" t="str">
        <f t="shared" si="102"/>
        <v>个</v>
      </c>
      <c r="Z128" s="15"/>
      <c r="AA128" s="15"/>
      <c r="AB128" s="15"/>
    </row>
    <row r="129" spans="1:28" s="46" customFormat="1" ht="19.899999999999999" customHeight="1" x14ac:dyDescent="0.15">
      <c r="A129" s="34">
        <v>125</v>
      </c>
      <c r="B129" s="112" t="s">
        <v>1711</v>
      </c>
      <c r="C129" s="29" t="s">
        <v>135</v>
      </c>
      <c r="D129" s="32" t="str">
        <f t="shared" ref="D129:D187" si="103">IF(C129="J1","常规化学品",IF(C129="J2","危险化学品",IF(C129="J3","标准物质",IF(C129="J4","玻璃仪器",IF(C129="J5","实验气体",IF(C129="J6","专用物耗",IF(C129="J7","备品配件",IF(C129="J8","专用工具",IF(C129="Z1","劳保物资",IF(C129="Z2","办公耗材",IF(C129="Z3","食品饮料",IF(C129="Z4","特殊物耗",IF(C129="Z5","通用物耗",IF(C129="Z6","通用工具",""))))))))))))))</f>
        <v>备品配件</v>
      </c>
      <c r="E129" s="15"/>
      <c r="F129" s="98">
        <v>1378130</v>
      </c>
      <c r="G129" s="117"/>
      <c r="H129" s="15"/>
      <c r="I129" s="15"/>
      <c r="J129" s="29" t="s">
        <v>1608</v>
      </c>
      <c r="K129" s="113">
        <v>1</v>
      </c>
      <c r="L129" s="110" t="s">
        <v>134</v>
      </c>
      <c r="M129" s="32" t="str">
        <f t="shared" ref="M129:M187" si="104">IF(D129="危险化学品","五双",IF(D129="标准物资","严控",IF(D129&lt;&gt;"","常规","")))</f>
        <v>常规</v>
      </c>
      <c r="N129" s="15"/>
      <c r="O129" s="137" t="s">
        <v>2275</v>
      </c>
      <c r="P129" s="15"/>
      <c r="Q129" s="117" t="s">
        <v>1919</v>
      </c>
      <c r="R129" s="15"/>
      <c r="S129" s="15"/>
      <c r="T129" s="110"/>
      <c r="U129" s="32" t="str">
        <f t="shared" ref="U129:U187" si="105">IF(L129="","",L129)</f>
        <v>个</v>
      </c>
      <c r="V129" s="15"/>
      <c r="W129" s="15"/>
      <c r="X129" s="32">
        <f t="shared" ref="X129:X187" si="106">IF((K129-T129)&lt;=0,"",K129-T129)</f>
        <v>1</v>
      </c>
      <c r="Y129" s="32" t="str">
        <f t="shared" ref="Y129:Y187" si="107">IF(L129="","",L129)</f>
        <v>个</v>
      </c>
      <c r="Z129" s="15"/>
      <c r="AA129" s="15"/>
      <c r="AB129" s="15"/>
    </row>
    <row r="130" spans="1:28" s="46" customFormat="1" ht="19.899999999999999" customHeight="1" x14ac:dyDescent="0.15">
      <c r="A130" s="34">
        <v>126</v>
      </c>
      <c r="B130" s="112" t="s">
        <v>1712</v>
      </c>
      <c r="C130" s="29" t="s">
        <v>135</v>
      </c>
      <c r="D130" s="32" t="str">
        <f t="shared" si="103"/>
        <v>备品配件</v>
      </c>
      <c r="E130" s="15"/>
      <c r="F130" s="98">
        <v>1600582</v>
      </c>
      <c r="G130" s="117"/>
      <c r="H130" s="15"/>
      <c r="I130" s="15"/>
      <c r="J130" s="29" t="s">
        <v>1608</v>
      </c>
      <c r="K130" s="113">
        <v>1</v>
      </c>
      <c r="L130" s="110" t="s">
        <v>134</v>
      </c>
      <c r="M130" s="32" t="str">
        <f t="shared" si="104"/>
        <v>常规</v>
      </c>
      <c r="N130" s="15"/>
      <c r="O130" s="137" t="s">
        <v>2275</v>
      </c>
      <c r="P130" s="15"/>
      <c r="Q130" s="117" t="s">
        <v>1919</v>
      </c>
      <c r="R130" s="15"/>
      <c r="S130" s="15"/>
      <c r="T130" s="110"/>
      <c r="U130" s="32" t="str">
        <f t="shared" si="105"/>
        <v>个</v>
      </c>
      <c r="V130" s="15"/>
      <c r="W130" s="15"/>
      <c r="X130" s="32">
        <f t="shared" si="106"/>
        <v>1</v>
      </c>
      <c r="Y130" s="32" t="str">
        <f t="shared" si="107"/>
        <v>个</v>
      </c>
      <c r="Z130" s="15"/>
      <c r="AA130" s="15"/>
      <c r="AB130" s="15"/>
    </row>
    <row r="131" spans="1:28" s="46" customFormat="1" ht="19.899999999999999" customHeight="1" x14ac:dyDescent="0.15">
      <c r="A131" s="34">
        <v>127</v>
      </c>
      <c r="B131" s="112" t="s">
        <v>1713</v>
      </c>
      <c r="C131" s="29" t="s">
        <v>135</v>
      </c>
      <c r="D131" s="32" t="str">
        <f t="shared" si="103"/>
        <v>备品配件</v>
      </c>
      <c r="E131" s="15"/>
      <c r="F131" s="98">
        <v>1122720</v>
      </c>
      <c r="G131" s="117"/>
      <c r="H131" s="15"/>
      <c r="I131" s="15"/>
      <c r="J131" s="29" t="s">
        <v>1608</v>
      </c>
      <c r="K131" s="113">
        <v>1</v>
      </c>
      <c r="L131" s="110" t="s">
        <v>1932</v>
      </c>
      <c r="M131" s="32" t="str">
        <f t="shared" si="104"/>
        <v>常规</v>
      </c>
      <c r="N131" s="15"/>
      <c r="O131" s="137" t="s">
        <v>2275</v>
      </c>
      <c r="P131" s="15"/>
      <c r="Q131" s="117" t="s">
        <v>1919</v>
      </c>
      <c r="R131" s="15"/>
      <c r="S131" s="15"/>
      <c r="T131" s="110"/>
      <c r="U131" s="32" t="str">
        <f t="shared" si="105"/>
        <v>根</v>
      </c>
      <c r="V131" s="15"/>
      <c r="W131" s="15"/>
      <c r="X131" s="32">
        <f t="shared" si="106"/>
        <v>1</v>
      </c>
      <c r="Y131" s="32" t="str">
        <f t="shared" si="107"/>
        <v>根</v>
      </c>
      <c r="Z131" s="15"/>
      <c r="AA131" s="15"/>
      <c r="AB131" s="15"/>
    </row>
    <row r="132" spans="1:28" s="46" customFormat="1" ht="19.899999999999999" customHeight="1" x14ac:dyDescent="0.15">
      <c r="A132" s="34">
        <v>128</v>
      </c>
      <c r="B132" s="112" t="s">
        <v>1770</v>
      </c>
      <c r="C132" s="29" t="s">
        <v>135</v>
      </c>
      <c r="D132" s="32" t="str">
        <f t="shared" si="103"/>
        <v>备品配件</v>
      </c>
      <c r="E132" s="15"/>
      <c r="F132" s="98" t="s">
        <v>1846</v>
      </c>
      <c r="G132" s="117"/>
      <c r="H132" s="15"/>
      <c r="I132" s="15"/>
      <c r="J132" s="29" t="s">
        <v>1608</v>
      </c>
      <c r="K132" s="113">
        <v>1</v>
      </c>
      <c r="L132" s="110" t="s">
        <v>1932</v>
      </c>
      <c r="M132" s="32" t="str">
        <f t="shared" si="104"/>
        <v>常规</v>
      </c>
      <c r="N132" s="15"/>
      <c r="O132" s="137" t="s">
        <v>2275</v>
      </c>
      <c r="P132" s="15"/>
      <c r="Q132" s="117" t="s">
        <v>1919</v>
      </c>
      <c r="R132" s="15"/>
      <c r="S132" s="15"/>
      <c r="T132" s="110"/>
      <c r="U132" s="32" t="str">
        <f t="shared" si="105"/>
        <v>根</v>
      </c>
      <c r="V132" s="15"/>
      <c r="W132" s="15"/>
      <c r="X132" s="32">
        <f t="shared" si="106"/>
        <v>1</v>
      </c>
      <c r="Y132" s="32" t="str">
        <f t="shared" si="107"/>
        <v>根</v>
      </c>
      <c r="Z132" s="15"/>
      <c r="AA132" s="15"/>
      <c r="AB132" s="15"/>
    </row>
    <row r="133" spans="1:28" s="46" customFormat="1" ht="19.899999999999999" customHeight="1" x14ac:dyDescent="0.15">
      <c r="A133" s="34">
        <v>129</v>
      </c>
      <c r="B133" s="112" t="s">
        <v>1714</v>
      </c>
      <c r="C133" s="29" t="s">
        <v>135</v>
      </c>
      <c r="D133" s="32" t="str">
        <f t="shared" si="103"/>
        <v>备品配件</v>
      </c>
      <c r="E133" s="15"/>
      <c r="F133" s="118" t="s">
        <v>1847</v>
      </c>
      <c r="G133" s="117"/>
      <c r="H133" s="15"/>
      <c r="I133" s="15"/>
      <c r="J133" s="29" t="s">
        <v>1608</v>
      </c>
      <c r="K133" s="113">
        <v>10</v>
      </c>
      <c r="L133" s="110" t="s">
        <v>134</v>
      </c>
      <c r="M133" s="32" t="str">
        <f t="shared" si="104"/>
        <v>常规</v>
      </c>
      <c r="N133" s="15"/>
      <c r="O133" s="137" t="s">
        <v>2275</v>
      </c>
      <c r="P133" s="15"/>
      <c r="Q133" s="117" t="s">
        <v>1919</v>
      </c>
      <c r="R133" s="15"/>
      <c r="S133" s="15"/>
      <c r="T133" s="110"/>
      <c r="U133" s="32" t="str">
        <f t="shared" si="105"/>
        <v>个</v>
      </c>
      <c r="V133" s="15"/>
      <c r="W133" s="15"/>
      <c r="X133" s="32">
        <f t="shared" si="106"/>
        <v>10</v>
      </c>
      <c r="Y133" s="32" t="str">
        <f t="shared" si="107"/>
        <v>个</v>
      </c>
      <c r="Z133" s="15"/>
      <c r="AA133" s="15"/>
      <c r="AB133" s="15"/>
    </row>
    <row r="134" spans="1:28" s="46" customFormat="1" ht="19.899999999999999" customHeight="1" x14ac:dyDescent="0.15">
      <c r="A134" s="34">
        <v>130</v>
      </c>
      <c r="B134" s="112" t="s">
        <v>1715</v>
      </c>
      <c r="C134" s="29" t="s">
        <v>135</v>
      </c>
      <c r="D134" s="32" t="str">
        <f t="shared" si="103"/>
        <v>备品配件</v>
      </c>
      <c r="E134" s="15"/>
      <c r="F134" s="118" t="s">
        <v>1848</v>
      </c>
      <c r="G134" s="117"/>
      <c r="H134" s="15"/>
      <c r="I134" s="15"/>
      <c r="J134" s="29" t="s">
        <v>1608</v>
      </c>
      <c r="K134" s="113">
        <v>1</v>
      </c>
      <c r="L134" s="110" t="s">
        <v>134</v>
      </c>
      <c r="M134" s="32" t="str">
        <f t="shared" si="104"/>
        <v>常规</v>
      </c>
      <c r="N134" s="15"/>
      <c r="O134" s="137" t="s">
        <v>2275</v>
      </c>
      <c r="P134" s="15"/>
      <c r="Q134" s="117" t="s">
        <v>1919</v>
      </c>
      <c r="R134" s="15"/>
      <c r="S134" s="15"/>
      <c r="T134" s="110"/>
      <c r="U134" s="32" t="str">
        <f t="shared" si="105"/>
        <v>个</v>
      </c>
      <c r="V134" s="15"/>
      <c r="W134" s="15"/>
      <c r="X134" s="32">
        <f t="shared" si="106"/>
        <v>1</v>
      </c>
      <c r="Y134" s="32" t="str">
        <f t="shared" si="107"/>
        <v>个</v>
      </c>
      <c r="Z134" s="15"/>
      <c r="AA134" s="15"/>
      <c r="AB134" s="15"/>
    </row>
    <row r="135" spans="1:28" s="46" customFormat="1" ht="19.899999999999999" customHeight="1" x14ac:dyDescent="0.15">
      <c r="A135" s="34">
        <v>131</v>
      </c>
      <c r="B135" s="112" t="s">
        <v>1716</v>
      </c>
      <c r="C135" s="29" t="s">
        <v>135</v>
      </c>
      <c r="D135" s="32" t="str">
        <f t="shared" si="103"/>
        <v>备品配件</v>
      </c>
      <c r="E135" s="15"/>
      <c r="F135" s="98">
        <v>1600583</v>
      </c>
      <c r="G135" s="117"/>
      <c r="H135" s="15"/>
      <c r="I135" s="15"/>
      <c r="J135" s="29" t="s">
        <v>1608</v>
      </c>
      <c r="K135" s="113">
        <v>1</v>
      </c>
      <c r="L135" s="110" t="s">
        <v>134</v>
      </c>
      <c r="M135" s="32" t="str">
        <f t="shared" si="104"/>
        <v>常规</v>
      </c>
      <c r="N135" s="15"/>
      <c r="O135" s="137" t="s">
        <v>2275</v>
      </c>
      <c r="P135" s="15"/>
      <c r="Q135" s="117" t="s">
        <v>1919</v>
      </c>
      <c r="R135" s="15"/>
      <c r="S135" s="15"/>
      <c r="T135" s="110"/>
      <c r="U135" s="32" t="str">
        <f t="shared" si="105"/>
        <v>个</v>
      </c>
      <c r="V135" s="15"/>
      <c r="W135" s="15"/>
      <c r="X135" s="32">
        <f t="shared" si="106"/>
        <v>1</v>
      </c>
      <c r="Y135" s="32" t="str">
        <f t="shared" si="107"/>
        <v>个</v>
      </c>
      <c r="Z135" s="15"/>
      <c r="AA135" s="15"/>
      <c r="AB135" s="15"/>
    </row>
    <row r="136" spans="1:28" s="46" customFormat="1" ht="19.899999999999999" customHeight="1" x14ac:dyDescent="0.15">
      <c r="A136" s="34">
        <v>132</v>
      </c>
      <c r="B136" s="112" t="s">
        <v>1717</v>
      </c>
      <c r="C136" s="29" t="s">
        <v>135</v>
      </c>
      <c r="D136" s="32" t="str">
        <f t="shared" si="103"/>
        <v>备品配件</v>
      </c>
      <c r="E136" s="15"/>
      <c r="F136" s="98">
        <v>1329710</v>
      </c>
      <c r="G136" s="117"/>
      <c r="H136" s="15"/>
      <c r="I136" s="15"/>
      <c r="J136" s="94" t="s">
        <v>2143</v>
      </c>
      <c r="K136" s="113">
        <v>2</v>
      </c>
      <c r="L136" s="110" t="s">
        <v>134</v>
      </c>
      <c r="M136" s="32" t="str">
        <f t="shared" si="104"/>
        <v>常规</v>
      </c>
      <c r="N136" s="15"/>
      <c r="O136" s="137" t="s">
        <v>2275</v>
      </c>
      <c r="P136" s="15"/>
      <c r="Q136" s="117" t="s">
        <v>1919</v>
      </c>
      <c r="R136" s="15"/>
      <c r="S136" s="15"/>
      <c r="T136" s="110"/>
      <c r="U136" s="32" t="str">
        <f t="shared" si="105"/>
        <v>个</v>
      </c>
      <c r="V136" s="15"/>
      <c r="W136" s="15"/>
      <c r="X136" s="32">
        <f t="shared" si="106"/>
        <v>2</v>
      </c>
      <c r="Y136" s="32" t="str">
        <f t="shared" si="107"/>
        <v>个</v>
      </c>
      <c r="Z136" s="15"/>
      <c r="AA136" s="15"/>
      <c r="AB136" s="15"/>
    </row>
    <row r="137" spans="1:28" s="46" customFormat="1" ht="19.899999999999999" customHeight="1" x14ac:dyDescent="0.15">
      <c r="A137" s="34">
        <v>133</v>
      </c>
      <c r="B137" s="112" t="s">
        <v>1718</v>
      </c>
      <c r="C137" s="29" t="s">
        <v>135</v>
      </c>
      <c r="D137" s="32" t="str">
        <f t="shared" si="103"/>
        <v>备品配件</v>
      </c>
      <c r="E137" s="15"/>
      <c r="F137" s="98">
        <v>1329690</v>
      </c>
      <c r="G137" s="117"/>
      <c r="H137" s="15"/>
      <c r="I137" s="15"/>
      <c r="J137" s="29" t="s">
        <v>1608</v>
      </c>
      <c r="K137" s="113">
        <v>1</v>
      </c>
      <c r="L137" s="110" t="s">
        <v>134</v>
      </c>
      <c r="M137" s="32" t="str">
        <f t="shared" si="104"/>
        <v>常规</v>
      </c>
      <c r="N137" s="15"/>
      <c r="O137" s="137" t="s">
        <v>2275</v>
      </c>
      <c r="P137" s="15"/>
      <c r="Q137" s="117" t="s">
        <v>1919</v>
      </c>
      <c r="R137" s="15"/>
      <c r="S137" s="15"/>
      <c r="T137" s="110"/>
      <c r="U137" s="32" t="str">
        <f t="shared" si="105"/>
        <v>个</v>
      </c>
      <c r="V137" s="15"/>
      <c r="W137" s="15"/>
      <c r="X137" s="32">
        <f t="shared" si="106"/>
        <v>1</v>
      </c>
      <c r="Y137" s="32" t="str">
        <f t="shared" si="107"/>
        <v>个</v>
      </c>
      <c r="Z137" s="15"/>
      <c r="AA137" s="15"/>
      <c r="AB137" s="15"/>
    </row>
    <row r="138" spans="1:28" s="46" customFormat="1" ht="19.899999999999999" customHeight="1" x14ac:dyDescent="0.15">
      <c r="A138" s="34">
        <v>134</v>
      </c>
      <c r="B138" s="112" t="s">
        <v>2138</v>
      </c>
      <c r="C138" s="29" t="s">
        <v>135</v>
      </c>
      <c r="D138" s="32" t="str">
        <f t="shared" si="103"/>
        <v>备品配件</v>
      </c>
      <c r="E138" s="15"/>
      <c r="F138" s="118" t="s">
        <v>2139</v>
      </c>
      <c r="G138" s="117"/>
      <c r="H138" s="15"/>
      <c r="I138" s="15"/>
      <c r="J138" s="29" t="s">
        <v>1608</v>
      </c>
      <c r="K138" s="113">
        <v>1</v>
      </c>
      <c r="L138" s="110" t="s">
        <v>134</v>
      </c>
      <c r="M138" s="32" t="str">
        <f t="shared" si="104"/>
        <v>常规</v>
      </c>
      <c r="N138" s="15"/>
      <c r="O138" s="137" t="s">
        <v>2275</v>
      </c>
      <c r="P138" s="15"/>
      <c r="Q138" s="117" t="s">
        <v>1919</v>
      </c>
      <c r="R138" s="15"/>
      <c r="S138" s="15"/>
      <c r="T138" s="110"/>
      <c r="U138" s="32" t="str">
        <f t="shared" si="105"/>
        <v>个</v>
      </c>
      <c r="V138" s="15"/>
      <c r="W138" s="15"/>
      <c r="X138" s="32">
        <f t="shared" si="106"/>
        <v>1</v>
      </c>
      <c r="Y138" s="32" t="str">
        <f t="shared" si="107"/>
        <v>个</v>
      </c>
      <c r="Z138" s="15"/>
      <c r="AA138" s="15"/>
      <c r="AB138" s="15"/>
    </row>
    <row r="139" spans="1:28" s="46" customFormat="1" ht="19.899999999999999" customHeight="1" x14ac:dyDescent="0.15">
      <c r="A139" s="34">
        <v>135</v>
      </c>
      <c r="B139" s="112" t="s">
        <v>2140</v>
      </c>
      <c r="C139" s="29" t="s">
        <v>135</v>
      </c>
      <c r="D139" s="32" t="str">
        <f t="shared" si="103"/>
        <v>备品配件</v>
      </c>
      <c r="E139" s="15"/>
      <c r="F139" s="118" t="s">
        <v>2142</v>
      </c>
      <c r="G139" s="117"/>
      <c r="H139" s="15"/>
      <c r="I139" s="15"/>
      <c r="J139" s="29" t="s">
        <v>1608</v>
      </c>
      <c r="K139" s="113">
        <v>1</v>
      </c>
      <c r="L139" s="110" t="s">
        <v>134</v>
      </c>
      <c r="M139" s="32" t="str">
        <f t="shared" si="104"/>
        <v>常规</v>
      </c>
      <c r="N139" s="15"/>
      <c r="O139" s="137" t="s">
        <v>2275</v>
      </c>
      <c r="P139" s="15"/>
      <c r="Q139" s="117" t="s">
        <v>1919</v>
      </c>
      <c r="R139" s="15"/>
      <c r="S139" s="15"/>
      <c r="T139" s="110"/>
      <c r="U139" s="32" t="str">
        <f t="shared" si="105"/>
        <v>个</v>
      </c>
      <c r="V139" s="15"/>
      <c r="W139" s="15"/>
      <c r="X139" s="32">
        <f t="shared" si="106"/>
        <v>1</v>
      </c>
      <c r="Y139" s="32" t="str">
        <f t="shared" si="107"/>
        <v>个</v>
      </c>
      <c r="Z139" s="15"/>
      <c r="AA139" s="15"/>
      <c r="AB139" s="15"/>
    </row>
    <row r="140" spans="1:28" s="46" customFormat="1" ht="19.899999999999999" customHeight="1" x14ac:dyDescent="0.15">
      <c r="A140" s="34">
        <v>136</v>
      </c>
      <c r="B140" s="98" t="s">
        <v>1670</v>
      </c>
      <c r="C140" s="29" t="s">
        <v>135</v>
      </c>
      <c r="D140" s="32" t="str">
        <f t="shared" si="103"/>
        <v>备品配件</v>
      </c>
      <c r="E140" s="15"/>
      <c r="F140" s="121"/>
      <c r="G140" s="117"/>
      <c r="H140" s="15"/>
      <c r="I140" s="15"/>
      <c r="J140" s="29" t="s">
        <v>1608</v>
      </c>
      <c r="K140" s="113">
        <v>1</v>
      </c>
      <c r="L140" s="110" t="s">
        <v>1932</v>
      </c>
      <c r="M140" s="32" t="str">
        <f t="shared" si="104"/>
        <v>常规</v>
      </c>
      <c r="N140" s="15"/>
      <c r="O140" s="137" t="s">
        <v>2275</v>
      </c>
      <c r="P140" s="15"/>
      <c r="Q140" s="123" t="s">
        <v>3104</v>
      </c>
      <c r="R140" s="15"/>
      <c r="S140" s="15"/>
      <c r="T140" s="110"/>
      <c r="U140" s="32" t="str">
        <f t="shared" si="105"/>
        <v>根</v>
      </c>
      <c r="V140" s="15"/>
      <c r="W140" s="15"/>
      <c r="X140" s="32">
        <f t="shared" si="106"/>
        <v>1</v>
      </c>
      <c r="Y140" s="32" t="str">
        <f t="shared" si="107"/>
        <v>根</v>
      </c>
      <c r="Z140" s="15"/>
      <c r="AA140" s="15"/>
      <c r="AB140" s="15"/>
    </row>
    <row r="141" spans="1:28" s="46" customFormat="1" ht="19.899999999999999" customHeight="1" x14ac:dyDescent="0.15">
      <c r="A141" s="34">
        <v>137</v>
      </c>
      <c r="B141" s="112" t="s">
        <v>2141</v>
      </c>
      <c r="C141" s="29" t="s">
        <v>135</v>
      </c>
      <c r="D141" s="32" t="str">
        <f t="shared" si="103"/>
        <v>备品配件</v>
      </c>
      <c r="E141" s="15"/>
      <c r="F141" s="122"/>
      <c r="G141" s="117"/>
      <c r="H141" s="15"/>
      <c r="I141" s="15"/>
      <c r="J141" s="29" t="s">
        <v>1608</v>
      </c>
      <c r="K141" s="113">
        <v>1</v>
      </c>
      <c r="L141" s="110" t="s">
        <v>1932</v>
      </c>
      <c r="M141" s="32" t="str">
        <f t="shared" si="104"/>
        <v>常规</v>
      </c>
      <c r="N141" s="15"/>
      <c r="O141" s="137" t="s">
        <v>2275</v>
      </c>
      <c r="P141" s="15"/>
      <c r="Q141" s="117" t="s">
        <v>1920</v>
      </c>
      <c r="R141" s="15"/>
      <c r="S141" s="15"/>
      <c r="T141" s="110"/>
      <c r="U141" s="32" t="str">
        <f t="shared" si="105"/>
        <v>根</v>
      </c>
      <c r="V141" s="15"/>
      <c r="W141" s="15"/>
      <c r="X141" s="32">
        <f t="shared" si="106"/>
        <v>1</v>
      </c>
      <c r="Y141" s="32" t="str">
        <f t="shared" si="107"/>
        <v>根</v>
      </c>
      <c r="Z141" s="15"/>
      <c r="AA141" s="15"/>
      <c r="AB141" s="15"/>
    </row>
    <row r="142" spans="1:28" s="46" customFormat="1" ht="19.899999999999999" customHeight="1" x14ac:dyDescent="0.15">
      <c r="A142" s="34">
        <v>138</v>
      </c>
      <c r="B142" s="98" t="s">
        <v>3105</v>
      </c>
      <c r="C142" s="29" t="s">
        <v>135</v>
      </c>
      <c r="D142" s="32" t="str">
        <f t="shared" si="103"/>
        <v>备品配件</v>
      </c>
      <c r="E142" s="15"/>
      <c r="F142" s="121"/>
      <c r="G142" s="117"/>
      <c r="H142" s="15"/>
      <c r="I142" s="15"/>
      <c r="J142" s="29" t="s">
        <v>1608</v>
      </c>
      <c r="K142" s="113">
        <v>1</v>
      </c>
      <c r="L142" s="110" t="s">
        <v>134</v>
      </c>
      <c r="M142" s="32" t="str">
        <f t="shared" si="104"/>
        <v>常规</v>
      </c>
      <c r="N142" s="15"/>
      <c r="O142" s="137" t="s">
        <v>2275</v>
      </c>
      <c r="P142" s="15"/>
      <c r="Q142" s="117" t="s">
        <v>1920</v>
      </c>
      <c r="R142" s="15"/>
      <c r="S142" s="15"/>
      <c r="T142" s="110"/>
      <c r="U142" s="32" t="str">
        <f t="shared" si="105"/>
        <v>个</v>
      </c>
      <c r="V142" s="15"/>
      <c r="W142" s="15"/>
      <c r="X142" s="32">
        <f t="shared" si="106"/>
        <v>1</v>
      </c>
      <c r="Y142" s="32" t="str">
        <f t="shared" si="107"/>
        <v>个</v>
      </c>
      <c r="Z142" s="15"/>
      <c r="AA142" s="15"/>
      <c r="AB142" s="15"/>
    </row>
    <row r="143" spans="1:28" s="46" customFormat="1" ht="19.899999999999999" customHeight="1" x14ac:dyDescent="0.15">
      <c r="A143" s="34">
        <v>139</v>
      </c>
      <c r="B143" s="98" t="s">
        <v>1719</v>
      </c>
      <c r="C143" s="29" t="s">
        <v>135</v>
      </c>
      <c r="D143" s="32" t="str">
        <f t="shared" si="103"/>
        <v>备品配件</v>
      </c>
      <c r="E143" s="15"/>
      <c r="F143" s="121"/>
      <c r="G143" s="117"/>
      <c r="H143" s="15"/>
      <c r="I143" s="15"/>
      <c r="J143" s="29" t="s">
        <v>1608</v>
      </c>
      <c r="K143" s="113">
        <v>2</v>
      </c>
      <c r="L143" s="110" t="s">
        <v>134</v>
      </c>
      <c r="M143" s="32" t="str">
        <f t="shared" si="104"/>
        <v>常规</v>
      </c>
      <c r="N143" s="15"/>
      <c r="O143" s="137" t="s">
        <v>2275</v>
      </c>
      <c r="P143" s="15"/>
      <c r="Q143" s="117" t="s">
        <v>1920</v>
      </c>
      <c r="R143" s="15"/>
      <c r="S143" s="15"/>
      <c r="T143" s="110"/>
      <c r="U143" s="32" t="str">
        <f t="shared" si="105"/>
        <v>个</v>
      </c>
      <c r="V143" s="15"/>
      <c r="W143" s="15"/>
      <c r="X143" s="32">
        <f t="shared" si="106"/>
        <v>2</v>
      </c>
      <c r="Y143" s="32" t="str">
        <f t="shared" si="107"/>
        <v>个</v>
      </c>
      <c r="Z143" s="15"/>
      <c r="AA143" s="15"/>
      <c r="AB143" s="15"/>
    </row>
    <row r="144" spans="1:28" s="46" customFormat="1" ht="19.899999999999999" customHeight="1" x14ac:dyDescent="0.15">
      <c r="A144" s="34">
        <v>140</v>
      </c>
      <c r="B144" s="112" t="s">
        <v>1720</v>
      </c>
      <c r="C144" s="29" t="s">
        <v>135</v>
      </c>
      <c r="D144" s="32" t="str">
        <f t="shared" si="103"/>
        <v>备品配件</v>
      </c>
      <c r="E144" s="15"/>
      <c r="F144" s="98" t="s">
        <v>1849</v>
      </c>
      <c r="G144" s="117"/>
      <c r="H144" s="15"/>
      <c r="I144" s="15"/>
      <c r="J144" s="29" t="s">
        <v>1608</v>
      </c>
      <c r="K144" s="113">
        <v>1</v>
      </c>
      <c r="L144" s="110" t="s">
        <v>134</v>
      </c>
      <c r="M144" s="32" t="str">
        <f t="shared" si="104"/>
        <v>常规</v>
      </c>
      <c r="N144" s="15"/>
      <c r="O144" s="137" t="s">
        <v>2275</v>
      </c>
      <c r="P144" s="15"/>
      <c r="Q144" s="117" t="s">
        <v>1920</v>
      </c>
      <c r="R144" s="15"/>
      <c r="S144" s="15"/>
      <c r="T144" s="110"/>
      <c r="U144" s="32" t="str">
        <f t="shared" si="105"/>
        <v>个</v>
      </c>
      <c r="V144" s="15"/>
      <c r="W144" s="15"/>
      <c r="X144" s="32">
        <f t="shared" si="106"/>
        <v>1</v>
      </c>
      <c r="Y144" s="32" t="str">
        <f t="shared" si="107"/>
        <v>个</v>
      </c>
      <c r="Z144" s="15"/>
      <c r="AA144" s="15"/>
      <c r="AB144" s="15"/>
    </row>
    <row r="145" spans="1:28" s="46" customFormat="1" ht="19.899999999999999" customHeight="1" x14ac:dyDescent="0.15">
      <c r="A145" s="34">
        <v>141</v>
      </c>
      <c r="B145" s="112" t="s">
        <v>1721</v>
      </c>
      <c r="C145" s="29" t="s">
        <v>135</v>
      </c>
      <c r="D145" s="32" t="str">
        <f t="shared" si="103"/>
        <v>备品配件</v>
      </c>
      <c r="E145" s="15"/>
      <c r="F145" s="98">
        <v>1600550</v>
      </c>
      <c r="G145" s="117"/>
      <c r="H145" s="15"/>
      <c r="I145" s="15"/>
      <c r="J145" s="29" t="s">
        <v>1608</v>
      </c>
      <c r="K145" s="113">
        <v>3</v>
      </c>
      <c r="L145" s="110" t="s">
        <v>1591</v>
      </c>
      <c r="M145" s="32" t="str">
        <f t="shared" si="104"/>
        <v>常规</v>
      </c>
      <c r="N145" s="15"/>
      <c r="O145" s="137" t="s">
        <v>2275</v>
      </c>
      <c r="P145" s="15"/>
      <c r="Q145" s="117" t="s">
        <v>1920</v>
      </c>
      <c r="R145" s="15"/>
      <c r="S145" s="15"/>
      <c r="T145" s="110"/>
      <c r="U145" s="32" t="str">
        <f t="shared" si="105"/>
        <v>只</v>
      </c>
      <c r="V145" s="15"/>
      <c r="W145" s="15"/>
      <c r="X145" s="32">
        <f t="shared" si="106"/>
        <v>3</v>
      </c>
      <c r="Y145" s="32" t="str">
        <f t="shared" si="107"/>
        <v>只</v>
      </c>
      <c r="Z145" s="15"/>
      <c r="AA145" s="15"/>
      <c r="AB145" s="15"/>
    </row>
    <row r="146" spans="1:28" s="46" customFormat="1" ht="19.899999999999999" customHeight="1" x14ac:dyDescent="0.15">
      <c r="A146" s="34">
        <v>142</v>
      </c>
      <c r="B146" s="112" t="s">
        <v>1722</v>
      </c>
      <c r="C146" s="29" t="s">
        <v>135</v>
      </c>
      <c r="D146" s="32" t="str">
        <f t="shared" si="103"/>
        <v>备品配件</v>
      </c>
      <c r="E146" s="15"/>
      <c r="F146" s="109" t="s">
        <v>1850</v>
      </c>
      <c r="G146" s="109" t="s">
        <v>1989</v>
      </c>
      <c r="H146" s="15"/>
      <c r="I146" s="15"/>
      <c r="J146" s="29" t="s">
        <v>1608</v>
      </c>
      <c r="K146" s="110">
        <v>2</v>
      </c>
      <c r="L146" s="110" t="s">
        <v>134</v>
      </c>
      <c r="M146" s="32" t="str">
        <f t="shared" si="104"/>
        <v>常规</v>
      </c>
      <c r="N146" s="15"/>
      <c r="O146" s="137" t="s">
        <v>2276</v>
      </c>
      <c r="P146" s="15"/>
      <c r="Q146" s="15" t="s">
        <v>1992</v>
      </c>
      <c r="R146" s="15"/>
      <c r="S146" s="15"/>
      <c r="T146" s="110"/>
      <c r="U146" s="32" t="str">
        <f t="shared" si="105"/>
        <v>个</v>
      </c>
      <c r="V146" s="15"/>
      <c r="W146" s="15"/>
      <c r="X146" s="32">
        <f t="shared" si="106"/>
        <v>2</v>
      </c>
      <c r="Y146" s="32" t="str">
        <f t="shared" si="107"/>
        <v>个</v>
      </c>
      <c r="Z146" s="15"/>
      <c r="AA146" s="15"/>
      <c r="AB146" s="15"/>
    </row>
    <row r="147" spans="1:28" s="46" customFormat="1" ht="19.899999999999999" customHeight="1" x14ac:dyDescent="0.15">
      <c r="A147" s="34">
        <v>143</v>
      </c>
      <c r="B147" s="112" t="s">
        <v>1722</v>
      </c>
      <c r="C147" s="29" t="s">
        <v>135</v>
      </c>
      <c r="D147" s="32" t="str">
        <f t="shared" si="103"/>
        <v>备品配件</v>
      </c>
      <c r="E147" s="15"/>
      <c r="F147" s="109" t="s">
        <v>1851</v>
      </c>
      <c r="G147" s="109" t="s">
        <v>1989</v>
      </c>
      <c r="H147" s="15"/>
      <c r="I147" s="15"/>
      <c r="J147" s="29" t="s">
        <v>1608</v>
      </c>
      <c r="K147" s="110">
        <v>2</v>
      </c>
      <c r="L147" s="110" t="s">
        <v>134</v>
      </c>
      <c r="M147" s="32" t="str">
        <f t="shared" si="104"/>
        <v>常规</v>
      </c>
      <c r="N147" s="15"/>
      <c r="O147" s="137" t="s">
        <v>2276</v>
      </c>
      <c r="P147" s="15"/>
      <c r="Q147" s="15" t="s">
        <v>1992</v>
      </c>
      <c r="R147" s="15"/>
      <c r="S147" s="15"/>
      <c r="T147" s="110"/>
      <c r="U147" s="32" t="str">
        <f t="shared" si="105"/>
        <v>个</v>
      </c>
      <c r="V147" s="15"/>
      <c r="W147" s="15"/>
      <c r="X147" s="32">
        <f t="shared" si="106"/>
        <v>2</v>
      </c>
      <c r="Y147" s="32" t="str">
        <f t="shared" si="107"/>
        <v>个</v>
      </c>
      <c r="Z147" s="15"/>
      <c r="AA147" s="15"/>
      <c r="AB147" s="15"/>
    </row>
    <row r="148" spans="1:28" s="46" customFormat="1" ht="19.899999999999999" customHeight="1" x14ac:dyDescent="0.15">
      <c r="A148" s="34">
        <v>144</v>
      </c>
      <c r="B148" s="112" t="s">
        <v>1722</v>
      </c>
      <c r="C148" s="29" t="s">
        <v>135</v>
      </c>
      <c r="D148" s="32" t="str">
        <f t="shared" si="103"/>
        <v>备品配件</v>
      </c>
      <c r="E148" s="15"/>
      <c r="F148" s="109" t="s">
        <v>1852</v>
      </c>
      <c r="G148" s="109" t="s">
        <v>1989</v>
      </c>
      <c r="H148" s="15"/>
      <c r="I148" s="15"/>
      <c r="J148" s="29" t="s">
        <v>1608</v>
      </c>
      <c r="K148" s="110">
        <v>2</v>
      </c>
      <c r="L148" s="110" t="s">
        <v>134</v>
      </c>
      <c r="M148" s="32" t="str">
        <f t="shared" si="104"/>
        <v>常规</v>
      </c>
      <c r="N148" s="15"/>
      <c r="O148" s="137" t="s">
        <v>2276</v>
      </c>
      <c r="P148" s="15"/>
      <c r="Q148" s="15" t="s">
        <v>1992</v>
      </c>
      <c r="R148" s="15"/>
      <c r="S148" s="15"/>
      <c r="T148" s="110"/>
      <c r="U148" s="32" t="str">
        <f t="shared" si="105"/>
        <v>个</v>
      </c>
      <c r="V148" s="15"/>
      <c r="W148" s="15"/>
      <c r="X148" s="32">
        <f t="shared" si="106"/>
        <v>2</v>
      </c>
      <c r="Y148" s="32" t="str">
        <f t="shared" si="107"/>
        <v>个</v>
      </c>
      <c r="Z148" s="15"/>
      <c r="AA148" s="15"/>
      <c r="AB148" s="15"/>
    </row>
    <row r="149" spans="1:28" s="46" customFormat="1" ht="19.899999999999999" customHeight="1" x14ac:dyDescent="0.15">
      <c r="A149" s="34">
        <v>145</v>
      </c>
      <c r="B149" s="112" t="s">
        <v>1722</v>
      </c>
      <c r="C149" s="29" t="s">
        <v>135</v>
      </c>
      <c r="D149" s="32" t="str">
        <f t="shared" si="103"/>
        <v>备品配件</v>
      </c>
      <c r="E149" s="15"/>
      <c r="F149" s="109" t="s">
        <v>1853</v>
      </c>
      <c r="G149" s="109" t="s">
        <v>1989</v>
      </c>
      <c r="H149" s="15"/>
      <c r="I149" s="15"/>
      <c r="J149" s="29" t="s">
        <v>1608</v>
      </c>
      <c r="K149" s="110">
        <v>2</v>
      </c>
      <c r="L149" s="110" t="s">
        <v>134</v>
      </c>
      <c r="M149" s="32" t="str">
        <f t="shared" si="104"/>
        <v>常规</v>
      </c>
      <c r="N149" s="15"/>
      <c r="O149" s="137" t="s">
        <v>2276</v>
      </c>
      <c r="P149" s="15"/>
      <c r="Q149" s="15" t="s">
        <v>1992</v>
      </c>
      <c r="R149" s="15"/>
      <c r="S149" s="15"/>
      <c r="T149" s="110"/>
      <c r="U149" s="32" t="str">
        <f t="shared" si="105"/>
        <v>个</v>
      </c>
      <c r="V149" s="15"/>
      <c r="W149" s="15"/>
      <c r="X149" s="32">
        <f t="shared" si="106"/>
        <v>2</v>
      </c>
      <c r="Y149" s="32" t="str">
        <f t="shared" si="107"/>
        <v>个</v>
      </c>
      <c r="Z149" s="15"/>
      <c r="AA149" s="15"/>
      <c r="AB149" s="15"/>
    </row>
    <row r="150" spans="1:28" s="46" customFormat="1" ht="19.899999999999999" customHeight="1" x14ac:dyDescent="0.15">
      <c r="A150" s="34">
        <v>146</v>
      </c>
      <c r="B150" s="112" t="s">
        <v>1722</v>
      </c>
      <c r="C150" s="29" t="s">
        <v>135</v>
      </c>
      <c r="D150" s="32" t="str">
        <f t="shared" si="103"/>
        <v>备品配件</v>
      </c>
      <c r="E150" s="15"/>
      <c r="F150" s="109" t="s">
        <v>1854</v>
      </c>
      <c r="G150" s="109" t="s">
        <v>1989</v>
      </c>
      <c r="H150" s="15"/>
      <c r="I150" s="15"/>
      <c r="J150" s="29" t="s">
        <v>1608</v>
      </c>
      <c r="K150" s="110">
        <v>2</v>
      </c>
      <c r="L150" s="110" t="s">
        <v>134</v>
      </c>
      <c r="M150" s="32" t="str">
        <f t="shared" si="104"/>
        <v>常规</v>
      </c>
      <c r="N150" s="15"/>
      <c r="O150" s="137" t="s">
        <v>2276</v>
      </c>
      <c r="P150" s="15"/>
      <c r="Q150" s="15" t="s">
        <v>1992</v>
      </c>
      <c r="R150" s="15"/>
      <c r="S150" s="15"/>
      <c r="T150" s="110"/>
      <c r="U150" s="32" t="str">
        <f t="shared" si="105"/>
        <v>个</v>
      </c>
      <c r="V150" s="15"/>
      <c r="W150" s="15"/>
      <c r="X150" s="32">
        <f t="shared" si="106"/>
        <v>2</v>
      </c>
      <c r="Y150" s="32" t="str">
        <f t="shared" si="107"/>
        <v>个</v>
      </c>
      <c r="Z150" s="15"/>
      <c r="AA150" s="15"/>
      <c r="AB150" s="15"/>
    </row>
    <row r="151" spans="1:28" s="46" customFormat="1" ht="19.899999999999999" customHeight="1" x14ac:dyDescent="0.15">
      <c r="A151" s="34">
        <v>147</v>
      </c>
      <c r="B151" s="112" t="s">
        <v>1722</v>
      </c>
      <c r="C151" s="29" t="s">
        <v>135</v>
      </c>
      <c r="D151" s="32" t="str">
        <f t="shared" si="103"/>
        <v>备品配件</v>
      </c>
      <c r="E151" s="15"/>
      <c r="F151" s="109" t="s">
        <v>1855</v>
      </c>
      <c r="G151" s="109" t="s">
        <v>1989</v>
      </c>
      <c r="H151" s="15"/>
      <c r="I151" s="15"/>
      <c r="J151" s="29" t="s">
        <v>1608</v>
      </c>
      <c r="K151" s="110">
        <v>2</v>
      </c>
      <c r="L151" s="110" t="s">
        <v>134</v>
      </c>
      <c r="M151" s="32" t="str">
        <f t="shared" si="104"/>
        <v>常规</v>
      </c>
      <c r="N151" s="15"/>
      <c r="O151" s="137" t="s">
        <v>2276</v>
      </c>
      <c r="P151" s="15"/>
      <c r="Q151" s="15" t="s">
        <v>1992</v>
      </c>
      <c r="R151" s="15"/>
      <c r="S151" s="15"/>
      <c r="T151" s="110"/>
      <c r="U151" s="32" t="str">
        <f t="shared" si="105"/>
        <v>个</v>
      </c>
      <c r="V151" s="15"/>
      <c r="W151" s="15"/>
      <c r="X151" s="32">
        <f t="shared" si="106"/>
        <v>2</v>
      </c>
      <c r="Y151" s="32" t="str">
        <f t="shared" si="107"/>
        <v>个</v>
      </c>
      <c r="Z151" s="15"/>
      <c r="AA151" s="15"/>
      <c r="AB151" s="15"/>
    </row>
    <row r="152" spans="1:28" s="46" customFormat="1" ht="19.899999999999999" customHeight="1" x14ac:dyDescent="0.15">
      <c r="A152" s="34">
        <v>148</v>
      </c>
      <c r="B152" s="112" t="s">
        <v>1723</v>
      </c>
      <c r="C152" s="29" t="s">
        <v>135</v>
      </c>
      <c r="D152" s="32" t="str">
        <f t="shared" si="103"/>
        <v>备品配件</v>
      </c>
      <c r="E152" s="15"/>
      <c r="F152" s="109" t="s">
        <v>1856</v>
      </c>
      <c r="G152" s="109" t="s">
        <v>1989</v>
      </c>
      <c r="H152" s="15"/>
      <c r="I152" s="15"/>
      <c r="J152" s="29" t="s">
        <v>1608</v>
      </c>
      <c r="K152" s="110">
        <v>1</v>
      </c>
      <c r="L152" s="110" t="s">
        <v>134</v>
      </c>
      <c r="M152" s="32" t="str">
        <f t="shared" si="104"/>
        <v>常规</v>
      </c>
      <c r="N152" s="15"/>
      <c r="O152" s="137" t="s">
        <v>2276</v>
      </c>
      <c r="P152" s="15"/>
      <c r="Q152" s="15" t="s">
        <v>1992</v>
      </c>
      <c r="R152" s="15"/>
      <c r="S152" s="15"/>
      <c r="T152" s="110"/>
      <c r="U152" s="32" t="str">
        <f t="shared" si="105"/>
        <v>个</v>
      </c>
      <c r="V152" s="15"/>
      <c r="W152" s="15"/>
      <c r="X152" s="32">
        <f t="shared" si="106"/>
        <v>1</v>
      </c>
      <c r="Y152" s="32" t="str">
        <f t="shared" si="107"/>
        <v>个</v>
      </c>
      <c r="Z152" s="15"/>
      <c r="AA152" s="15"/>
      <c r="AB152" s="15"/>
    </row>
    <row r="153" spans="1:28" s="46" customFormat="1" ht="19.899999999999999" customHeight="1" x14ac:dyDescent="0.15">
      <c r="A153" s="34">
        <v>149</v>
      </c>
      <c r="B153" s="112" t="s">
        <v>1724</v>
      </c>
      <c r="C153" s="29" t="s">
        <v>135</v>
      </c>
      <c r="D153" s="32" t="str">
        <f t="shared" si="103"/>
        <v>备品配件</v>
      </c>
      <c r="E153" s="15"/>
      <c r="F153" s="109">
        <v>45351030</v>
      </c>
      <c r="G153" s="109" t="s">
        <v>1989</v>
      </c>
      <c r="H153" s="15"/>
      <c r="I153" s="15"/>
      <c r="J153" s="29" t="s">
        <v>1608</v>
      </c>
      <c r="K153" s="110">
        <v>1</v>
      </c>
      <c r="L153" s="110" t="s">
        <v>134</v>
      </c>
      <c r="M153" s="32" t="str">
        <f t="shared" si="104"/>
        <v>常规</v>
      </c>
      <c r="N153" s="15"/>
      <c r="O153" s="137" t="s">
        <v>2276</v>
      </c>
      <c r="P153" s="15"/>
      <c r="Q153" s="15" t="s">
        <v>1993</v>
      </c>
      <c r="R153" s="15"/>
      <c r="S153" s="15"/>
      <c r="T153" s="110"/>
      <c r="U153" s="32" t="str">
        <f t="shared" si="105"/>
        <v>个</v>
      </c>
      <c r="V153" s="15"/>
      <c r="W153" s="15"/>
      <c r="X153" s="32">
        <f t="shared" si="106"/>
        <v>1</v>
      </c>
      <c r="Y153" s="32" t="str">
        <f t="shared" si="107"/>
        <v>个</v>
      </c>
      <c r="Z153" s="15"/>
      <c r="AA153" s="15"/>
      <c r="AB153" s="15"/>
    </row>
    <row r="154" spans="1:28" s="46" customFormat="1" ht="19.899999999999999" customHeight="1" x14ac:dyDescent="0.15">
      <c r="A154" s="34">
        <v>150</v>
      </c>
      <c r="B154" s="112" t="s">
        <v>1724</v>
      </c>
      <c r="C154" s="29" t="s">
        <v>135</v>
      </c>
      <c r="D154" s="32" t="str">
        <f t="shared" si="103"/>
        <v>备品配件</v>
      </c>
      <c r="E154" s="15"/>
      <c r="F154" s="109">
        <v>20500510</v>
      </c>
      <c r="G154" s="109" t="s">
        <v>1989</v>
      </c>
      <c r="H154" s="15"/>
      <c r="I154" s="15"/>
      <c r="J154" s="29" t="s">
        <v>1608</v>
      </c>
      <c r="K154" s="110">
        <v>1</v>
      </c>
      <c r="L154" s="110" t="s">
        <v>134</v>
      </c>
      <c r="M154" s="32" t="str">
        <f t="shared" si="104"/>
        <v>常规</v>
      </c>
      <c r="N154" s="15"/>
      <c r="O154" s="137" t="s">
        <v>2276</v>
      </c>
      <c r="P154" s="15"/>
      <c r="Q154" s="15" t="s">
        <v>1993</v>
      </c>
      <c r="R154" s="15"/>
      <c r="S154" s="15"/>
      <c r="T154" s="110"/>
      <c r="U154" s="32" t="str">
        <f t="shared" si="105"/>
        <v>个</v>
      </c>
      <c r="V154" s="15"/>
      <c r="W154" s="15"/>
      <c r="X154" s="32">
        <f t="shared" si="106"/>
        <v>1</v>
      </c>
      <c r="Y154" s="32" t="str">
        <f t="shared" si="107"/>
        <v>个</v>
      </c>
      <c r="Z154" s="15"/>
      <c r="AA154" s="15"/>
      <c r="AB154" s="15"/>
    </row>
    <row r="155" spans="1:28" s="46" customFormat="1" ht="19.899999999999999" customHeight="1" x14ac:dyDescent="0.15">
      <c r="A155" s="34">
        <v>151</v>
      </c>
      <c r="B155" s="112" t="s">
        <v>1783</v>
      </c>
      <c r="C155" s="29" t="s">
        <v>135</v>
      </c>
      <c r="D155" s="32" t="str">
        <f t="shared" si="103"/>
        <v>备品配件</v>
      </c>
      <c r="E155" s="15"/>
      <c r="F155" s="109" t="s">
        <v>1857</v>
      </c>
      <c r="G155" s="109" t="s">
        <v>1989</v>
      </c>
      <c r="H155" s="15"/>
      <c r="I155" s="15"/>
      <c r="J155" s="29" t="s">
        <v>1608</v>
      </c>
      <c r="K155" s="110">
        <v>19</v>
      </c>
      <c r="L155" s="110" t="s">
        <v>134</v>
      </c>
      <c r="M155" s="32" t="str">
        <f t="shared" si="104"/>
        <v>常规</v>
      </c>
      <c r="N155" s="15"/>
      <c r="O155" s="137" t="s">
        <v>2276</v>
      </c>
      <c r="P155" s="15"/>
      <c r="Q155" s="15" t="s">
        <v>1993</v>
      </c>
      <c r="R155" s="15"/>
      <c r="S155" s="15"/>
      <c r="T155" s="110"/>
      <c r="U155" s="32" t="str">
        <f t="shared" si="105"/>
        <v>个</v>
      </c>
      <c r="V155" s="15"/>
      <c r="W155" s="15"/>
      <c r="X155" s="32">
        <f t="shared" si="106"/>
        <v>19</v>
      </c>
      <c r="Y155" s="32" t="str">
        <f t="shared" si="107"/>
        <v>个</v>
      </c>
      <c r="Z155" s="15"/>
      <c r="AA155" s="15"/>
      <c r="AB155" s="15"/>
    </row>
    <row r="156" spans="1:28" s="175" customFormat="1" ht="19.899999999999999" customHeight="1" x14ac:dyDescent="0.15">
      <c r="A156" s="163">
        <v>152</v>
      </c>
      <c r="B156" s="246" t="s">
        <v>1784</v>
      </c>
      <c r="C156" s="165" t="s">
        <v>135</v>
      </c>
      <c r="D156" s="166" t="str">
        <f t="shared" si="103"/>
        <v>备品配件</v>
      </c>
      <c r="E156" s="167"/>
      <c r="F156" s="311" t="s">
        <v>1858</v>
      </c>
      <c r="G156" s="311" t="s">
        <v>1989</v>
      </c>
      <c r="H156" s="167"/>
      <c r="I156" s="167"/>
      <c r="J156" s="165" t="s">
        <v>1608</v>
      </c>
      <c r="K156" s="312">
        <v>2</v>
      </c>
      <c r="L156" s="245" t="s">
        <v>134</v>
      </c>
      <c r="M156" s="166" t="str">
        <f t="shared" si="104"/>
        <v>常规</v>
      </c>
      <c r="N156" s="167"/>
      <c r="O156" s="169" t="s">
        <v>2276</v>
      </c>
      <c r="P156" s="167"/>
      <c r="Q156" s="167" t="s">
        <v>1993</v>
      </c>
      <c r="R156" s="167"/>
      <c r="S156" s="167" t="s">
        <v>3051</v>
      </c>
      <c r="T156" s="312">
        <v>2</v>
      </c>
      <c r="U156" s="166" t="str">
        <f t="shared" si="105"/>
        <v>个</v>
      </c>
      <c r="V156" s="167"/>
      <c r="W156" s="167"/>
      <c r="X156" s="166" t="str">
        <f t="shared" si="106"/>
        <v/>
      </c>
      <c r="Y156" s="166" t="str">
        <f t="shared" si="107"/>
        <v>个</v>
      </c>
      <c r="Z156" s="167"/>
      <c r="AA156" s="167"/>
      <c r="AB156" s="167" t="s">
        <v>3052</v>
      </c>
    </row>
    <row r="157" spans="1:28" s="46" customFormat="1" ht="19.899999999999999" customHeight="1" x14ac:dyDescent="0.15">
      <c r="A157" s="34">
        <v>153</v>
      </c>
      <c r="B157" s="112" t="s">
        <v>1784</v>
      </c>
      <c r="C157" s="29" t="s">
        <v>135</v>
      </c>
      <c r="D157" s="32" t="str">
        <f t="shared" si="103"/>
        <v>备品配件</v>
      </c>
      <c r="E157" s="15"/>
      <c r="F157" s="109">
        <v>35006118</v>
      </c>
      <c r="G157" s="109" t="s">
        <v>1989</v>
      </c>
      <c r="H157" s="15"/>
      <c r="I157" s="15"/>
      <c r="J157" s="29" t="s">
        <v>1608</v>
      </c>
      <c r="K157" s="113">
        <v>3</v>
      </c>
      <c r="L157" s="110" t="s">
        <v>134</v>
      </c>
      <c r="M157" s="32" t="str">
        <f t="shared" si="104"/>
        <v>常规</v>
      </c>
      <c r="N157" s="15"/>
      <c r="O157" s="137" t="s">
        <v>2276</v>
      </c>
      <c r="P157" s="15"/>
      <c r="Q157" s="15" t="s">
        <v>1993</v>
      </c>
      <c r="R157" s="15"/>
      <c r="S157" s="15"/>
      <c r="T157" s="113"/>
      <c r="U157" s="32" t="str">
        <f t="shared" si="105"/>
        <v>个</v>
      </c>
      <c r="V157" s="15"/>
      <c r="W157" s="15"/>
      <c r="X157" s="32">
        <f t="shared" si="106"/>
        <v>3</v>
      </c>
      <c r="Y157" s="32" t="str">
        <f t="shared" si="107"/>
        <v>个</v>
      </c>
      <c r="Z157" s="15"/>
      <c r="AA157" s="15"/>
      <c r="AB157" s="15"/>
    </row>
    <row r="158" spans="1:28" s="46" customFormat="1" ht="19.899999999999999" customHeight="1" x14ac:dyDescent="0.15">
      <c r="A158" s="34">
        <v>154</v>
      </c>
      <c r="B158" s="112" t="s">
        <v>1784</v>
      </c>
      <c r="C158" s="29" t="s">
        <v>135</v>
      </c>
      <c r="D158" s="32" t="str">
        <f t="shared" si="103"/>
        <v>备品配件</v>
      </c>
      <c r="E158" s="15"/>
      <c r="F158" s="109">
        <v>35001819</v>
      </c>
      <c r="G158" s="109" t="s">
        <v>1989</v>
      </c>
      <c r="H158" s="15"/>
      <c r="I158" s="15"/>
      <c r="J158" s="29" t="s">
        <v>1608</v>
      </c>
      <c r="K158" s="113">
        <v>2</v>
      </c>
      <c r="L158" s="110" t="s">
        <v>134</v>
      </c>
      <c r="M158" s="32" t="str">
        <f t="shared" si="104"/>
        <v>常规</v>
      </c>
      <c r="N158" s="15"/>
      <c r="O158" s="137" t="s">
        <v>2276</v>
      </c>
      <c r="P158" s="15"/>
      <c r="Q158" s="15" t="s">
        <v>1993</v>
      </c>
      <c r="R158" s="15"/>
      <c r="S158" s="15"/>
      <c r="T158" s="113"/>
      <c r="U158" s="32" t="str">
        <f t="shared" si="105"/>
        <v>个</v>
      </c>
      <c r="V158" s="15"/>
      <c r="W158" s="15"/>
      <c r="X158" s="32">
        <f t="shared" si="106"/>
        <v>2</v>
      </c>
      <c r="Y158" s="32" t="str">
        <f t="shared" si="107"/>
        <v>个</v>
      </c>
      <c r="Z158" s="15"/>
      <c r="AA158" s="15"/>
      <c r="AB158" s="15"/>
    </row>
    <row r="159" spans="1:28" s="46" customFormat="1" ht="19.899999999999999" customHeight="1" x14ac:dyDescent="0.15">
      <c r="A159" s="34">
        <v>155</v>
      </c>
      <c r="B159" s="112" t="s">
        <v>1784</v>
      </c>
      <c r="C159" s="29" t="s">
        <v>135</v>
      </c>
      <c r="D159" s="32" t="str">
        <f t="shared" si="103"/>
        <v>备品配件</v>
      </c>
      <c r="E159" s="15"/>
      <c r="F159" s="109">
        <v>35003058</v>
      </c>
      <c r="G159" s="109" t="s">
        <v>1989</v>
      </c>
      <c r="H159" s="15"/>
      <c r="I159" s="15"/>
      <c r="J159" s="29" t="s">
        <v>1608</v>
      </c>
      <c r="K159" s="113">
        <v>2</v>
      </c>
      <c r="L159" s="110" t="s">
        <v>134</v>
      </c>
      <c r="M159" s="32" t="str">
        <f t="shared" si="104"/>
        <v>常规</v>
      </c>
      <c r="N159" s="15"/>
      <c r="O159" s="137" t="s">
        <v>2276</v>
      </c>
      <c r="P159" s="15"/>
      <c r="Q159" s="15" t="s">
        <v>1993</v>
      </c>
      <c r="R159" s="15"/>
      <c r="S159" s="15"/>
      <c r="T159" s="113"/>
      <c r="U159" s="32" t="str">
        <f t="shared" si="105"/>
        <v>个</v>
      </c>
      <c r="V159" s="15"/>
      <c r="W159" s="15"/>
      <c r="X159" s="32">
        <f t="shared" si="106"/>
        <v>2</v>
      </c>
      <c r="Y159" s="32" t="str">
        <f t="shared" si="107"/>
        <v>个</v>
      </c>
      <c r="Z159" s="15"/>
      <c r="AA159" s="15"/>
      <c r="AB159" s="15"/>
    </row>
    <row r="160" spans="1:28" s="46" customFormat="1" ht="19.899999999999999" customHeight="1" x14ac:dyDescent="0.15">
      <c r="A160" s="34">
        <v>156</v>
      </c>
      <c r="B160" s="112" t="s">
        <v>1784</v>
      </c>
      <c r="C160" s="29" t="s">
        <v>135</v>
      </c>
      <c r="D160" s="32" t="str">
        <f t="shared" si="103"/>
        <v>备品配件</v>
      </c>
      <c r="E160" s="15"/>
      <c r="F160" s="109">
        <v>103406</v>
      </c>
      <c r="G160" s="109" t="s">
        <v>1989</v>
      </c>
      <c r="H160" s="15"/>
      <c r="I160" s="15"/>
      <c r="J160" s="29" t="s">
        <v>1608</v>
      </c>
      <c r="K160" s="113">
        <v>8</v>
      </c>
      <c r="L160" s="110" t="s">
        <v>134</v>
      </c>
      <c r="M160" s="32" t="str">
        <f t="shared" si="104"/>
        <v>常规</v>
      </c>
      <c r="N160" s="15"/>
      <c r="O160" s="137" t="s">
        <v>2276</v>
      </c>
      <c r="P160" s="15"/>
      <c r="Q160" s="15" t="s">
        <v>1993</v>
      </c>
      <c r="R160" s="15"/>
      <c r="S160" s="15"/>
      <c r="T160" s="113"/>
      <c r="U160" s="32" t="str">
        <f t="shared" si="105"/>
        <v>个</v>
      </c>
      <c r="V160" s="15"/>
      <c r="W160" s="15"/>
      <c r="X160" s="32">
        <f t="shared" si="106"/>
        <v>8</v>
      </c>
      <c r="Y160" s="32" t="str">
        <f t="shared" si="107"/>
        <v>个</v>
      </c>
      <c r="Z160" s="15"/>
      <c r="AA160" s="15"/>
      <c r="AB160" s="15"/>
    </row>
    <row r="161" spans="1:28" s="46" customFormat="1" ht="19.899999999999999" customHeight="1" x14ac:dyDescent="0.15">
      <c r="A161" s="34">
        <v>157</v>
      </c>
      <c r="B161" s="112" t="s">
        <v>1725</v>
      </c>
      <c r="C161" s="29" t="s">
        <v>135</v>
      </c>
      <c r="D161" s="32" t="str">
        <f t="shared" si="103"/>
        <v>备品配件</v>
      </c>
      <c r="E161" s="15"/>
      <c r="F161" s="109" t="s">
        <v>1859</v>
      </c>
      <c r="G161" s="109" t="s">
        <v>1989</v>
      </c>
      <c r="H161" s="15"/>
      <c r="I161" s="15"/>
      <c r="J161" s="29" t="s">
        <v>1608</v>
      </c>
      <c r="K161" s="110">
        <v>1</v>
      </c>
      <c r="L161" s="110" t="s">
        <v>134</v>
      </c>
      <c r="M161" s="32" t="str">
        <f t="shared" si="104"/>
        <v>常规</v>
      </c>
      <c r="N161" s="15"/>
      <c r="O161" s="137" t="s">
        <v>2276</v>
      </c>
      <c r="P161" s="15"/>
      <c r="Q161" s="15" t="s">
        <v>1993</v>
      </c>
      <c r="R161" s="15"/>
      <c r="S161" s="15"/>
      <c r="T161" s="110"/>
      <c r="U161" s="32" t="str">
        <f t="shared" si="105"/>
        <v>个</v>
      </c>
      <c r="V161" s="15"/>
      <c r="W161" s="15"/>
      <c r="X161" s="32">
        <f t="shared" si="106"/>
        <v>1</v>
      </c>
      <c r="Y161" s="32" t="str">
        <f t="shared" si="107"/>
        <v>个</v>
      </c>
      <c r="Z161" s="15"/>
      <c r="AA161" s="15"/>
      <c r="AB161" s="15"/>
    </row>
    <row r="162" spans="1:28" s="46" customFormat="1" ht="19.899999999999999" customHeight="1" x14ac:dyDescent="0.15">
      <c r="A162" s="34">
        <v>158</v>
      </c>
      <c r="B162" s="112" t="s">
        <v>1785</v>
      </c>
      <c r="C162" s="29" t="s">
        <v>135</v>
      </c>
      <c r="D162" s="32" t="str">
        <f t="shared" si="103"/>
        <v>备品配件</v>
      </c>
      <c r="E162" s="15"/>
      <c r="F162" s="109">
        <v>30200115</v>
      </c>
      <c r="G162" s="109" t="s">
        <v>1989</v>
      </c>
      <c r="H162" s="15"/>
      <c r="I162" s="15"/>
      <c r="J162" s="29" t="s">
        <v>1608</v>
      </c>
      <c r="K162" s="110">
        <v>2</v>
      </c>
      <c r="L162" s="110" t="s">
        <v>134</v>
      </c>
      <c r="M162" s="32" t="str">
        <f t="shared" si="104"/>
        <v>常规</v>
      </c>
      <c r="N162" s="15"/>
      <c r="O162" s="137" t="s">
        <v>2276</v>
      </c>
      <c r="P162" s="15"/>
      <c r="Q162" s="15" t="s">
        <v>1993</v>
      </c>
      <c r="R162" s="15"/>
      <c r="S162" s="15"/>
      <c r="T162" s="110"/>
      <c r="U162" s="32" t="str">
        <f t="shared" si="105"/>
        <v>个</v>
      </c>
      <c r="V162" s="15"/>
      <c r="W162" s="15"/>
      <c r="X162" s="32">
        <f t="shared" si="106"/>
        <v>2</v>
      </c>
      <c r="Y162" s="32" t="str">
        <f t="shared" si="107"/>
        <v>个</v>
      </c>
      <c r="Z162" s="15"/>
      <c r="AA162" s="15"/>
      <c r="AB162" s="15"/>
    </row>
    <row r="163" spans="1:28" s="46" customFormat="1" ht="19.899999999999999" customHeight="1" x14ac:dyDescent="0.15">
      <c r="A163" s="34">
        <v>159</v>
      </c>
      <c r="B163" s="98" t="s">
        <v>1726</v>
      </c>
      <c r="C163" s="29" t="s">
        <v>135</v>
      </c>
      <c r="D163" s="32" t="str">
        <f t="shared" si="103"/>
        <v>备品配件</v>
      </c>
      <c r="E163" s="15"/>
      <c r="F163" s="109" t="s">
        <v>1860</v>
      </c>
      <c r="G163" s="109" t="s">
        <v>1989</v>
      </c>
      <c r="H163" s="15"/>
      <c r="I163" s="15"/>
      <c r="J163" s="29" t="s">
        <v>1608</v>
      </c>
      <c r="K163" s="110">
        <v>20</v>
      </c>
      <c r="L163" s="110" t="s">
        <v>134</v>
      </c>
      <c r="M163" s="32" t="str">
        <f t="shared" si="104"/>
        <v>常规</v>
      </c>
      <c r="N163" s="15"/>
      <c r="O163" s="137" t="s">
        <v>2276</v>
      </c>
      <c r="P163" s="15"/>
      <c r="Q163" s="15" t="s">
        <v>1993</v>
      </c>
      <c r="R163" s="15"/>
      <c r="S163" s="15"/>
      <c r="T163" s="110"/>
      <c r="U163" s="32" t="str">
        <f t="shared" si="105"/>
        <v>个</v>
      </c>
      <c r="V163" s="15"/>
      <c r="W163" s="15"/>
      <c r="X163" s="32">
        <f t="shared" si="106"/>
        <v>20</v>
      </c>
      <c r="Y163" s="32" t="str">
        <f t="shared" si="107"/>
        <v>个</v>
      </c>
      <c r="Z163" s="15"/>
      <c r="AA163" s="15"/>
      <c r="AB163" s="15"/>
    </row>
    <row r="164" spans="1:28" s="46" customFormat="1" ht="19.899999999999999" customHeight="1" x14ac:dyDescent="0.15">
      <c r="A164" s="34">
        <v>160</v>
      </c>
      <c r="B164" s="98" t="s">
        <v>1726</v>
      </c>
      <c r="C164" s="29" t="s">
        <v>135</v>
      </c>
      <c r="D164" s="32" t="str">
        <f t="shared" si="103"/>
        <v>备品配件</v>
      </c>
      <c r="E164" s="15"/>
      <c r="F164" s="109" t="s">
        <v>1861</v>
      </c>
      <c r="G164" s="109" t="s">
        <v>1989</v>
      </c>
      <c r="H164" s="15"/>
      <c r="I164" s="15"/>
      <c r="J164" s="29" t="s">
        <v>1608</v>
      </c>
      <c r="K164" s="110">
        <v>20</v>
      </c>
      <c r="L164" s="110" t="s">
        <v>134</v>
      </c>
      <c r="M164" s="32" t="str">
        <f t="shared" si="104"/>
        <v>常规</v>
      </c>
      <c r="N164" s="15"/>
      <c r="O164" s="137" t="s">
        <v>2276</v>
      </c>
      <c r="P164" s="15"/>
      <c r="Q164" s="15" t="s">
        <v>1993</v>
      </c>
      <c r="R164" s="15"/>
      <c r="S164" s="15"/>
      <c r="T164" s="110"/>
      <c r="U164" s="32" t="str">
        <f t="shared" si="105"/>
        <v>个</v>
      </c>
      <c r="V164" s="15"/>
      <c r="W164" s="15"/>
      <c r="X164" s="32">
        <f t="shared" si="106"/>
        <v>20</v>
      </c>
      <c r="Y164" s="32" t="str">
        <f t="shared" si="107"/>
        <v>个</v>
      </c>
      <c r="Z164" s="15"/>
      <c r="AA164" s="15"/>
      <c r="AB164" s="15"/>
    </row>
    <row r="165" spans="1:28" s="46" customFormat="1" ht="19.899999999999999" customHeight="1" x14ac:dyDescent="0.15">
      <c r="A165" s="34">
        <v>161</v>
      </c>
      <c r="B165" s="98" t="s">
        <v>1726</v>
      </c>
      <c r="C165" s="29" t="s">
        <v>135</v>
      </c>
      <c r="D165" s="32" t="str">
        <f t="shared" si="103"/>
        <v>备品配件</v>
      </c>
      <c r="E165" s="15"/>
      <c r="F165" s="109" t="s">
        <v>1862</v>
      </c>
      <c r="G165" s="109" t="s">
        <v>1989</v>
      </c>
      <c r="H165" s="15"/>
      <c r="I165" s="15"/>
      <c r="J165" s="29" t="s">
        <v>1608</v>
      </c>
      <c r="K165" s="110">
        <v>22</v>
      </c>
      <c r="L165" s="110" t="s">
        <v>134</v>
      </c>
      <c r="M165" s="32" t="str">
        <f t="shared" si="104"/>
        <v>常规</v>
      </c>
      <c r="N165" s="15"/>
      <c r="O165" s="137" t="s">
        <v>2276</v>
      </c>
      <c r="P165" s="15"/>
      <c r="Q165" s="15" t="s">
        <v>1993</v>
      </c>
      <c r="R165" s="15"/>
      <c r="S165" s="15"/>
      <c r="T165" s="110"/>
      <c r="U165" s="32" t="str">
        <f t="shared" si="105"/>
        <v>个</v>
      </c>
      <c r="V165" s="15"/>
      <c r="W165" s="15"/>
      <c r="X165" s="32">
        <f t="shared" si="106"/>
        <v>22</v>
      </c>
      <c r="Y165" s="32" t="str">
        <f t="shared" si="107"/>
        <v>个</v>
      </c>
      <c r="Z165" s="15"/>
      <c r="AA165" s="15"/>
      <c r="AB165" s="15"/>
    </row>
    <row r="166" spans="1:28" s="46" customFormat="1" ht="19.899999999999999" customHeight="1" x14ac:dyDescent="0.15">
      <c r="A166" s="34">
        <v>162</v>
      </c>
      <c r="B166" s="111" t="s">
        <v>1786</v>
      </c>
      <c r="C166" s="29" t="s">
        <v>135</v>
      </c>
      <c r="D166" s="32" t="str">
        <f t="shared" si="103"/>
        <v>备品配件</v>
      </c>
      <c r="E166" s="15"/>
      <c r="F166" s="109" t="s">
        <v>1863</v>
      </c>
      <c r="G166" s="109" t="s">
        <v>1989</v>
      </c>
      <c r="H166" s="15"/>
      <c r="I166" s="15"/>
      <c r="J166" s="29" t="s">
        <v>1608</v>
      </c>
      <c r="K166" s="110">
        <v>146</v>
      </c>
      <c r="L166" s="110" t="s">
        <v>134</v>
      </c>
      <c r="M166" s="32" t="str">
        <f t="shared" si="104"/>
        <v>常规</v>
      </c>
      <c r="N166" s="15"/>
      <c r="O166" s="137" t="s">
        <v>2276</v>
      </c>
      <c r="P166" s="15"/>
      <c r="Q166" s="15" t="s">
        <v>1993</v>
      </c>
      <c r="R166" s="15"/>
      <c r="S166" s="15"/>
      <c r="T166" s="110"/>
      <c r="U166" s="32" t="str">
        <f t="shared" si="105"/>
        <v>个</v>
      </c>
      <c r="V166" s="15"/>
      <c r="W166" s="15"/>
      <c r="X166" s="32">
        <f t="shared" si="106"/>
        <v>146</v>
      </c>
      <c r="Y166" s="32" t="str">
        <f t="shared" si="107"/>
        <v>个</v>
      </c>
      <c r="Z166" s="15"/>
      <c r="AA166" s="15"/>
      <c r="AB166" s="15"/>
    </row>
    <row r="167" spans="1:28" s="46" customFormat="1" ht="19.899999999999999" customHeight="1" x14ac:dyDescent="0.15">
      <c r="A167" s="34">
        <v>163</v>
      </c>
      <c r="B167" s="112" t="s">
        <v>1727</v>
      </c>
      <c r="C167" s="29" t="s">
        <v>135</v>
      </c>
      <c r="D167" s="32" t="str">
        <f t="shared" si="103"/>
        <v>备品配件</v>
      </c>
      <c r="E167" s="15"/>
      <c r="F167" s="109"/>
      <c r="G167" s="109" t="s">
        <v>1989</v>
      </c>
      <c r="H167" s="15"/>
      <c r="I167" s="15"/>
      <c r="J167" s="29" t="s">
        <v>1608</v>
      </c>
      <c r="K167" s="110">
        <v>86</v>
      </c>
      <c r="L167" s="110" t="s">
        <v>134</v>
      </c>
      <c r="M167" s="32" t="str">
        <f t="shared" si="104"/>
        <v>常规</v>
      </c>
      <c r="N167" s="15"/>
      <c r="O167" s="137" t="s">
        <v>2276</v>
      </c>
      <c r="P167" s="15"/>
      <c r="Q167" s="15" t="s">
        <v>1993</v>
      </c>
      <c r="R167" s="15"/>
      <c r="S167" s="15"/>
      <c r="T167" s="110"/>
      <c r="U167" s="32" t="str">
        <f t="shared" si="105"/>
        <v>个</v>
      </c>
      <c r="V167" s="15"/>
      <c r="W167" s="15"/>
      <c r="X167" s="32">
        <f t="shared" si="106"/>
        <v>86</v>
      </c>
      <c r="Y167" s="32" t="str">
        <f t="shared" si="107"/>
        <v>个</v>
      </c>
      <c r="Z167" s="15"/>
      <c r="AA167" s="15"/>
      <c r="AB167" s="15"/>
    </row>
    <row r="168" spans="1:28" s="46" customFormat="1" ht="19.899999999999999" customHeight="1" x14ac:dyDescent="0.15">
      <c r="A168" s="34">
        <v>164</v>
      </c>
      <c r="B168" s="111" t="s">
        <v>1988</v>
      </c>
      <c r="C168" s="29" t="s">
        <v>135</v>
      </c>
      <c r="D168" s="32" t="str">
        <f t="shared" si="103"/>
        <v>备品配件</v>
      </c>
      <c r="E168" s="15"/>
      <c r="F168" s="109" t="s">
        <v>1864</v>
      </c>
      <c r="G168" s="109" t="s">
        <v>1921</v>
      </c>
      <c r="H168" s="15"/>
      <c r="I168" s="15"/>
      <c r="J168" s="29" t="s">
        <v>1608</v>
      </c>
      <c r="K168" s="110">
        <v>1</v>
      </c>
      <c r="L168" s="110" t="s">
        <v>134</v>
      </c>
      <c r="M168" s="32" t="str">
        <f t="shared" si="104"/>
        <v>常规</v>
      </c>
      <c r="N168" s="15"/>
      <c r="O168" s="137" t="s">
        <v>2276</v>
      </c>
      <c r="P168" s="15"/>
      <c r="Q168" s="15"/>
      <c r="R168" s="15"/>
      <c r="S168" s="15"/>
      <c r="T168" s="110"/>
      <c r="U168" s="32" t="str">
        <f t="shared" si="105"/>
        <v>个</v>
      </c>
      <c r="V168" s="15"/>
      <c r="W168" s="15"/>
      <c r="X168" s="32">
        <f t="shared" si="106"/>
        <v>1</v>
      </c>
      <c r="Y168" s="32" t="str">
        <f t="shared" si="107"/>
        <v>个</v>
      </c>
      <c r="Z168" s="15"/>
      <c r="AA168" s="15"/>
      <c r="AB168" s="15"/>
    </row>
    <row r="169" spans="1:28" s="46" customFormat="1" ht="19.899999999999999" customHeight="1" x14ac:dyDescent="0.15">
      <c r="A169" s="34">
        <v>165</v>
      </c>
      <c r="B169" s="112" t="s">
        <v>1994</v>
      </c>
      <c r="C169" s="29" t="s">
        <v>135</v>
      </c>
      <c r="D169" s="32" t="str">
        <f t="shared" si="103"/>
        <v>备品配件</v>
      </c>
      <c r="E169" s="15"/>
      <c r="F169" s="109" t="s">
        <v>105</v>
      </c>
      <c r="G169" s="109" t="s">
        <v>1922</v>
      </c>
      <c r="H169" s="15"/>
      <c r="I169" s="15"/>
      <c r="J169" s="29" t="s">
        <v>1608</v>
      </c>
      <c r="K169" s="110">
        <v>1</v>
      </c>
      <c r="L169" s="110" t="s">
        <v>1934</v>
      </c>
      <c r="M169" s="32" t="str">
        <f t="shared" si="104"/>
        <v>常规</v>
      </c>
      <c r="N169" s="15"/>
      <c r="O169" s="137" t="s">
        <v>2276</v>
      </c>
      <c r="P169" s="15"/>
      <c r="Q169" s="15"/>
      <c r="R169" s="15"/>
      <c r="S169" s="15"/>
      <c r="T169" s="110"/>
      <c r="U169" s="32" t="str">
        <f t="shared" si="105"/>
        <v>包</v>
      </c>
      <c r="V169" s="15"/>
      <c r="W169" s="15"/>
      <c r="X169" s="32">
        <f t="shared" si="106"/>
        <v>1</v>
      </c>
      <c r="Y169" s="32" t="str">
        <f t="shared" si="107"/>
        <v>包</v>
      </c>
      <c r="Z169" s="15"/>
      <c r="AA169" s="15"/>
      <c r="AB169" s="15"/>
    </row>
    <row r="170" spans="1:28" s="46" customFormat="1" ht="19.899999999999999" customHeight="1" x14ac:dyDescent="0.15">
      <c r="A170" s="34">
        <v>166</v>
      </c>
      <c r="B170" s="109">
        <v>34709348</v>
      </c>
      <c r="C170" s="29" t="s">
        <v>135</v>
      </c>
      <c r="D170" s="32" t="str">
        <f t="shared" si="103"/>
        <v>备品配件</v>
      </c>
      <c r="E170" s="15"/>
      <c r="F170" s="109">
        <v>34709348</v>
      </c>
      <c r="G170" s="109"/>
      <c r="H170" s="15"/>
      <c r="I170" s="15"/>
      <c r="J170" s="29" t="s">
        <v>1608</v>
      </c>
      <c r="K170" s="113">
        <v>1</v>
      </c>
      <c r="L170" s="110" t="s">
        <v>1942</v>
      </c>
      <c r="M170" s="32" t="str">
        <f t="shared" si="104"/>
        <v>常规</v>
      </c>
      <c r="N170" s="15"/>
      <c r="O170" s="137" t="s">
        <v>2276</v>
      </c>
      <c r="P170" s="15"/>
      <c r="Q170" s="15" t="s">
        <v>1992</v>
      </c>
      <c r="R170" s="15"/>
      <c r="S170" s="15"/>
      <c r="T170" s="110"/>
      <c r="U170" s="32" t="str">
        <f t="shared" si="105"/>
        <v>套</v>
      </c>
      <c r="V170" s="15"/>
      <c r="W170" s="15"/>
      <c r="X170" s="32">
        <f t="shared" si="106"/>
        <v>1</v>
      </c>
      <c r="Y170" s="32" t="str">
        <f t="shared" si="107"/>
        <v>套</v>
      </c>
      <c r="Z170" s="15"/>
      <c r="AA170" s="15"/>
      <c r="AB170" s="15"/>
    </row>
    <row r="171" spans="1:28" s="46" customFormat="1" ht="19.899999999999999" customHeight="1" x14ac:dyDescent="0.15">
      <c r="A171" s="34">
        <v>167</v>
      </c>
      <c r="B171" s="112" t="s">
        <v>1787</v>
      </c>
      <c r="C171" s="29" t="s">
        <v>135</v>
      </c>
      <c r="D171" s="32" t="str">
        <f t="shared" si="103"/>
        <v>备品配件</v>
      </c>
      <c r="E171" s="15"/>
      <c r="F171" s="98" t="s">
        <v>22</v>
      </c>
      <c r="G171" s="98" t="s">
        <v>1989</v>
      </c>
      <c r="H171" s="15"/>
      <c r="I171" s="15"/>
      <c r="J171" s="29" t="s">
        <v>1608</v>
      </c>
      <c r="K171" s="110">
        <v>1</v>
      </c>
      <c r="L171" s="110" t="s">
        <v>134</v>
      </c>
      <c r="M171" s="32" t="str">
        <f t="shared" si="104"/>
        <v>常规</v>
      </c>
      <c r="N171" s="15"/>
      <c r="O171" s="137" t="s">
        <v>2276</v>
      </c>
      <c r="P171" s="15"/>
      <c r="Q171" s="15"/>
      <c r="R171" s="15"/>
      <c r="S171" s="15"/>
      <c r="T171" s="110"/>
      <c r="U171" s="32" t="str">
        <f t="shared" si="105"/>
        <v>个</v>
      </c>
      <c r="V171" s="15"/>
      <c r="W171" s="15"/>
      <c r="X171" s="32">
        <f t="shared" si="106"/>
        <v>1</v>
      </c>
      <c r="Y171" s="32" t="str">
        <f t="shared" si="107"/>
        <v>个</v>
      </c>
      <c r="Z171" s="15"/>
      <c r="AA171" s="15"/>
      <c r="AB171" s="15"/>
    </row>
    <row r="172" spans="1:28" s="46" customFormat="1" ht="19.899999999999999" customHeight="1" x14ac:dyDescent="0.15">
      <c r="A172" s="34">
        <v>168</v>
      </c>
      <c r="B172" s="111" t="s">
        <v>1788</v>
      </c>
      <c r="C172" s="29" t="s">
        <v>135</v>
      </c>
      <c r="D172" s="32" t="str">
        <f t="shared" si="103"/>
        <v>备品配件</v>
      </c>
      <c r="E172" s="15"/>
      <c r="F172" s="98" t="s">
        <v>21</v>
      </c>
      <c r="G172" s="98" t="s">
        <v>1989</v>
      </c>
      <c r="H172" s="15"/>
      <c r="I172" s="15"/>
      <c r="J172" s="29" t="s">
        <v>1608</v>
      </c>
      <c r="K172" s="110">
        <v>1</v>
      </c>
      <c r="L172" s="110" t="s">
        <v>134</v>
      </c>
      <c r="M172" s="32" t="str">
        <f t="shared" si="104"/>
        <v>常规</v>
      </c>
      <c r="N172" s="15"/>
      <c r="O172" s="137" t="s">
        <v>2276</v>
      </c>
      <c r="P172" s="15"/>
      <c r="Q172" s="15"/>
      <c r="R172" s="15"/>
      <c r="S172" s="15"/>
      <c r="T172" s="110"/>
      <c r="U172" s="32" t="str">
        <f t="shared" si="105"/>
        <v>个</v>
      </c>
      <c r="V172" s="15"/>
      <c r="W172" s="15"/>
      <c r="X172" s="32">
        <f t="shared" si="106"/>
        <v>1</v>
      </c>
      <c r="Y172" s="32" t="str">
        <f t="shared" si="107"/>
        <v>个</v>
      </c>
      <c r="Z172" s="15"/>
      <c r="AA172" s="15"/>
      <c r="AB172" s="15"/>
    </row>
    <row r="173" spans="1:28" s="46" customFormat="1" ht="19.899999999999999" customHeight="1" x14ac:dyDescent="0.15">
      <c r="A173" s="34">
        <v>169</v>
      </c>
      <c r="B173" s="112" t="s">
        <v>1789</v>
      </c>
      <c r="C173" s="29" t="s">
        <v>135</v>
      </c>
      <c r="D173" s="32" t="str">
        <f t="shared" si="103"/>
        <v>备品配件</v>
      </c>
      <c r="E173" s="15"/>
      <c r="F173" s="98" t="s">
        <v>1865</v>
      </c>
      <c r="G173" s="98" t="s">
        <v>1989</v>
      </c>
      <c r="H173" s="15"/>
      <c r="I173" s="15"/>
      <c r="J173" s="29" t="s">
        <v>1608</v>
      </c>
      <c r="K173" s="110">
        <v>1</v>
      </c>
      <c r="L173" s="110" t="s">
        <v>134</v>
      </c>
      <c r="M173" s="32" t="str">
        <f t="shared" si="104"/>
        <v>常规</v>
      </c>
      <c r="N173" s="15"/>
      <c r="O173" s="137" t="s">
        <v>2276</v>
      </c>
      <c r="P173" s="15"/>
      <c r="Q173" s="15" t="s">
        <v>1990</v>
      </c>
      <c r="R173" s="15"/>
      <c r="S173" s="15"/>
      <c r="T173" s="110"/>
      <c r="U173" s="32" t="str">
        <f t="shared" si="105"/>
        <v>个</v>
      </c>
      <c r="V173" s="15"/>
      <c r="W173" s="15"/>
      <c r="X173" s="32">
        <f t="shared" si="106"/>
        <v>1</v>
      </c>
      <c r="Y173" s="32" t="str">
        <f t="shared" si="107"/>
        <v>个</v>
      </c>
      <c r="Z173" s="15"/>
      <c r="AA173" s="15"/>
      <c r="AB173" s="15"/>
    </row>
    <row r="174" spans="1:28" s="46" customFormat="1" ht="19.899999999999999" customHeight="1" x14ac:dyDescent="0.15">
      <c r="A174" s="34">
        <v>170</v>
      </c>
      <c r="B174" s="112" t="s">
        <v>1790</v>
      </c>
      <c r="C174" s="29" t="s">
        <v>135</v>
      </c>
      <c r="D174" s="32" t="str">
        <f t="shared" si="103"/>
        <v>备品配件</v>
      </c>
      <c r="E174" s="15"/>
      <c r="F174" s="98" t="s">
        <v>1866</v>
      </c>
      <c r="G174" s="98" t="s">
        <v>1989</v>
      </c>
      <c r="H174" s="15"/>
      <c r="I174" s="15"/>
      <c r="J174" s="29" t="s">
        <v>1608</v>
      </c>
      <c r="K174" s="110">
        <v>2</v>
      </c>
      <c r="L174" s="110" t="s">
        <v>134</v>
      </c>
      <c r="M174" s="32" t="str">
        <f t="shared" si="104"/>
        <v>常规</v>
      </c>
      <c r="N174" s="15"/>
      <c r="O174" s="137" t="s">
        <v>2276</v>
      </c>
      <c r="P174" s="15"/>
      <c r="Q174" s="15" t="s">
        <v>1990</v>
      </c>
      <c r="R174" s="15"/>
      <c r="S174" s="15"/>
      <c r="T174" s="110"/>
      <c r="U174" s="32" t="str">
        <f t="shared" si="105"/>
        <v>个</v>
      </c>
      <c r="V174" s="15"/>
      <c r="W174" s="15"/>
      <c r="X174" s="32">
        <f t="shared" si="106"/>
        <v>2</v>
      </c>
      <c r="Y174" s="32" t="str">
        <f t="shared" si="107"/>
        <v>个</v>
      </c>
      <c r="Z174" s="15"/>
      <c r="AA174" s="15"/>
      <c r="AB174" s="15"/>
    </row>
    <row r="175" spans="1:28" s="46" customFormat="1" ht="19.899999999999999" customHeight="1" x14ac:dyDescent="0.15">
      <c r="A175" s="34">
        <v>171</v>
      </c>
      <c r="B175" s="112" t="s">
        <v>1790</v>
      </c>
      <c r="C175" s="29" t="s">
        <v>135</v>
      </c>
      <c r="D175" s="32" t="str">
        <f t="shared" si="103"/>
        <v>备品配件</v>
      </c>
      <c r="E175" s="15"/>
      <c r="F175" s="98" t="s">
        <v>1867</v>
      </c>
      <c r="G175" s="98" t="s">
        <v>1989</v>
      </c>
      <c r="H175" s="15"/>
      <c r="I175" s="15"/>
      <c r="J175" s="29" t="s">
        <v>1608</v>
      </c>
      <c r="K175" s="110">
        <v>4</v>
      </c>
      <c r="L175" s="110" t="s">
        <v>134</v>
      </c>
      <c r="M175" s="32" t="str">
        <f t="shared" si="104"/>
        <v>常规</v>
      </c>
      <c r="N175" s="15"/>
      <c r="O175" s="137" t="s">
        <v>2276</v>
      </c>
      <c r="P175" s="15"/>
      <c r="Q175" s="15" t="s">
        <v>1990</v>
      </c>
      <c r="R175" s="15"/>
      <c r="S175" s="15"/>
      <c r="T175" s="110"/>
      <c r="U175" s="32" t="str">
        <f t="shared" si="105"/>
        <v>个</v>
      </c>
      <c r="V175" s="15"/>
      <c r="W175" s="15"/>
      <c r="X175" s="32">
        <f t="shared" si="106"/>
        <v>4</v>
      </c>
      <c r="Y175" s="32" t="str">
        <f t="shared" si="107"/>
        <v>个</v>
      </c>
      <c r="Z175" s="15"/>
      <c r="AA175" s="15"/>
      <c r="AB175" s="15"/>
    </row>
    <row r="176" spans="1:28" s="46" customFormat="1" ht="19.899999999999999" customHeight="1" x14ac:dyDescent="0.15">
      <c r="A176" s="34">
        <v>172</v>
      </c>
      <c r="B176" s="112" t="s">
        <v>1790</v>
      </c>
      <c r="C176" s="29" t="s">
        <v>135</v>
      </c>
      <c r="D176" s="32" t="str">
        <f t="shared" si="103"/>
        <v>备品配件</v>
      </c>
      <c r="E176" s="15"/>
      <c r="F176" s="98" t="s">
        <v>1995</v>
      </c>
      <c r="G176" s="98" t="s">
        <v>1989</v>
      </c>
      <c r="H176" s="15"/>
      <c r="I176" s="15"/>
      <c r="J176" s="29" t="s">
        <v>1608</v>
      </c>
      <c r="K176" s="110">
        <v>4</v>
      </c>
      <c r="L176" s="110" t="s">
        <v>134</v>
      </c>
      <c r="M176" s="32" t="str">
        <f t="shared" si="104"/>
        <v>常规</v>
      </c>
      <c r="N176" s="15"/>
      <c r="O176" s="137" t="s">
        <v>2276</v>
      </c>
      <c r="P176" s="15"/>
      <c r="Q176" s="15" t="s">
        <v>1990</v>
      </c>
      <c r="R176" s="15"/>
      <c r="S176" s="15"/>
      <c r="T176" s="110"/>
      <c r="U176" s="32" t="str">
        <f t="shared" si="105"/>
        <v>个</v>
      </c>
      <c r="V176" s="15"/>
      <c r="W176" s="15"/>
      <c r="X176" s="32">
        <f t="shared" si="106"/>
        <v>4</v>
      </c>
      <c r="Y176" s="32" t="str">
        <f t="shared" si="107"/>
        <v>个</v>
      </c>
      <c r="Z176" s="15"/>
      <c r="AA176" s="15"/>
      <c r="AB176" s="15"/>
    </row>
    <row r="177" spans="1:28" s="46" customFormat="1" ht="19.899999999999999" customHeight="1" x14ac:dyDescent="0.15">
      <c r="A177" s="34">
        <v>173</v>
      </c>
      <c r="B177" s="98" t="s">
        <v>1728</v>
      </c>
      <c r="C177" s="29" t="s">
        <v>135</v>
      </c>
      <c r="D177" s="32" t="str">
        <f t="shared" si="103"/>
        <v>备品配件</v>
      </c>
      <c r="E177" s="15"/>
      <c r="F177" s="109"/>
      <c r="G177" s="98" t="s">
        <v>1989</v>
      </c>
      <c r="H177" s="15"/>
      <c r="I177" s="15"/>
      <c r="J177" s="29" t="s">
        <v>1608</v>
      </c>
      <c r="K177" s="110">
        <v>3</v>
      </c>
      <c r="L177" s="110" t="s">
        <v>134</v>
      </c>
      <c r="M177" s="32" t="str">
        <f t="shared" si="104"/>
        <v>常规</v>
      </c>
      <c r="N177" s="15"/>
      <c r="O177" s="137" t="s">
        <v>2276</v>
      </c>
      <c r="P177" s="15"/>
      <c r="Q177" s="15" t="s">
        <v>1990</v>
      </c>
      <c r="R177" s="15"/>
      <c r="S177" s="15"/>
      <c r="T177" s="110"/>
      <c r="U177" s="32" t="str">
        <f t="shared" si="105"/>
        <v>个</v>
      </c>
      <c r="V177" s="15"/>
      <c r="W177" s="15"/>
      <c r="X177" s="32">
        <f t="shared" si="106"/>
        <v>3</v>
      </c>
      <c r="Y177" s="32" t="str">
        <f t="shared" si="107"/>
        <v>个</v>
      </c>
      <c r="Z177" s="15"/>
      <c r="AA177" s="15"/>
      <c r="AB177" s="15"/>
    </row>
    <row r="178" spans="1:28" s="46" customFormat="1" ht="19.899999999999999" customHeight="1" x14ac:dyDescent="0.15">
      <c r="A178" s="34">
        <v>174</v>
      </c>
      <c r="B178" s="111" t="s">
        <v>1791</v>
      </c>
      <c r="C178" s="29" t="s">
        <v>135</v>
      </c>
      <c r="D178" s="32" t="str">
        <f t="shared" si="103"/>
        <v>备品配件</v>
      </c>
      <c r="E178" s="15"/>
      <c r="F178" s="109" t="s">
        <v>1868</v>
      </c>
      <c r="G178" s="98" t="s">
        <v>1989</v>
      </c>
      <c r="H178" s="15"/>
      <c r="I178" s="15"/>
      <c r="J178" s="29" t="s">
        <v>1608</v>
      </c>
      <c r="K178" s="110">
        <v>6</v>
      </c>
      <c r="L178" s="110" t="s">
        <v>134</v>
      </c>
      <c r="M178" s="32" t="str">
        <f t="shared" si="104"/>
        <v>常规</v>
      </c>
      <c r="N178" s="15"/>
      <c r="O178" s="137" t="s">
        <v>2276</v>
      </c>
      <c r="P178" s="15"/>
      <c r="Q178" s="15" t="s">
        <v>1990</v>
      </c>
      <c r="R178" s="15"/>
      <c r="S178" s="15"/>
      <c r="T178" s="110"/>
      <c r="U178" s="32" t="str">
        <f t="shared" si="105"/>
        <v>个</v>
      </c>
      <c r="V178" s="15"/>
      <c r="W178" s="15"/>
      <c r="X178" s="32">
        <f t="shared" si="106"/>
        <v>6</v>
      </c>
      <c r="Y178" s="32" t="str">
        <f t="shared" si="107"/>
        <v>个</v>
      </c>
      <c r="Z178" s="15"/>
      <c r="AA178" s="15"/>
      <c r="AB178" s="15"/>
    </row>
    <row r="179" spans="1:28" s="46" customFormat="1" ht="19.899999999999999" customHeight="1" x14ac:dyDescent="0.15">
      <c r="A179" s="34">
        <v>175</v>
      </c>
      <c r="B179" s="111" t="s">
        <v>1791</v>
      </c>
      <c r="C179" s="29" t="s">
        <v>135</v>
      </c>
      <c r="D179" s="32" t="str">
        <f t="shared" si="103"/>
        <v>备品配件</v>
      </c>
      <c r="E179" s="15"/>
      <c r="F179" s="109" t="s">
        <v>1869</v>
      </c>
      <c r="G179" s="98" t="s">
        <v>1989</v>
      </c>
      <c r="H179" s="15"/>
      <c r="I179" s="15"/>
      <c r="J179" s="29" t="s">
        <v>1608</v>
      </c>
      <c r="K179" s="110">
        <v>6</v>
      </c>
      <c r="L179" s="110" t="s">
        <v>134</v>
      </c>
      <c r="M179" s="32" t="str">
        <f t="shared" si="104"/>
        <v>常规</v>
      </c>
      <c r="N179" s="15"/>
      <c r="O179" s="137" t="s">
        <v>2276</v>
      </c>
      <c r="P179" s="15"/>
      <c r="Q179" s="15" t="s">
        <v>1990</v>
      </c>
      <c r="R179" s="15"/>
      <c r="S179" s="15"/>
      <c r="T179" s="110"/>
      <c r="U179" s="32" t="str">
        <f t="shared" si="105"/>
        <v>个</v>
      </c>
      <c r="V179" s="15"/>
      <c r="W179" s="15"/>
      <c r="X179" s="32">
        <f t="shared" si="106"/>
        <v>6</v>
      </c>
      <c r="Y179" s="32" t="str">
        <f t="shared" si="107"/>
        <v>个</v>
      </c>
      <c r="Z179" s="15"/>
      <c r="AA179" s="15"/>
      <c r="AB179" s="15"/>
    </row>
    <row r="180" spans="1:28" s="46" customFormat="1" ht="19.899999999999999" customHeight="1" x14ac:dyDescent="0.15">
      <c r="A180" s="34">
        <v>176</v>
      </c>
      <c r="B180" s="112" t="s">
        <v>1792</v>
      </c>
      <c r="C180" s="29" t="s">
        <v>135</v>
      </c>
      <c r="D180" s="32" t="str">
        <f t="shared" si="103"/>
        <v>备品配件</v>
      </c>
      <c r="E180" s="15"/>
      <c r="F180" s="98" t="s">
        <v>1870</v>
      </c>
      <c r="G180" s="98" t="s">
        <v>1989</v>
      </c>
      <c r="H180" s="15"/>
      <c r="I180" s="15"/>
      <c r="J180" s="29" t="s">
        <v>1608</v>
      </c>
      <c r="K180" s="110">
        <v>10</v>
      </c>
      <c r="L180" s="110" t="s">
        <v>134</v>
      </c>
      <c r="M180" s="32" t="str">
        <f t="shared" si="104"/>
        <v>常规</v>
      </c>
      <c r="N180" s="15"/>
      <c r="O180" s="137" t="s">
        <v>2276</v>
      </c>
      <c r="P180" s="15"/>
      <c r="Q180" s="15" t="s">
        <v>1990</v>
      </c>
      <c r="R180" s="15"/>
      <c r="S180" s="15"/>
      <c r="T180" s="110"/>
      <c r="U180" s="32" t="str">
        <f t="shared" si="105"/>
        <v>个</v>
      </c>
      <c r="V180" s="15"/>
      <c r="W180" s="15"/>
      <c r="X180" s="32">
        <f t="shared" si="106"/>
        <v>10</v>
      </c>
      <c r="Y180" s="32" t="str">
        <f t="shared" si="107"/>
        <v>个</v>
      </c>
      <c r="Z180" s="15"/>
      <c r="AA180" s="15"/>
      <c r="AB180" s="15"/>
    </row>
    <row r="181" spans="1:28" s="46" customFormat="1" ht="19.899999999999999" customHeight="1" x14ac:dyDescent="0.15">
      <c r="A181" s="34">
        <v>177</v>
      </c>
      <c r="B181" s="112" t="s">
        <v>1792</v>
      </c>
      <c r="C181" s="29" t="s">
        <v>135</v>
      </c>
      <c r="D181" s="32" t="str">
        <f t="shared" si="103"/>
        <v>备品配件</v>
      </c>
      <c r="E181" s="15"/>
      <c r="F181" s="98" t="s">
        <v>1867</v>
      </c>
      <c r="G181" s="98" t="s">
        <v>1989</v>
      </c>
      <c r="H181" s="15"/>
      <c r="I181" s="15"/>
      <c r="J181" s="29" t="s">
        <v>1608</v>
      </c>
      <c r="K181" s="110">
        <v>7</v>
      </c>
      <c r="L181" s="110" t="s">
        <v>134</v>
      </c>
      <c r="M181" s="32" t="str">
        <f t="shared" si="104"/>
        <v>常规</v>
      </c>
      <c r="N181" s="15"/>
      <c r="O181" s="137" t="s">
        <v>2276</v>
      </c>
      <c r="P181" s="15"/>
      <c r="Q181" s="15" t="s">
        <v>1990</v>
      </c>
      <c r="R181" s="15"/>
      <c r="S181" s="15"/>
      <c r="T181" s="110"/>
      <c r="U181" s="32" t="str">
        <f t="shared" si="105"/>
        <v>个</v>
      </c>
      <c r="V181" s="15"/>
      <c r="W181" s="15"/>
      <c r="X181" s="32">
        <f t="shared" si="106"/>
        <v>7</v>
      </c>
      <c r="Y181" s="32" t="str">
        <f t="shared" si="107"/>
        <v>个</v>
      </c>
      <c r="Z181" s="15"/>
      <c r="AA181" s="15"/>
      <c r="AB181" s="15"/>
    </row>
    <row r="182" spans="1:28" s="46" customFormat="1" ht="19.899999999999999" customHeight="1" x14ac:dyDescent="0.15">
      <c r="A182" s="34">
        <v>178</v>
      </c>
      <c r="B182" s="112" t="s">
        <v>1793</v>
      </c>
      <c r="C182" s="29" t="s">
        <v>135</v>
      </c>
      <c r="D182" s="32" t="str">
        <f t="shared" si="103"/>
        <v>备品配件</v>
      </c>
      <c r="E182" s="15"/>
      <c r="F182" s="98" t="s">
        <v>1871</v>
      </c>
      <c r="G182" s="98" t="s">
        <v>1989</v>
      </c>
      <c r="H182" s="15"/>
      <c r="I182" s="15"/>
      <c r="J182" s="29" t="s">
        <v>1608</v>
      </c>
      <c r="K182" s="110">
        <v>34</v>
      </c>
      <c r="L182" s="110" t="s">
        <v>134</v>
      </c>
      <c r="M182" s="32" t="str">
        <f t="shared" si="104"/>
        <v>常规</v>
      </c>
      <c r="N182" s="15"/>
      <c r="O182" s="137" t="s">
        <v>2276</v>
      </c>
      <c r="P182" s="15"/>
      <c r="Q182" s="15" t="s">
        <v>1990</v>
      </c>
      <c r="R182" s="15"/>
      <c r="S182" s="15"/>
      <c r="T182" s="110"/>
      <c r="U182" s="32" t="str">
        <f t="shared" si="105"/>
        <v>个</v>
      </c>
      <c r="V182" s="15"/>
      <c r="W182" s="15"/>
      <c r="X182" s="32">
        <f t="shared" si="106"/>
        <v>34</v>
      </c>
      <c r="Y182" s="32" t="str">
        <f t="shared" si="107"/>
        <v>个</v>
      </c>
      <c r="Z182" s="15"/>
      <c r="AA182" s="15"/>
      <c r="AB182" s="15"/>
    </row>
    <row r="183" spans="1:28" s="46" customFormat="1" ht="19.899999999999999" customHeight="1" x14ac:dyDescent="0.15">
      <c r="A183" s="34">
        <v>179</v>
      </c>
      <c r="B183" s="112" t="s">
        <v>1794</v>
      </c>
      <c r="C183" s="29" t="s">
        <v>135</v>
      </c>
      <c r="D183" s="32" t="str">
        <f t="shared" si="103"/>
        <v>备品配件</v>
      </c>
      <c r="E183" s="15"/>
      <c r="F183" s="98" t="s">
        <v>1870</v>
      </c>
      <c r="G183" s="98" t="s">
        <v>1989</v>
      </c>
      <c r="H183" s="15"/>
      <c r="I183" s="15"/>
      <c r="J183" s="29" t="s">
        <v>1608</v>
      </c>
      <c r="K183" s="110">
        <v>10</v>
      </c>
      <c r="L183" s="110" t="s">
        <v>134</v>
      </c>
      <c r="M183" s="32" t="str">
        <f t="shared" si="104"/>
        <v>常规</v>
      </c>
      <c r="N183" s="15"/>
      <c r="O183" s="137" t="s">
        <v>2276</v>
      </c>
      <c r="P183" s="15"/>
      <c r="Q183" s="15" t="s">
        <v>1990</v>
      </c>
      <c r="R183" s="15"/>
      <c r="S183" s="15"/>
      <c r="T183" s="110"/>
      <c r="U183" s="32" t="str">
        <f t="shared" si="105"/>
        <v>个</v>
      </c>
      <c r="V183" s="15"/>
      <c r="W183" s="15"/>
      <c r="X183" s="32">
        <f t="shared" si="106"/>
        <v>10</v>
      </c>
      <c r="Y183" s="32" t="str">
        <f t="shared" si="107"/>
        <v>个</v>
      </c>
      <c r="Z183" s="15"/>
      <c r="AA183" s="15"/>
      <c r="AB183" s="15"/>
    </row>
    <row r="184" spans="1:28" s="46" customFormat="1" ht="19.899999999999999" customHeight="1" x14ac:dyDescent="0.15">
      <c r="A184" s="34">
        <v>180</v>
      </c>
      <c r="B184" s="112" t="s">
        <v>1794</v>
      </c>
      <c r="C184" s="29" t="s">
        <v>135</v>
      </c>
      <c r="D184" s="32" t="str">
        <f t="shared" si="103"/>
        <v>备品配件</v>
      </c>
      <c r="E184" s="15"/>
      <c r="F184" s="98" t="s">
        <v>1867</v>
      </c>
      <c r="G184" s="98" t="s">
        <v>1989</v>
      </c>
      <c r="H184" s="15"/>
      <c r="I184" s="15"/>
      <c r="J184" s="29" t="s">
        <v>1608</v>
      </c>
      <c r="K184" s="110">
        <v>5</v>
      </c>
      <c r="L184" s="110" t="s">
        <v>134</v>
      </c>
      <c r="M184" s="32" t="str">
        <f t="shared" si="104"/>
        <v>常规</v>
      </c>
      <c r="N184" s="15"/>
      <c r="O184" s="137" t="s">
        <v>2276</v>
      </c>
      <c r="P184" s="15"/>
      <c r="Q184" s="15" t="s">
        <v>1990</v>
      </c>
      <c r="R184" s="15"/>
      <c r="S184" s="15" t="s">
        <v>2794</v>
      </c>
      <c r="T184" s="110">
        <v>5</v>
      </c>
      <c r="U184" s="32" t="str">
        <f t="shared" si="105"/>
        <v>个</v>
      </c>
      <c r="V184" s="15"/>
      <c r="W184" s="15"/>
      <c r="X184" s="32" t="str">
        <f t="shared" si="106"/>
        <v/>
      </c>
      <c r="Y184" s="32" t="str">
        <f t="shared" si="107"/>
        <v>个</v>
      </c>
      <c r="Z184" s="15"/>
      <c r="AA184" s="15"/>
      <c r="AB184" s="15"/>
    </row>
    <row r="185" spans="1:28" s="46" customFormat="1" ht="19.899999999999999" customHeight="1" x14ac:dyDescent="0.15">
      <c r="A185" s="34">
        <v>181</v>
      </c>
      <c r="B185" s="111" t="s">
        <v>1795</v>
      </c>
      <c r="C185" s="29" t="s">
        <v>135</v>
      </c>
      <c r="D185" s="32" t="str">
        <f t="shared" si="103"/>
        <v>备品配件</v>
      </c>
      <c r="E185" s="15"/>
      <c r="F185" s="98" t="s">
        <v>1872</v>
      </c>
      <c r="G185" s="98" t="s">
        <v>1989</v>
      </c>
      <c r="H185" s="15"/>
      <c r="I185" s="15"/>
      <c r="J185" s="29" t="s">
        <v>1608</v>
      </c>
      <c r="K185" s="110">
        <v>3</v>
      </c>
      <c r="L185" s="110" t="s">
        <v>1943</v>
      </c>
      <c r="M185" s="32" t="str">
        <f t="shared" si="104"/>
        <v>常规</v>
      </c>
      <c r="N185" s="15"/>
      <c r="O185" s="137" t="s">
        <v>2276</v>
      </c>
      <c r="P185" s="15"/>
      <c r="Q185" s="15" t="s">
        <v>1991</v>
      </c>
      <c r="R185" s="15"/>
      <c r="S185" s="15"/>
      <c r="T185" s="110"/>
      <c r="U185" s="32" t="str">
        <f t="shared" si="105"/>
        <v>米</v>
      </c>
      <c r="V185" s="15"/>
      <c r="W185" s="15"/>
      <c r="X185" s="32">
        <f t="shared" si="106"/>
        <v>3</v>
      </c>
      <c r="Y185" s="32" t="str">
        <f t="shared" si="107"/>
        <v>米</v>
      </c>
      <c r="Z185" s="15"/>
      <c r="AA185" s="15"/>
      <c r="AB185" s="15"/>
    </row>
    <row r="186" spans="1:28" s="46" customFormat="1" ht="19.899999999999999" customHeight="1" x14ac:dyDescent="0.15">
      <c r="A186" s="34">
        <v>182</v>
      </c>
      <c r="B186" s="112" t="s">
        <v>1796</v>
      </c>
      <c r="C186" s="29" t="s">
        <v>135</v>
      </c>
      <c r="D186" s="32" t="str">
        <f t="shared" si="103"/>
        <v>备品配件</v>
      </c>
      <c r="E186" s="15"/>
      <c r="F186" s="98" t="s">
        <v>1873</v>
      </c>
      <c r="G186" s="98" t="s">
        <v>1989</v>
      </c>
      <c r="H186" s="15"/>
      <c r="I186" s="15"/>
      <c r="J186" s="29" t="s">
        <v>1608</v>
      </c>
      <c r="K186" s="110">
        <v>2</v>
      </c>
      <c r="L186" s="110" t="s">
        <v>134</v>
      </c>
      <c r="M186" s="32" t="str">
        <f t="shared" si="104"/>
        <v>常规</v>
      </c>
      <c r="N186" s="15"/>
      <c r="O186" s="137" t="s">
        <v>2276</v>
      </c>
      <c r="P186" s="15"/>
      <c r="Q186" s="15" t="s">
        <v>1991</v>
      </c>
      <c r="R186" s="15"/>
      <c r="S186" s="15"/>
      <c r="T186" s="110"/>
      <c r="U186" s="32" t="str">
        <f t="shared" si="105"/>
        <v>个</v>
      </c>
      <c r="V186" s="15"/>
      <c r="W186" s="15"/>
      <c r="X186" s="32">
        <f t="shared" si="106"/>
        <v>2</v>
      </c>
      <c r="Y186" s="32" t="str">
        <f t="shared" si="107"/>
        <v>个</v>
      </c>
      <c r="Z186" s="15"/>
      <c r="AA186" s="15"/>
      <c r="AB186" s="15"/>
    </row>
    <row r="187" spans="1:28" s="46" customFormat="1" ht="19.899999999999999" customHeight="1" x14ac:dyDescent="0.15">
      <c r="A187" s="34">
        <v>183</v>
      </c>
      <c r="B187" s="112" t="s">
        <v>1796</v>
      </c>
      <c r="C187" s="29" t="s">
        <v>135</v>
      </c>
      <c r="D187" s="32" t="str">
        <f t="shared" si="103"/>
        <v>备品配件</v>
      </c>
      <c r="E187" s="15"/>
      <c r="F187" s="98" t="s">
        <v>1874</v>
      </c>
      <c r="G187" s="98" t="s">
        <v>1989</v>
      </c>
      <c r="H187" s="15"/>
      <c r="I187" s="15"/>
      <c r="J187" s="29" t="s">
        <v>1608</v>
      </c>
      <c r="K187" s="110">
        <v>2</v>
      </c>
      <c r="L187" s="110" t="s">
        <v>134</v>
      </c>
      <c r="M187" s="32" t="str">
        <f t="shared" si="104"/>
        <v>常规</v>
      </c>
      <c r="N187" s="15"/>
      <c r="O187" s="137" t="s">
        <v>2276</v>
      </c>
      <c r="P187" s="15"/>
      <c r="Q187" s="15" t="s">
        <v>1991</v>
      </c>
      <c r="R187" s="15"/>
      <c r="S187" s="15"/>
      <c r="T187" s="110"/>
      <c r="U187" s="32" t="str">
        <f t="shared" si="105"/>
        <v>个</v>
      </c>
      <c r="V187" s="15"/>
      <c r="W187" s="15"/>
      <c r="X187" s="32">
        <f t="shared" si="106"/>
        <v>2</v>
      </c>
      <c r="Y187" s="32" t="str">
        <f t="shared" si="107"/>
        <v>个</v>
      </c>
      <c r="Z187" s="15"/>
      <c r="AA187" s="15"/>
      <c r="AB187" s="15"/>
    </row>
    <row r="188" spans="1:28" s="46" customFormat="1" ht="19.899999999999999" customHeight="1" x14ac:dyDescent="0.15">
      <c r="A188" s="34">
        <v>184</v>
      </c>
      <c r="B188" s="98" t="s">
        <v>1729</v>
      </c>
      <c r="C188" s="29" t="s">
        <v>135</v>
      </c>
      <c r="D188" s="32" t="str">
        <f t="shared" ref="D188:D240" si="108">IF(C188="J1","常规化学品",IF(C188="J2","危险化学品",IF(C188="J3","标准物质",IF(C188="J4","玻璃仪器",IF(C188="J5","实验气体",IF(C188="J6","专用物耗",IF(C188="J7","备品配件",IF(C188="J8","专用工具",IF(C188="Z1","劳保物资",IF(C188="Z2","办公耗材",IF(C188="Z3","食品饮料",IF(C188="Z4","特殊物耗",IF(C188="Z5","通用物耗",IF(C188="Z6","通用工具",""))))))))))))))</f>
        <v>备品配件</v>
      </c>
      <c r="E188" s="15"/>
      <c r="F188" s="109"/>
      <c r="G188" s="98" t="s">
        <v>1923</v>
      </c>
      <c r="H188" s="15"/>
      <c r="I188" s="15"/>
      <c r="J188" s="29" t="s">
        <v>1608</v>
      </c>
      <c r="K188" s="110">
        <v>1</v>
      </c>
      <c r="L188" s="110" t="s">
        <v>134</v>
      </c>
      <c r="M188" s="32" t="str">
        <f t="shared" ref="M188:M242" si="109">IF(D188="危险化学品","五双",IF(D188="标准物资","严控",IF(D188&lt;&gt;"","常规","")))</f>
        <v>常规</v>
      </c>
      <c r="N188" s="15"/>
      <c r="O188" s="137" t="s">
        <v>2276</v>
      </c>
      <c r="P188" s="15"/>
      <c r="Q188" s="15" t="s">
        <v>1991</v>
      </c>
      <c r="R188" s="15"/>
      <c r="S188" s="15"/>
      <c r="T188" s="110"/>
      <c r="U188" s="32" t="str">
        <f t="shared" ref="U188:U242" si="110">IF(L188="","",L188)</f>
        <v>个</v>
      </c>
      <c r="V188" s="15"/>
      <c r="W188" s="15"/>
      <c r="X188" s="32">
        <f t="shared" ref="X188:X242" si="111">IF((K188-T188)&lt;=0,"",K188-T188)</f>
        <v>1</v>
      </c>
      <c r="Y188" s="32" t="str">
        <f t="shared" ref="Y188:Y242" si="112">IF(L188="","",L188)</f>
        <v>个</v>
      </c>
      <c r="Z188" s="15"/>
      <c r="AA188" s="15"/>
      <c r="AB188" s="15"/>
    </row>
    <row r="189" spans="1:28" s="46" customFormat="1" ht="19.899999999999999" customHeight="1" x14ac:dyDescent="0.15">
      <c r="A189" s="34">
        <v>185</v>
      </c>
      <c r="B189" s="112" t="s">
        <v>1797</v>
      </c>
      <c r="C189" s="29" t="s">
        <v>135</v>
      </c>
      <c r="D189" s="32" t="str">
        <f t="shared" si="108"/>
        <v>备品配件</v>
      </c>
      <c r="E189" s="15"/>
      <c r="F189" s="98" t="s">
        <v>1875</v>
      </c>
      <c r="G189" s="98" t="s">
        <v>1989</v>
      </c>
      <c r="H189" s="15"/>
      <c r="I189" s="15"/>
      <c r="J189" s="29" t="s">
        <v>1608</v>
      </c>
      <c r="K189" s="110">
        <v>2</v>
      </c>
      <c r="L189" s="110" t="s">
        <v>134</v>
      </c>
      <c r="M189" s="32" t="str">
        <f t="shared" si="109"/>
        <v>常规</v>
      </c>
      <c r="N189" s="15"/>
      <c r="O189" s="137" t="s">
        <v>2276</v>
      </c>
      <c r="P189" s="15"/>
      <c r="Q189" s="15" t="s">
        <v>1991</v>
      </c>
      <c r="R189" s="15"/>
      <c r="S189" s="15"/>
      <c r="T189" s="110"/>
      <c r="U189" s="32" t="str">
        <f t="shared" si="110"/>
        <v>个</v>
      </c>
      <c r="V189" s="15"/>
      <c r="W189" s="15"/>
      <c r="X189" s="32">
        <f t="shared" si="111"/>
        <v>2</v>
      </c>
      <c r="Y189" s="32" t="str">
        <f t="shared" si="112"/>
        <v>个</v>
      </c>
      <c r="Z189" s="15"/>
      <c r="AA189" s="15"/>
      <c r="AB189" s="15"/>
    </row>
    <row r="190" spans="1:28" s="46" customFormat="1" ht="19.899999999999999" customHeight="1" x14ac:dyDescent="0.15">
      <c r="A190" s="34">
        <v>186</v>
      </c>
      <c r="B190" s="112" t="s">
        <v>1730</v>
      </c>
      <c r="C190" s="29" t="s">
        <v>135</v>
      </c>
      <c r="D190" s="32" t="str">
        <f t="shared" si="108"/>
        <v>备品配件</v>
      </c>
      <c r="E190" s="15"/>
      <c r="F190" s="98"/>
      <c r="G190" s="98" t="s">
        <v>1924</v>
      </c>
      <c r="H190" s="15"/>
      <c r="I190" s="15"/>
      <c r="J190" s="29" t="s">
        <v>1608</v>
      </c>
      <c r="K190" s="110">
        <v>1</v>
      </c>
      <c r="L190" s="110" t="s">
        <v>134</v>
      </c>
      <c r="M190" s="32" t="str">
        <f t="shared" si="109"/>
        <v>常规</v>
      </c>
      <c r="N190" s="15"/>
      <c r="O190" s="137" t="s">
        <v>2276</v>
      </c>
      <c r="P190" s="15"/>
      <c r="Q190" s="15" t="s">
        <v>1991</v>
      </c>
      <c r="R190" s="15"/>
      <c r="S190" s="15"/>
      <c r="T190" s="110"/>
      <c r="U190" s="32" t="str">
        <f t="shared" si="110"/>
        <v>个</v>
      </c>
      <c r="V190" s="15"/>
      <c r="W190" s="15"/>
      <c r="X190" s="32">
        <f t="shared" si="111"/>
        <v>1</v>
      </c>
      <c r="Y190" s="32" t="str">
        <f t="shared" si="112"/>
        <v>个</v>
      </c>
      <c r="Z190" s="15"/>
      <c r="AA190" s="15"/>
      <c r="AB190" s="15"/>
    </row>
    <row r="191" spans="1:28" s="46" customFormat="1" ht="19.899999999999999" customHeight="1" x14ac:dyDescent="0.15">
      <c r="A191" s="34">
        <v>187</v>
      </c>
      <c r="B191" s="98" t="s">
        <v>1731</v>
      </c>
      <c r="C191" s="29" t="s">
        <v>135</v>
      </c>
      <c r="D191" s="32" t="str">
        <f t="shared" si="108"/>
        <v>备品配件</v>
      </c>
      <c r="E191" s="15"/>
      <c r="F191" s="109"/>
      <c r="G191" s="98" t="s">
        <v>1989</v>
      </c>
      <c r="H191" s="15"/>
      <c r="I191" s="15"/>
      <c r="J191" s="29" t="s">
        <v>1608</v>
      </c>
      <c r="K191" s="110">
        <v>1</v>
      </c>
      <c r="L191" s="110" t="s">
        <v>134</v>
      </c>
      <c r="M191" s="32" t="str">
        <f t="shared" si="109"/>
        <v>常规</v>
      </c>
      <c r="N191" s="15"/>
      <c r="O191" s="137" t="s">
        <v>2276</v>
      </c>
      <c r="P191" s="15"/>
      <c r="Q191" s="15" t="s">
        <v>1991</v>
      </c>
      <c r="R191" s="15"/>
      <c r="S191" s="15"/>
      <c r="T191" s="110"/>
      <c r="U191" s="32" t="str">
        <f t="shared" si="110"/>
        <v>个</v>
      </c>
      <c r="V191" s="15"/>
      <c r="W191" s="15"/>
      <c r="X191" s="32">
        <f t="shared" si="111"/>
        <v>1</v>
      </c>
      <c r="Y191" s="32" t="str">
        <f t="shared" si="112"/>
        <v>个</v>
      </c>
      <c r="Z191" s="15"/>
      <c r="AA191" s="15"/>
      <c r="AB191" s="15"/>
    </row>
    <row r="192" spans="1:28" s="46" customFormat="1" ht="19.899999999999999" customHeight="1" x14ac:dyDescent="0.15">
      <c r="A192" s="34">
        <v>188</v>
      </c>
      <c r="B192" s="98" t="s">
        <v>1732</v>
      </c>
      <c r="C192" s="29" t="s">
        <v>135</v>
      </c>
      <c r="D192" s="32" t="str">
        <f t="shared" si="108"/>
        <v>备品配件</v>
      </c>
      <c r="E192" s="15"/>
      <c r="F192" s="109"/>
      <c r="G192" s="98" t="s">
        <v>1989</v>
      </c>
      <c r="H192" s="15"/>
      <c r="I192" s="15"/>
      <c r="J192" s="29" t="s">
        <v>1608</v>
      </c>
      <c r="K192" s="110">
        <v>6</v>
      </c>
      <c r="L192" s="110" t="s">
        <v>134</v>
      </c>
      <c r="M192" s="32" t="str">
        <f t="shared" si="109"/>
        <v>常规</v>
      </c>
      <c r="N192" s="15"/>
      <c r="O192" s="137" t="s">
        <v>2276</v>
      </c>
      <c r="P192" s="15"/>
      <c r="Q192" s="15" t="s">
        <v>1991</v>
      </c>
      <c r="R192" s="15"/>
      <c r="S192" s="15"/>
      <c r="T192" s="110"/>
      <c r="U192" s="32" t="str">
        <f t="shared" si="110"/>
        <v>个</v>
      </c>
      <c r="V192" s="15"/>
      <c r="W192" s="15"/>
      <c r="X192" s="32">
        <f t="shared" si="111"/>
        <v>6</v>
      </c>
      <c r="Y192" s="32" t="str">
        <f t="shared" si="112"/>
        <v>个</v>
      </c>
      <c r="Z192" s="15"/>
      <c r="AA192" s="15"/>
      <c r="AB192" s="15"/>
    </row>
    <row r="193" spans="1:28" s="46" customFormat="1" ht="19.899999999999999" customHeight="1" x14ac:dyDescent="0.15">
      <c r="A193" s="34">
        <v>189</v>
      </c>
      <c r="B193" s="112" t="s">
        <v>1798</v>
      </c>
      <c r="C193" s="29" t="s">
        <v>135</v>
      </c>
      <c r="D193" s="32" t="str">
        <f t="shared" si="108"/>
        <v>备品配件</v>
      </c>
      <c r="E193" s="15"/>
      <c r="F193" s="98" t="s">
        <v>1876</v>
      </c>
      <c r="G193" s="98" t="s">
        <v>1989</v>
      </c>
      <c r="H193" s="15"/>
      <c r="I193" s="15"/>
      <c r="J193" s="29" t="s">
        <v>1608</v>
      </c>
      <c r="K193" s="110">
        <v>16</v>
      </c>
      <c r="L193" s="110" t="s">
        <v>134</v>
      </c>
      <c r="M193" s="32" t="str">
        <f t="shared" si="109"/>
        <v>常规</v>
      </c>
      <c r="N193" s="15"/>
      <c r="O193" s="137" t="s">
        <v>2276</v>
      </c>
      <c r="P193" s="15"/>
      <c r="Q193" s="15" t="s">
        <v>1991</v>
      </c>
      <c r="R193" s="15"/>
      <c r="S193" s="15"/>
      <c r="T193" s="110"/>
      <c r="U193" s="32" t="str">
        <f t="shared" si="110"/>
        <v>个</v>
      </c>
      <c r="V193" s="15"/>
      <c r="W193" s="15"/>
      <c r="X193" s="32">
        <f t="shared" si="111"/>
        <v>16</v>
      </c>
      <c r="Y193" s="32" t="str">
        <f t="shared" si="112"/>
        <v>个</v>
      </c>
      <c r="Z193" s="15"/>
      <c r="AA193" s="15"/>
      <c r="AB193" s="15"/>
    </row>
    <row r="194" spans="1:28" s="46" customFormat="1" ht="19.899999999999999" customHeight="1" x14ac:dyDescent="0.15">
      <c r="A194" s="34">
        <v>190</v>
      </c>
      <c r="B194" s="112" t="s">
        <v>1798</v>
      </c>
      <c r="C194" s="29" t="s">
        <v>135</v>
      </c>
      <c r="D194" s="32" t="str">
        <f t="shared" si="108"/>
        <v>备品配件</v>
      </c>
      <c r="E194" s="15"/>
      <c r="F194" s="98" t="s">
        <v>1877</v>
      </c>
      <c r="G194" s="98" t="s">
        <v>1989</v>
      </c>
      <c r="H194" s="15"/>
      <c r="I194" s="15"/>
      <c r="J194" s="29" t="s">
        <v>1608</v>
      </c>
      <c r="K194" s="110">
        <v>12</v>
      </c>
      <c r="L194" s="110" t="s">
        <v>134</v>
      </c>
      <c r="M194" s="32" t="str">
        <f t="shared" si="109"/>
        <v>常规</v>
      </c>
      <c r="N194" s="15"/>
      <c r="O194" s="137" t="s">
        <v>2276</v>
      </c>
      <c r="P194" s="15"/>
      <c r="Q194" s="15" t="s">
        <v>1991</v>
      </c>
      <c r="R194" s="15"/>
      <c r="S194" s="15"/>
      <c r="T194" s="110"/>
      <c r="U194" s="32" t="str">
        <f t="shared" si="110"/>
        <v>个</v>
      </c>
      <c r="V194" s="15"/>
      <c r="W194" s="15"/>
      <c r="X194" s="32">
        <f t="shared" si="111"/>
        <v>12</v>
      </c>
      <c r="Y194" s="32" t="str">
        <f t="shared" si="112"/>
        <v>个</v>
      </c>
      <c r="Z194" s="15"/>
      <c r="AA194" s="15"/>
      <c r="AB194" s="15"/>
    </row>
    <row r="195" spans="1:28" s="46" customFormat="1" ht="19.899999999999999" customHeight="1" x14ac:dyDescent="0.15">
      <c r="A195" s="34">
        <v>191</v>
      </c>
      <c r="B195" s="112" t="s">
        <v>1798</v>
      </c>
      <c r="C195" s="29" t="s">
        <v>135</v>
      </c>
      <c r="D195" s="32" t="str">
        <f t="shared" si="108"/>
        <v>备品配件</v>
      </c>
      <c r="E195" s="15"/>
      <c r="F195" s="98" t="s">
        <v>1878</v>
      </c>
      <c r="G195" s="98" t="s">
        <v>1989</v>
      </c>
      <c r="H195" s="15"/>
      <c r="I195" s="15"/>
      <c r="J195" s="29" t="s">
        <v>1608</v>
      </c>
      <c r="K195" s="110">
        <v>20</v>
      </c>
      <c r="L195" s="110" t="s">
        <v>134</v>
      </c>
      <c r="M195" s="32" t="str">
        <f t="shared" si="109"/>
        <v>常规</v>
      </c>
      <c r="N195" s="15"/>
      <c r="O195" s="137" t="s">
        <v>2276</v>
      </c>
      <c r="P195" s="15"/>
      <c r="Q195" s="15" t="s">
        <v>1991</v>
      </c>
      <c r="R195" s="15"/>
      <c r="S195" s="15"/>
      <c r="T195" s="110"/>
      <c r="U195" s="32" t="str">
        <f t="shared" si="110"/>
        <v>个</v>
      </c>
      <c r="V195" s="15"/>
      <c r="W195" s="15"/>
      <c r="X195" s="32">
        <f t="shared" si="111"/>
        <v>20</v>
      </c>
      <c r="Y195" s="32" t="str">
        <f t="shared" si="112"/>
        <v>个</v>
      </c>
      <c r="Z195" s="15"/>
      <c r="AA195" s="15"/>
      <c r="AB195" s="15"/>
    </row>
    <row r="196" spans="1:28" s="46" customFormat="1" ht="19.899999999999999" customHeight="1" x14ac:dyDescent="0.15">
      <c r="A196" s="34">
        <v>192</v>
      </c>
      <c r="B196" s="98" t="s">
        <v>1733</v>
      </c>
      <c r="C196" s="29" t="s">
        <v>135</v>
      </c>
      <c r="D196" s="32" t="str">
        <f t="shared" si="108"/>
        <v>备品配件</v>
      </c>
      <c r="E196" s="15"/>
      <c r="F196" s="109"/>
      <c r="G196" s="98" t="s">
        <v>1989</v>
      </c>
      <c r="H196" s="15"/>
      <c r="I196" s="15"/>
      <c r="J196" s="29" t="s">
        <v>1608</v>
      </c>
      <c r="K196" s="110">
        <v>37</v>
      </c>
      <c r="L196" s="110" t="s">
        <v>134</v>
      </c>
      <c r="M196" s="32" t="str">
        <f t="shared" si="109"/>
        <v>常规</v>
      </c>
      <c r="N196" s="15"/>
      <c r="O196" s="137" t="s">
        <v>2276</v>
      </c>
      <c r="P196" s="15"/>
      <c r="Q196" s="15" t="s">
        <v>1991</v>
      </c>
      <c r="R196" s="15"/>
      <c r="S196" s="15"/>
      <c r="T196" s="110"/>
      <c r="U196" s="32" t="str">
        <f t="shared" si="110"/>
        <v>个</v>
      </c>
      <c r="V196" s="15"/>
      <c r="W196" s="15"/>
      <c r="X196" s="32">
        <f t="shared" si="111"/>
        <v>37</v>
      </c>
      <c r="Y196" s="32" t="str">
        <f t="shared" si="112"/>
        <v>个</v>
      </c>
      <c r="Z196" s="15"/>
      <c r="AA196" s="15"/>
      <c r="AB196" s="15"/>
    </row>
    <row r="197" spans="1:28" s="46" customFormat="1" ht="19.899999999999999" customHeight="1" x14ac:dyDescent="0.15">
      <c r="A197" s="34">
        <v>193</v>
      </c>
      <c r="B197" s="98" t="s">
        <v>1734</v>
      </c>
      <c r="C197" s="29" t="s">
        <v>135</v>
      </c>
      <c r="D197" s="32" t="str">
        <f t="shared" si="108"/>
        <v>备品配件</v>
      </c>
      <c r="E197" s="15"/>
      <c r="F197" s="109"/>
      <c r="G197" s="98" t="s">
        <v>1989</v>
      </c>
      <c r="H197" s="15"/>
      <c r="I197" s="15"/>
      <c r="J197" s="29" t="s">
        <v>1608</v>
      </c>
      <c r="K197" s="110">
        <v>1</v>
      </c>
      <c r="L197" s="110" t="s">
        <v>1628</v>
      </c>
      <c r="M197" s="32" t="str">
        <f t="shared" si="109"/>
        <v>常规</v>
      </c>
      <c r="N197" s="15"/>
      <c r="O197" s="137" t="s">
        <v>2276</v>
      </c>
      <c r="P197" s="15"/>
      <c r="Q197" s="15" t="s">
        <v>1991</v>
      </c>
      <c r="R197" s="15"/>
      <c r="S197" s="15"/>
      <c r="T197" s="110"/>
      <c r="U197" s="32" t="str">
        <f t="shared" si="110"/>
        <v>袋</v>
      </c>
      <c r="V197" s="15"/>
      <c r="W197" s="15"/>
      <c r="X197" s="32">
        <f t="shared" si="111"/>
        <v>1</v>
      </c>
      <c r="Y197" s="32" t="str">
        <f t="shared" si="112"/>
        <v>袋</v>
      </c>
      <c r="Z197" s="15"/>
      <c r="AA197" s="15"/>
      <c r="AB197" s="15"/>
    </row>
    <row r="198" spans="1:28" s="46" customFormat="1" ht="19.899999999999999" customHeight="1" x14ac:dyDescent="0.15">
      <c r="A198" s="34">
        <v>194</v>
      </c>
      <c r="B198" s="98" t="s">
        <v>2144</v>
      </c>
      <c r="C198" s="29" t="s">
        <v>135</v>
      </c>
      <c r="D198" s="32" t="str">
        <f t="shared" si="108"/>
        <v>备品配件</v>
      </c>
      <c r="E198" s="15"/>
      <c r="F198" s="109" t="s">
        <v>2145</v>
      </c>
      <c r="G198" s="98" t="s">
        <v>2146</v>
      </c>
      <c r="H198" s="15"/>
      <c r="I198" s="15"/>
      <c r="J198" s="29" t="s">
        <v>1608</v>
      </c>
      <c r="K198" s="110">
        <v>2</v>
      </c>
      <c r="L198" s="110" t="s">
        <v>1933</v>
      </c>
      <c r="M198" s="32" t="str">
        <f t="shared" si="109"/>
        <v>常规</v>
      </c>
      <c r="N198" s="15"/>
      <c r="O198" s="137" t="s">
        <v>2276</v>
      </c>
      <c r="P198" s="15"/>
      <c r="Q198" s="15" t="s">
        <v>1991</v>
      </c>
      <c r="R198" s="15"/>
      <c r="S198" s="15" t="s">
        <v>3032</v>
      </c>
      <c r="T198" s="110">
        <v>1</v>
      </c>
      <c r="U198" s="32" t="str">
        <f t="shared" si="110"/>
        <v>套</v>
      </c>
      <c r="V198" s="15"/>
      <c r="W198" s="15"/>
      <c r="X198" s="32">
        <f t="shared" si="111"/>
        <v>1</v>
      </c>
      <c r="Y198" s="32" t="str">
        <f t="shared" si="112"/>
        <v>套</v>
      </c>
      <c r="Z198" s="15"/>
      <c r="AA198" s="15"/>
      <c r="AB198" s="15"/>
    </row>
    <row r="199" spans="1:28" s="46" customFormat="1" ht="19.899999999999999" customHeight="1" x14ac:dyDescent="0.15">
      <c r="A199" s="34">
        <v>195</v>
      </c>
      <c r="B199" s="109" t="s">
        <v>1735</v>
      </c>
      <c r="C199" s="29" t="s">
        <v>135</v>
      </c>
      <c r="D199" s="32" t="str">
        <f t="shared" si="108"/>
        <v>备品配件</v>
      </c>
      <c r="E199" s="15"/>
      <c r="F199" s="109"/>
      <c r="G199" s="98" t="s">
        <v>1925</v>
      </c>
      <c r="H199" s="15"/>
      <c r="I199" s="15"/>
      <c r="J199" s="29" t="s">
        <v>1608</v>
      </c>
      <c r="K199" s="110">
        <v>5</v>
      </c>
      <c r="L199" s="110" t="s">
        <v>134</v>
      </c>
      <c r="M199" s="32" t="str">
        <f t="shared" si="109"/>
        <v>常规</v>
      </c>
      <c r="N199" s="15"/>
      <c r="O199" s="137" t="s">
        <v>2267</v>
      </c>
      <c r="P199" s="15"/>
      <c r="Q199" s="15"/>
      <c r="R199" s="15"/>
      <c r="S199" s="15"/>
      <c r="T199" s="110"/>
      <c r="U199" s="32" t="str">
        <f t="shared" si="110"/>
        <v>个</v>
      </c>
      <c r="V199" s="15"/>
      <c r="W199" s="15"/>
      <c r="X199" s="32">
        <f t="shared" si="111"/>
        <v>5</v>
      </c>
      <c r="Y199" s="32" t="str">
        <f t="shared" si="112"/>
        <v>个</v>
      </c>
      <c r="Z199" s="15"/>
      <c r="AA199" s="15"/>
      <c r="AB199" s="15"/>
    </row>
    <row r="200" spans="1:28" s="46" customFormat="1" ht="19.899999999999999" customHeight="1" x14ac:dyDescent="0.15">
      <c r="A200" s="34">
        <v>196</v>
      </c>
      <c r="B200" s="111" t="s">
        <v>1799</v>
      </c>
      <c r="C200" s="29" t="s">
        <v>135</v>
      </c>
      <c r="D200" s="32" t="str">
        <f t="shared" si="108"/>
        <v>备品配件</v>
      </c>
      <c r="E200" s="15"/>
      <c r="F200" s="98" t="s">
        <v>1879</v>
      </c>
      <c r="G200" s="109"/>
      <c r="H200" s="15"/>
      <c r="I200" s="15"/>
      <c r="J200" s="29" t="s">
        <v>1608</v>
      </c>
      <c r="K200" s="110">
        <v>700</v>
      </c>
      <c r="L200" s="110" t="s">
        <v>134</v>
      </c>
      <c r="M200" s="32" t="str">
        <f t="shared" si="109"/>
        <v>常规</v>
      </c>
      <c r="N200" s="15"/>
      <c r="O200" s="137" t="s">
        <v>2267</v>
      </c>
      <c r="P200" s="15"/>
      <c r="Q200" s="15"/>
      <c r="R200" s="15"/>
      <c r="S200" s="15"/>
      <c r="T200" s="110"/>
      <c r="U200" s="32" t="str">
        <f t="shared" si="110"/>
        <v>个</v>
      </c>
      <c r="V200" s="15"/>
      <c r="W200" s="15"/>
      <c r="X200" s="32">
        <f t="shared" si="111"/>
        <v>700</v>
      </c>
      <c r="Y200" s="32" t="str">
        <f t="shared" si="112"/>
        <v>个</v>
      </c>
      <c r="Z200" s="15"/>
      <c r="AA200" s="15"/>
      <c r="AB200" s="15"/>
    </row>
    <row r="201" spans="1:28" s="46" customFormat="1" ht="19.899999999999999" customHeight="1" x14ac:dyDescent="0.15">
      <c r="A201" s="34">
        <v>197</v>
      </c>
      <c r="B201" s="112" t="s">
        <v>1736</v>
      </c>
      <c r="C201" s="29" t="s">
        <v>135</v>
      </c>
      <c r="D201" s="32" t="str">
        <f t="shared" si="108"/>
        <v>备品配件</v>
      </c>
      <c r="E201" s="15"/>
      <c r="F201" s="109" t="s">
        <v>1880</v>
      </c>
      <c r="G201" s="109"/>
      <c r="H201" s="15"/>
      <c r="I201" s="15"/>
      <c r="J201" s="29" t="s">
        <v>1608</v>
      </c>
      <c r="K201" s="110">
        <v>541</v>
      </c>
      <c r="L201" s="110" t="s">
        <v>134</v>
      </c>
      <c r="M201" s="32" t="str">
        <f t="shared" si="109"/>
        <v>常规</v>
      </c>
      <c r="N201" s="15"/>
      <c r="O201" s="137" t="s">
        <v>2267</v>
      </c>
      <c r="P201" s="15"/>
      <c r="Q201" s="15"/>
      <c r="R201" s="15"/>
      <c r="S201" s="15" t="s">
        <v>2796</v>
      </c>
      <c r="T201" s="110">
        <v>100</v>
      </c>
      <c r="U201" s="32" t="str">
        <f t="shared" si="110"/>
        <v>个</v>
      </c>
      <c r="V201" s="15"/>
      <c r="W201" s="15"/>
      <c r="X201" s="32">
        <f t="shared" si="111"/>
        <v>441</v>
      </c>
      <c r="Y201" s="32" t="str">
        <f t="shared" si="112"/>
        <v>个</v>
      </c>
      <c r="Z201" s="15"/>
      <c r="AA201" s="15"/>
      <c r="AB201" s="15"/>
    </row>
    <row r="202" spans="1:28" s="46" customFormat="1" ht="19.899999999999999" customHeight="1" x14ac:dyDescent="0.15">
      <c r="A202" s="34">
        <v>198</v>
      </c>
      <c r="B202" s="112" t="s">
        <v>1800</v>
      </c>
      <c r="C202" s="29" t="s">
        <v>135</v>
      </c>
      <c r="D202" s="32" t="str">
        <f t="shared" si="108"/>
        <v>备品配件</v>
      </c>
      <c r="E202" s="15"/>
      <c r="F202" s="114" t="s">
        <v>1881</v>
      </c>
      <c r="G202" s="124"/>
      <c r="H202" s="15"/>
      <c r="I202" s="15"/>
      <c r="J202" s="29" t="s">
        <v>1608</v>
      </c>
      <c r="K202" s="110">
        <v>91</v>
      </c>
      <c r="L202" s="110" t="s">
        <v>134</v>
      </c>
      <c r="M202" s="32" t="str">
        <f t="shared" si="109"/>
        <v>常规</v>
      </c>
      <c r="N202" s="15"/>
      <c r="O202" s="137" t="s">
        <v>2267</v>
      </c>
      <c r="P202" s="15"/>
      <c r="Q202" s="15"/>
      <c r="R202" s="15"/>
      <c r="S202" s="15"/>
      <c r="T202" s="110"/>
      <c r="U202" s="32" t="str">
        <f t="shared" si="110"/>
        <v>个</v>
      </c>
      <c r="V202" s="15"/>
      <c r="W202" s="15"/>
      <c r="X202" s="32">
        <f t="shared" si="111"/>
        <v>91</v>
      </c>
      <c r="Y202" s="32" t="str">
        <f t="shared" si="112"/>
        <v>个</v>
      </c>
      <c r="Z202" s="15"/>
      <c r="AA202" s="15"/>
      <c r="AB202" s="15"/>
    </row>
    <row r="203" spans="1:28" s="46" customFormat="1" ht="19.899999999999999" customHeight="1" x14ac:dyDescent="0.15">
      <c r="A203" s="34">
        <v>199</v>
      </c>
      <c r="B203" s="111" t="s">
        <v>1801</v>
      </c>
      <c r="C203" s="29" t="s">
        <v>135</v>
      </c>
      <c r="D203" s="32" t="str">
        <f t="shared" si="108"/>
        <v>备品配件</v>
      </c>
      <c r="E203" s="15"/>
      <c r="F203" s="109" t="s">
        <v>1882</v>
      </c>
      <c r="G203" s="109"/>
      <c r="H203" s="15"/>
      <c r="I203" s="15"/>
      <c r="J203" s="29" t="s">
        <v>1608</v>
      </c>
      <c r="K203" s="110">
        <v>300</v>
      </c>
      <c r="L203" s="110" t="s">
        <v>134</v>
      </c>
      <c r="M203" s="32" t="str">
        <f t="shared" si="109"/>
        <v>常规</v>
      </c>
      <c r="N203" s="15"/>
      <c r="O203" s="137" t="s">
        <v>2267</v>
      </c>
      <c r="P203" s="15"/>
      <c r="Q203" s="15"/>
      <c r="R203" s="15"/>
      <c r="S203" s="15" t="s">
        <v>2797</v>
      </c>
      <c r="T203" s="110">
        <v>100</v>
      </c>
      <c r="U203" s="32" t="str">
        <f t="shared" si="110"/>
        <v>个</v>
      </c>
      <c r="V203" s="15"/>
      <c r="W203" s="15"/>
      <c r="X203" s="32">
        <f t="shared" si="111"/>
        <v>200</v>
      </c>
      <c r="Y203" s="32" t="str">
        <f t="shared" si="112"/>
        <v>个</v>
      </c>
      <c r="Z203" s="15"/>
      <c r="AA203" s="15"/>
      <c r="AB203" s="15"/>
    </row>
    <row r="204" spans="1:28" s="46" customFormat="1" ht="19.899999999999999" customHeight="1" x14ac:dyDescent="0.15">
      <c r="A204" s="34">
        <v>200</v>
      </c>
      <c r="B204" s="111" t="s">
        <v>1802</v>
      </c>
      <c r="C204" s="29" t="s">
        <v>135</v>
      </c>
      <c r="D204" s="32" t="str">
        <f t="shared" si="108"/>
        <v>备品配件</v>
      </c>
      <c r="E204" s="15"/>
      <c r="F204" s="109">
        <v>71210092401</v>
      </c>
      <c r="G204" s="109"/>
      <c r="H204" s="15"/>
      <c r="I204" s="15"/>
      <c r="J204" s="29" t="s">
        <v>1608</v>
      </c>
      <c r="K204" s="110">
        <v>800</v>
      </c>
      <c r="L204" s="110" t="s">
        <v>134</v>
      </c>
      <c r="M204" s="32" t="str">
        <f t="shared" si="109"/>
        <v>常规</v>
      </c>
      <c r="N204" s="15"/>
      <c r="O204" s="137" t="s">
        <v>2267</v>
      </c>
      <c r="P204" s="15"/>
      <c r="Q204" s="15"/>
      <c r="R204" s="15"/>
      <c r="S204" s="15"/>
      <c r="T204" s="110"/>
      <c r="U204" s="32" t="str">
        <f t="shared" si="110"/>
        <v>个</v>
      </c>
      <c r="V204" s="15"/>
      <c r="W204" s="15"/>
      <c r="X204" s="32">
        <f t="shared" si="111"/>
        <v>800</v>
      </c>
      <c r="Y204" s="32" t="str">
        <f t="shared" si="112"/>
        <v>个</v>
      </c>
      <c r="Z204" s="15"/>
      <c r="AA204" s="15"/>
      <c r="AB204" s="15"/>
    </row>
    <row r="205" spans="1:28" s="46" customFormat="1" ht="19.899999999999999" customHeight="1" x14ac:dyDescent="0.15">
      <c r="A205" s="34">
        <v>201</v>
      </c>
      <c r="B205" s="112" t="s">
        <v>1803</v>
      </c>
      <c r="C205" s="29" t="s">
        <v>135</v>
      </c>
      <c r="D205" s="32" t="str">
        <f t="shared" si="108"/>
        <v>备品配件</v>
      </c>
      <c r="E205" s="15"/>
      <c r="F205" s="109" t="s">
        <v>1891</v>
      </c>
      <c r="G205" s="109"/>
      <c r="H205" s="15"/>
      <c r="I205" s="15"/>
      <c r="J205" s="29" t="s">
        <v>1608</v>
      </c>
      <c r="K205" s="110">
        <v>473</v>
      </c>
      <c r="L205" s="110" t="s">
        <v>134</v>
      </c>
      <c r="M205" s="32" t="str">
        <f t="shared" si="109"/>
        <v>常规</v>
      </c>
      <c r="N205" s="15"/>
      <c r="O205" s="137" t="s">
        <v>2267</v>
      </c>
      <c r="P205" s="15"/>
      <c r="Q205" s="15"/>
      <c r="R205" s="15"/>
      <c r="S205" s="15"/>
      <c r="T205" s="110"/>
      <c r="U205" s="32" t="str">
        <f t="shared" si="110"/>
        <v>个</v>
      </c>
      <c r="V205" s="15"/>
      <c r="W205" s="15"/>
      <c r="X205" s="32">
        <f t="shared" si="111"/>
        <v>473</v>
      </c>
      <c r="Y205" s="32" t="str">
        <f t="shared" si="112"/>
        <v>个</v>
      </c>
      <c r="Z205" s="15"/>
      <c r="AA205" s="15"/>
      <c r="AB205" s="15"/>
    </row>
    <row r="206" spans="1:28" s="46" customFormat="1" ht="19.899999999999999" customHeight="1" x14ac:dyDescent="0.15">
      <c r="A206" s="34">
        <v>202</v>
      </c>
      <c r="B206" s="112" t="s">
        <v>1804</v>
      </c>
      <c r="C206" s="29" t="s">
        <v>135</v>
      </c>
      <c r="D206" s="32" t="str">
        <f t="shared" si="108"/>
        <v>备品配件</v>
      </c>
      <c r="E206" s="15"/>
      <c r="F206" s="109" t="s">
        <v>1892</v>
      </c>
      <c r="G206" s="109"/>
      <c r="H206" s="15"/>
      <c r="I206" s="15"/>
      <c r="J206" s="29" t="s">
        <v>1608</v>
      </c>
      <c r="K206" s="110">
        <v>402</v>
      </c>
      <c r="L206" s="110" t="s">
        <v>134</v>
      </c>
      <c r="M206" s="32" t="str">
        <f t="shared" si="109"/>
        <v>常规</v>
      </c>
      <c r="N206" s="15"/>
      <c r="O206" s="137" t="s">
        <v>2267</v>
      </c>
      <c r="P206" s="15"/>
      <c r="Q206" s="15"/>
      <c r="R206" s="15"/>
      <c r="S206" s="15"/>
      <c r="T206" s="110"/>
      <c r="U206" s="32" t="str">
        <f t="shared" si="110"/>
        <v>个</v>
      </c>
      <c r="V206" s="15"/>
      <c r="W206" s="15"/>
      <c r="X206" s="32">
        <f t="shared" si="111"/>
        <v>402</v>
      </c>
      <c r="Y206" s="32" t="str">
        <f t="shared" si="112"/>
        <v>个</v>
      </c>
      <c r="Z206" s="15"/>
      <c r="AA206" s="15"/>
      <c r="AB206" s="15"/>
    </row>
    <row r="207" spans="1:28" s="46" customFormat="1" ht="19.899999999999999" customHeight="1" x14ac:dyDescent="0.15">
      <c r="A207" s="34">
        <v>203</v>
      </c>
      <c r="B207" s="112" t="s">
        <v>1804</v>
      </c>
      <c r="C207" s="29" t="s">
        <v>135</v>
      </c>
      <c r="D207" s="32" t="str">
        <f t="shared" si="108"/>
        <v>备品配件</v>
      </c>
      <c r="E207" s="15"/>
      <c r="F207" s="109" t="s">
        <v>1893</v>
      </c>
      <c r="G207" s="109"/>
      <c r="H207" s="15"/>
      <c r="I207" s="15"/>
      <c r="J207" s="29" t="s">
        <v>1608</v>
      </c>
      <c r="K207" s="110">
        <v>404</v>
      </c>
      <c r="L207" s="110" t="s">
        <v>134</v>
      </c>
      <c r="M207" s="32" t="str">
        <f t="shared" si="109"/>
        <v>常规</v>
      </c>
      <c r="N207" s="15"/>
      <c r="O207" s="137" t="s">
        <v>2267</v>
      </c>
      <c r="P207" s="15"/>
      <c r="Q207" s="15"/>
      <c r="R207" s="15"/>
      <c r="S207" s="15"/>
      <c r="T207" s="110"/>
      <c r="U207" s="32" t="str">
        <f t="shared" si="110"/>
        <v>个</v>
      </c>
      <c r="V207" s="15"/>
      <c r="W207" s="15"/>
      <c r="X207" s="32">
        <f t="shared" si="111"/>
        <v>404</v>
      </c>
      <c r="Y207" s="32" t="str">
        <f t="shared" si="112"/>
        <v>个</v>
      </c>
      <c r="Z207" s="15"/>
      <c r="AA207" s="15"/>
      <c r="AB207" s="15"/>
    </row>
    <row r="208" spans="1:28" s="46" customFormat="1" ht="19.899999999999999" customHeight="1" x14ac:dyDescent="0.15">
      <c r="A208" s="34">
        <v>204</v>
      </c>
      <c r="B208" s="111" t="s">
        <v>1805</v>
      </c>
      <c r="C208" s="29" t="s">
        <v>135</v>
      </c>
      <c r="D208" s="32" t="str">
        <f t="shared" si="108"/>
        <v>备品配件</v>
      </c>
      <c r="E208" s="15"/>
      <c r="F208" s="98" t="s">
        <v>1894</v>
      </c>
      <c r="G208" s="98" t="s">
        <v>1926</v>
      </c>
      <c r="H208" s="15"/>
      <c r="I208" s="15"/>
      <c r="J208" s="29" t="s">
        <v>1608</v>
      </c>
      <c r="K208" s="110">
        <v>16</v>
      </c>
      <c r="L208" s="110" t="s">
        <v>134</v>
      </c>
      <c r="M208" s="32" t="str">
        <f t="shared" si="109"/>
        <v>常规</v>
      </c>
      <c r="N208" s="15"/>
      <c r="O208" s="137" t="s">
        <v>2267</v>
      </c>
      <c r="P208" s="15"/>
      <c r="Q208" s="15"/>
      <c r="R208" s="15"/>
      <c r="S208" s="15"/>
      <c r="T208" s="110"/>
      <c r="U208" s="32" t="str">
        <f t="shared" si="110"/>
        <v>个</v>
      </c>
      <c r="V208" s="15"/>
      <c r="W208" s="15"/>
      <c r="X208" s="32">
        <f t="shared" si="111"/>
        <v>16</v>
      </c>
      <c r="Y208" s="32" t="str">
        <f t="shared" si="112"/>
        <v>个</v>
      </c>
      <c r="Z208" s="15"/>
      <c r="AA208" s="15"/>
      <c r="AB208" s="15"/>
    </row>
    <row r="209" spans="1:28" s="46" customFormat="1" ht="19.899999999999999" customHeight="1" x14ac:dyDescent="0.15">
      <c r="A209" s="34">
        <v>205</v>
      </c>
      <c r="B209" s="112" t="s">
        <v>1737</v>
      </c>
      <c r="C209" s="29" t="s">
        <v>135</v>
      </c>
      <c r="D209" s="32" t="str">
        <f t="shared" si="108"/>
        <v>备品配件</v>
      </c>
      <c r="E209" s="15"/>
      <c r="F209" s="98">
        <v>44221</v>
      </c>
      <c r="G209" s="109"/>
      <c r="H209" s="15"/>
      <c r="I209" s="15"/>
      <c r="J209" s="29" t="s">
        <v>1608</v>
      </c>
      <c r="K209" s="110">
        <v>3</v>
      </c>
      <c r="L209" s="110" t="s">
        <v>1932</v>
      </c>
      <c r="M209" s="32" t="str">
        <f t="shared" si="109"/>
        <v>常规</v>
      </c>
      <c r="N209" s="15"/>
      <c r="O209" s="137" t="s">
        <v>2267</v>
      </c>
      <c r="P209" s="15"/>
      <c r="Q209" s="15"/>
      <c r="R209" s="15"/>
      <c r="S209" s="15"/>
      <c r="T209" s="110"/>
      <c r="U209" s="32" t="str">
        <f t="shared" si="110"/>
        <v>根</v>
      </c>
      <c r="V209" s="15"/>
      <c r="W209" s="15"/>
      <c r="X209" s="32">
        <f t="shared" si="111"/>
        <v>3</v>
      </c>
      <c r="Y209" s="32" t="str">
        <f t="shared" si="112"/>
        <v>根</v>
      </c>
      <c r="Z209" s="15"/>
      <c r="AA209" s="15"/>
      <c r="AB209" s="15"/>
    </row>
    <row r="210" spans="1:28" s="46" customFormat="1" ht="19.899999999999999" customHeight="1" x14ac:dyDescent="0.15">
      <c r="A210" s="34">
        <v>206</v>
      </c>
      <c r="B210" s="111" t="s">
        <v>1738</v>
      </c>
      <c r="C210" s="29" t="s">
        <v>135</v>
      </c>
      <c r="D210" s="32" t="str">
        <f t="shared" si="108"/>
        <v>备品配件</v>
      </c>
      <c r="E210" s="15"/>
      <c r="F210" s="109" t="s">
        <v>105</v>
      </c>
      <c r="G210" s="109"/>
      <c r="H210" s="15"/>
      <c r="I210" s="15"/>
      <c r="J210" s="29" t="s">
        <v>1608</v>
      </c>
      <c r="K210" s="110">
        <v>245</v>
      </c>
      <c r="L210" s="110" t="s">
        <v>134</v>
      </c>
      <c r="M210" s="32" t="str">
        <f t="shared" si="109"/>
        <v>常规</v>
      </c>
      <c r="N210" s="15"/>
      <c r="O210" s="137" t="s">
        <v>2267</v>
      </c>
      <c r="P210" s="15"/>
      <c r="Q210" s="15"/>
      <c r="R210" s="15"/>
      <c r="S210" s="15" t="s">
        <v>2092</v>
      </c>
      <c r="T210" s="110">
        <v>14</v>
      </c>
      <c r="U210" s="32" t="str">
        <f t="shared" si="110"/>
        <v>个</v>
      </c>
      <c r="V210" s="15"/>
      <c r="W210" s="15"/>
      <c r="X210" s="32">
        <f t="shared" si="111"/>
        <v>231</v>
      </c>
      <c r="Y210" s="32" t="str">
        <f t="shared" si="112"/>
        <v>个</v>
      </c>
      <c r="Z210" s="15"/>
      <c r="AA210" s="15"/>
      <c r="AB210" s="15"/>
    </row>
    <row r="211" spans="1:28" s="46" customFormat="1" ht="19.899999999999999" customHeight="1" x14ac:dyDescent="0.15">
      <c r="A211" s="34">
        <v>207</v>
      </c>
      <c r="B211" s="111" t="s">
        <v>1739</v>
      </c>
      <c r="C211" s="29" t="s">
        <v>135</v>
      </c>
      <c r="D211" s="32" t="str">
        <f t="shared" si="108"/>
        <v>备品配件</v>
      </c>
      <c r="E211" s="15"/>
      <c r="F211" s="98"/>
      <c r="G211" s="109"/>
      <c r="H211" s="15"/>
      <c r="I211" s="15"/>
      <c r="J211" s="29" t="s">
        <v>1608</v>
      </c>
      <c r="K211" s="113">
        <v>16</v>
      </c>
      <c r="L211" s="110" t="s">
        <v>1591</v>
      </c>
      <c r="M211" s="32" t="str">
        <f t="shared" si="109"/>
        <v>常规</v>
      </c>
      <c r="N211" s="15"/>
      <c r="O211" s="137" t="s">
        <v>2267</v>
      </c>
      <c r="P211" s="15"/>
      <c r="Q211" s="15"/>
      <c r="R211" s="15"/>
      <c r="S211" s="15"/>
      <c r="T211" s="110"/>
      <c r="U211" s="32" t="str">
        <f t="shared" si="110"/>
        <v>只</v>
      </c>
      <c r="V211" s="15"/>
      <c r="W211" s="15"/>
      <c r="X211" s="32">
        <f t="shared" si="111"/>
        <v>16</v>
      </c>
      <c r="Y211" s="32" t="str">
        <f t="shared" si="112"/>
        <v>只</v>
      </c>
      <c r="Z211" s="15"/>
      <c r="AA211" s="15"/>
      <c r="AB211" s="15"/>
    </row>
    <row r="212" spans="1:28" s="46" customFormat="1" ht="19.899999999999999" customHeight="1" x14ac:dyDescent="0.15">
      <c r="A212" s="34">
        <v>208</v>
      </c>
      <c r="B212" s="98" t="s">
        <v>1740</v>
      </c>
      <c r="C212" s="29" t="s">
        <v>135</v>
      </c>
      <c r="D212" s="32" t="str">
        <f t="shared" si="108"/>
        <v>备品配件</v>
      </c>
      <c r="E212" s="15"/>
      <c r="F212" s="109"/>
      <c r="G212" s="98" t="s">
        <v>1927</v>
      </c>
      <c r="H212" s="15"/>
      <c r="I212" s="15"/>
      <c r="J212" s="29" t="s">
        <v>1608</v>
      </c>
      <c r="K212" s="113">
        <v>16</v>
      </c>
      <c r="L212" s="110" t="s">
        <v>1591</v>
      </c>
      <c r="M212" s="32" t="str">
        <f t="shared" si="109"/>
        <v>常规</v>
      </c>
      <c r="N212" s="15"/>
      <c r="O212" s="137" t="s">
        <v>2267</v>
      </c>
      <c r="P212" s="15"/>
      <c r="Q212" s="15"/>
      <c r="R212" s="15"/>
      <c r="S212" s="15"/>
      <c r="T212" s="110"/>
      <c r="U212" s="32" t="str">
        <f t="shared" si="110"/>
        <v>只</v>
      </c>
      <c r="V212" s="15"/>
      <c r="W212" s="15"/>
      <c r="X212" s="32">
        <f t="shared" si="111"/>
        <v>16</v>
      </c>
      <c r="Y212" s="32" t="str">
        <f t="shared" si="112"/>
        <v>只</v>
      </c>
      <c r="Z212" s="15"/>
      <c r="AA212" s="15"/>
      <c r="AB212" s="15"/>
    </row>
    <row r="213" spans="1:28" s="46" customFormat="1" ht="19.899999999999999" customHeight="1" x14ac:dyDescent="0.15">
      <c r="A213" s="34">
        <v>209</v>
      </c>
      <c r="B213" s="111" t="s">
        <v>1741</v>
      </c>
      <c r="C213" s="29" t="s">
        <v>135</v>
      </c>
      <c r="D213" s="32" t="str">
        <f t="shared" si="108"/>
        <v>备品配件</v>
      </c>
      <c r="E213" s="15"/>
      <c r="F213" s="98"/>
      <c r="G213" s="98" t="s">
        <v>1928</v>
      </c>
      <c r="H213" s="15"/>
      <c r="I213" s="15"/>
      <c r="J213" s="29" t="s">
        <v>1608</v>
      </c>
      <c r="K213" s="110">
        <v>25</v>
      </c>
      <c r="L213" s="110" t="s">
        <v>134</v>
      </c>
      <c r="M213" s="32" t="str">
        <f t="shared" si="109"/>
        <v>常规</v>
      </c>
      <c r="N213" s="15"/>
      <c r="O213" s="137" t="s">
        <v>2267</v>
      </c>
      <c r="P213" s="15"/>
      <c r="Q213" s="15"/>
      <c r="R213" s="15"/>
      <c r="S213" s="15"/>
      <c r="T213" s="110"/>
      <c r="U213" s="32" t="str">
        <f t="shared" si="110"/>
        <v>个</v>
      </c>
      <c r="V213" s="15"/>
      <c r="W213" s="15"/>
      <c r="X213" s="32">
        <f t="shared" si="111"/>
        <v>25</v>
      </c>
      <c r="Y213" s="32" t="str">
        <f t="shared" si="112"/>
        <v>个</v>
      </c>
      <c r="Z213" s="15"/>
      <c r="AA213" s="15"/>
      <c r="AB213" s="15"/>
    </row>
    <row r="214" spans="1:28" s="46" customFormat="1" ht="19.899999999999999" customHeight="1" x14ac:dyDescent="0.15">
      <c r="A214" s="34">
        <v>210</v>
      </c>
      <c r="B214" s="111" t="s">
        <v>1742</v>
      </c>
      <c r="C214" s="29" t="s">
        <v>135</v>
      </c>
      <c r="D214" s="32" t="str">
        <f t="shared" si="108"/>
        <v>备品配件</v>
      </c>
      <c r="E214" s="15"/>
      <c r="F214" s="98"/>
      <c r="G214" s="98" t="s">
        <v>1928</v>
      </c>
      <c r="H214" s="15"/>
      <c r="I214" s="15"/>
      <c r="J214" s="29" t="s">
        <v>1608</v>
      </c>
      <c r="K214" s="110">
        <v>29</v>
      </c>
      <c r="L214" s="110" t="s">
        <v>134</v>
      </c>
      <c r="M214" s="32" t="str">
        <f t="shared" si="109"/>
        <v>常规</v>
      </c>
      <c r="N214" s="15"/>
      <c r="O214" s="137" t="s">
        <v>2267</v>
      </c>
      <c r="P214" s="15"/>
      <c r="Q214" s="15"/>
      <c r="R214" s="15"/>
      <c r="S214" s="15"/>
      <c r="T214" s="110"/>
      <c r="U214" s="32" t="str">
        <f t="shared" si="110"/>
        <v>个</v>
      </c>
      <c r="V214" s="15"/>
      <c r="W214" s="15"/>
      <c r="X214" s="32">
        <f t="shared" si="111"/>
        <v>29</v>
      </c>
      <c r="Y214" s="32" t="str">
        <f t="shared" si="112"/>
        <v>个</v>
      </c>
      <c r="Z214" s="15"/>
      <c r="AA214" s="15"/>
      <c r="AB214" s="15"/>
    </row>
    <row r="215" spans="1:28" s="46" customFormat="1" ht="19.899999999999999" customHeight="1" x14ac:dyDescent="0.15">
      <c r="A215" s="34">
        <v>211</v>
      </c>
      <c r="B215" s="112" t="s">
        <v>1743</v>
      </c>
      <c r="C215" s="29" t="s">
        <v>135</v>
      </c>
      <c r="D215" s="32" t="str">
        <f t="shared" si="108"/>
        <v>备品配件</v>
      </c>
      <c r="E215" s="15"/>
      <c r="F215" s="125">
        <v>942339380031</v>
      </c>
      <c r="G215" s="98" t="s">
        <v>1997</v>
      </c>
      <c r="H215" s="15"/>
      <c r="I215" s="15"/>
      <c r="J215" s="29" t="s">
        <v>1608</v>
      </c>
      <c r="K215" s="110">
        <v>1873</v>
      </c>
      <c r="L215" s="110" t="s">
        <v>134</v>
      </c>
      <c r="M215" s="32" t="str">
        <f t="shared" si="109"/>
        <v>常规</v>
      </c>
      <c r="N215" s="15"/>
      <c r="O215" s="137" t="s">
        <v>2268</v>
      </c>
      <c r="P215" s="15"/>
      <c r="Q215" s="15"/>
      <c r="R215" s="15"/>
      <c r="S215" s="15"/>
      <c r="T215" s="110"/>
      <c r="U215" s="32" t="str">
        <f t="shared" si="110"/>
        <v>个</v>
      </c>
      <c r="V215" s="15"/>
      <c r="W215" s="15"/>
      <c r="X215" s="32">
        <f t="shared" si="111"/>
        <v>1873</v>
      </c>
      <c r="Y215" s="32" t="str">
        <f t="shared" si="112"/>
        <v>个</v>
      </c>
      <c r="Z215" s="15"/>
      <c r="AA215" s="15"/>
      <c r="AB215" s="15"/>
    </row>
    <row r="216" spans="1:28" s="46" customFormat="1" ht="19.899999999999999" customHeight="1" x14ac:dyDescent="0.15">
      <c r="A216" s="34">
        <v>212</v>
      </c>
      <c r="B216" s="111" t="s">
        <v>1744</v>
      </c>
      <c r="C216" s="29" t="s">
        <v>135</v>
      </c>
      <c r="D216" s="32" t="str">
        <f t="shared" si="108"/>
        <v>备品配件</v>
      </c>
      <c r="E216" s="15"/>
      <c r="F216" s="109" t="s">
        <v>1883</v>
      </c>
      <c r="G216" s="98" t="s">
        <v>1997</v>
      </c>
      <c r="H216" s="15"/>
      <c r="I216" s="15"/>
      <c r="J216" s="29" t="s">
        <v>1608</v>
      </c>
      <c r="K216" s="110">
        <v>1</v>
      </c>
      <c r="L216" s="110" t="s">
        <v>134</v>
      </c>
      <c r="M216" s="32" t="str">
        <f t="shared" si="109"/>
        <v>常规</v>
      </c>
      <c r="N216" s="15"/>
      <c r="O216" s="137" t="s">
        <v>2268</v>
      </c>
      <c r="P216" s="15"/>
      <c r="Q216" s="15"/>
      <c r="R216" s="15"/>
      <c r="S216" s="15"/>
      <c r="T216" s="110"/>
      <c r="U216" s="32" t="str">
        <f t="shared" si="110"/>
        <v>个</v>
      </c>
      <c r="V216" s="15"/>
      <c r="W216" s="15"/>
      <c r="X216" s="32">
        <f t="shared" si="111"/>
        <v>1</v>
      </c>
      <c r="Y216" s="32" t="str">
        <f t="shared" si="112"/>
        <v>个</v>
      </c>
      <c r="Z216" s="15"/>
      <c r="AA216" s="15"/>
      <c r="AB216" s="15"/>
    </row>
    <row r="217" spans="1:28" s="46" customFormat="1" ht="19.899999999999999" customHeight="1" x14ac:dyDescent="0.15">
      <c r="A217" s="34">
        <v>213</v>
      </c>
      <c r="B217" s="111" t="s">
        <v>1745</v>
      </c>
      <c r="C217" s="29" t="s">
        <v>135</v>
      </c>
      <c r="D217" s="32" t="str">
        <f t="shared" si="108"/>
        <v>备品配件</v>
      </c>
      <c r="E217" s="15"/>
      <c r="F217" s="109" t="s">
        <v>1884</v>
      </c>
      <c r="G217" s="98" t="s">
        <v>1997</v>
      </c>
      <c r="H217" s="15"/>
      <c r="I217" s="15"/>
      <c r="J217" s="29" t="s">
        <v>1608</v>
      </c>
      <c r="K217" s="110">
        <v>4</v>
      </c>
      <c r="L217" s="110" t="s">
        <v>134</v>
      </c>
      <c r="M217" s="32" t="str">
        <f t="shared" si="109"/>
        <v>常规</v>
      </c>
      <c r="N217" s="15"/>
      <c r="O217" s="137" t="s">
        <v>2268</v>
      </c>
      <c r="P217" s="15"/>
      <c r="Q217" s="15"/>
      <c r="R217" s="15"/>
      <c r="S217" s="15"/>
      <c r="T217" s="110"/>
      <c r="U217" s="32" t="str">
        <f t="shared" si="110"/>
        <v>个</v>
      </c>
      <c r="V217" s="15"/>
      <c r="W217" s="15"/>
      <c r="X217" s="32">
        <f t="shared" si="111"/>
        <v>4</v>
      </c>
      <c r="Y217" s="32" t="str">
        <f t="shared" si="112"/>
        <v>个</v>
      </c>
      <c r="Z217" s="15"/>
      <c r="AA217" s="15"/>
      <c r="AB217" s="15"/>
    </row>
    <row r="218" spans="1:28" s="46" customFormat="1" ht="19.899999999999999" customHeight="1" x14ac:dyDescent="0.15">
      <c r="A218" s="34">
        <v>214</v>
      </c>
      <c r="B218" s="111" t="s">
        <v>1746</v>
      </c>
      <c r="C218" s="29" t="s">
        <v>135</v>
      </c>
      <c r="D218" s="32" t="str">
        <f t="shared" si="108"/>
        <v>备品配件</v>
      </c>
      <c r="E218" s="15"/>
      <c r="F218" s="109" t="s">
        <v>1885</v>
      </c>
      <c r="G218" s="98" t="s">
        <v>1997</v>
      </c>
      <c r="H218" s="15"/>
      <c r="I218" s="15"/>
      <c r="J218" s="29" t="s">
        <v>1608</v>
      </c>
      <c r="K218" s="110">
        <v>1</v>
      </c>
      <c r="L218" s="110" t="s">
        <v>134</v>
      </c>
      <c r="M218" s="32" t="str">
        <f t="shared" si="109"/>
        <v>常规</v>
      </c>
      <c r="N218" s="15"/>
      <c r="O218" s="137" t="s">
        <v>2268</v>
      </c>
      <c r="P218" s="15"/>
      <c r="Q218" s="15"/>
      <c r="R218" s="15"/>
      <c r="S218" s="15"/>
      <c r="T218" s="110"/>
      <c r="U218" s="32" t="str">
        <f t="shared" si="110"/>
        <v>个</v>
      </c>
      <c r="V218" s="15"/>
      <c r="W218" s="15"/>
      <c r="X218" s="32">
        <f t="shared" si="111"/>
        <v>1</v>
      </c>
      <c r="Y218" s="32" t="str">
        <f t="shared" si="112"/>
        <v>个</v>
      </c>
      <c r="Z218" s="15"/>
      <c r="AA218" s="15"/>
      <c r="AB218" s="15"/>
    </row>
    <row r="219" spans="1:28" s="46" customFormat="1" ht="19.899999999999999" customHeight="1" x14ac:dyDescent="0.15">
      <c r="A219" s="34">
        <v>215</v>
      </c>
      <c r="B219" s="111" t="s">
        <v>1806</v>
      </c>
      <c r="C219" s="29" t="s">
        <v>135</v>
      </c>
      <c r="D219" s="32" t="str">
        <f t="shared" si="108"/>
        <v>备品配件</v>
      </c>
      <c r="E219" s="15"/>
      <c r="F219" s="109" t="s">
        <v>1895</v>
      </c>
      <c r="G219" s="98" t="s">
        <v>1997</v>
      </c>
      <c r="H219" s="15"/>
      <c r="I219" s="15"/>
      <c r="J219" s="29" t="s">
        <v>1608</v>
      </c>
      <c r="K219" s="110">
        <v>2</v>
      </c>
      <c r="L219" s="110" t="s">
        <v>134</v>
      </c>
      <c r="M219" s="32" t="str">
        <f t="shared" si="109"/>
        <v>常规</v>
      </c>
      <c r="N219" s="15"/>
      <c r="O219" s="137" t="s">
        <v>2268</v>
      </c>
      <c r="P219" s="15"/>
      <c r="Q219" s="15"/>
      <c r="R219" s="15"/>
      <c r="S219" s="15"/>
      <c r="T219" s="110"/>
      <c r="U219" s="32" t="str">
        <f t="shared" si="110"/>
        <v>个</v>
      </c>
      <c r="V219" s="15"/>
      <c r="W219" s="15"/>
      <c r="X219" s="32">
        <f t="shared" si="111"/>
        <v>2</v>
      </c>
      <c r="Y219" s="32" t="str">
        <f t="shared" si="112"/>
        <v>个</v>
      </c>
      <c r="Z219" s="15"/>
      <c r="AA219" s="15"/>
      <c r="AB219" s="15"/>
    </row>
    <row r="220" spans="1:28" s="46" customFormat="1" ht="19.899999999999999" customHeight="1" x14ac:dyDescent="0.15">
      <c r="A220" s="34">
        <v>216</v>
      </c>
      <c r="B220" s="111" t="s">
        <v>1747</v>
      </c>
      <c r="C220" s="29" t="s">
        <v>135</v>
      </c>
      <c r="D220" s="32" t="str">
        <f t="shared" si="108"/>
        <v>备品配件</v>
      </c>
      <c r="E220" s="15"/>
      <c r="F220" s="109" t="s">
        <v>1886</v>
      </c>
      <c r="G220" s="98" t="s">
        <v>1997</v>
      </c>
      <c r="H220" s="15"/>
      <c r="I220" s="15"/>
      <c r="J220" s="29" t="s">
        <v>1608</v>
      </c>
      <c r="K220" s="110">
        <v>2</v>
      </c>
      <c r="L220" s="110" t="s">
        <v>134</v>
      </c>
      <c r="M220" s="32" t="str">
        <f t="shared" si="109"/>
        <v>常规</v>
      </c>
      <c r="N220" s="15"/>
      <c r="O220" s="137" t="s">
        <v>2268</v>
      </c>
      <c r="P220" s="15"/>
      <c r="Q220" s="15"/>
      <c r="R220" s="15"/>
      <c r="S220" s="15"/>
      <c r="T220" s="110"/>
      <c r="U220" s="32" t="str">
        <f t="shared" si="110"/>
        <v>个</v>
      </c>
      <c r="V220" s="15"/>
      <c r="W220" s="15"/>
      <c r="X220" s="32">
        <f t="shared" si="111"/>
        <v>2</v>
      </c>
      <c r="Y220" s="32" t="str">
        <f t="shared" si="112"/>
        <v>个</v>
      </c>
      <c r="Z220" s="15"/>
      <c r="AA220" s="15"/>
      <c r="AB220" s="15"/>
    </row>
    <row r="221" spans="1:28" s="46" customFormat="1" ht="19.899999999999999" customHeight="1" x14ac:dyDescent="0.15">
      <c r="A221" s="34">
        <v>217</v>
      </c>
      <c r="B221" s="111" t="s">
        <v>1748</v>
      </c>
      <c r="C221" s="29" t="s">
        <v>135</v>
      </c>
      <c r="D221" s="32" t="str">
        <f t="shared" si="108"/>
        <v>备品配件</v>
      </c>
      <c r="E221" s="15"/>
      <c r="F221" s="109" t="s">
        <v>1896</v>
      </c>
      <c r="G221" s="98" t="s">
        <v>1997</v>
      </c>
      <c r="H221" s="15"/>
      <c r="I221" s="15"/>
      <c r="J221" s="29" t="s">
        <v>1608</v>
      </c>
      <c r="K221" s="110">
        <v>2</v>
      </c>
      <c r="L221" s="110" t="s">
        <v>134</v>
      </c>
      <c r="M221" s="32" t="str">
        <f t="shared" si="109"/>
        <v>常规</v>
      </c>
      <c r="N221" s="15"/>
      <c r="O221" s="137" t="s">
        <v>2268</v>
      </c>
      <c r="P221" s="15"/>
      <c r="Q221" s="15"/>
      <c r="R221" s="15"/>
      <c r="S221" s="15"/>
      <c r="T221" s="110"/>
      <c r="U221" s="32" t="str">
        <f t="shared" si="110"/>
        <v>个</v>
      </c>
      <c r="V221" s="15"/>
      <c r="W221" s="15"/>
      <c r="X221" s="32">
        <f t="shared" si="111"/>
        <v>2</v>
      </c>
      <c r="Y221" s="32" t="str">
        <f t="shared" si="112"/>
        <v>个</v>
      </c>
      <c r="Z221" s="15"/>
      <c r="AA221" s="15"/>
      <c r="AB221" s="15"/>
    </row>
    <row r="222" spans="1:28" s="46" customFormat="1" ht="19.899999999999999" customHeight="1" x14ac:dyDescent="0.15">
      <c r="A222" s="34">
        <v>218</v>
      </c>
      <c r="B222" s="111" t="s">
        <v>1807</v>
      </c>
      <c r="C222" s="29" t="s">
        <v>135</v>
      </c>
      <c r="D222" s="32" t="str">
        <f t="shared" si="108"/>
        <v>备品配件</v>
      </c>
      <c r="E222" s="15"/>
      <c r="F222" s="109" t="s">
        <v>1897</v>
      </c>
      <c r="G222" s="98" t="s">
        <v>1997</v>
      </c>
      <c r="H222" s="15"/>
      <c r="I222" s="15"/>
      <c r="J222" s="29" t="s">
        <v>1608</v>
      </c>
      <c r="K222" s="110">
        <v>2</v>
      </c>
      <c r="L222" s="110" t="s">
        <v>134</v>
      </c>
      <c r="M222" s="32" t="str">
        <f t="shared" si="109"/>
        <v>常规</v>
      </c>
      <c r="N222" s="15"/>
      <c r="O222" s="137" t="s">
        <v>2268</v>
      </c>
      <c r="P222" s="15"/>
      <c r="Q222" s="15"/>
      <c r="R222" s="15"/>
      <c r="S222" s="15"/>
      <c r="T222" s="110"/>
      <c r="U222" s="32" t="str">
        <f t="shared" si="110"/>
        <v>个</v>
      </c>
      <c r="V222" s="15"/>
      <c r="W222" s="15"/>
      <c r="X222" s="32">
        <f t="shared" si="111"/>
        <v>2</v>
      </c>
      <c r="Y222" s="32" t="str">
        <f t="shared" si="112"/>
        <v>个</v>
      </c>
      <c r="Z222" s="15"/>
      <c r="AA222" s="15"/>
      <c r="AB222" s="15"/>
    </row>
    <row r="223" spans="1:28" s="46" customFormat="1" ht="19.899999999999999" customHeight="1" x14ac:dyDescent="0.15">
      <c r="A223" s="34">
        <v>219</v>
      </c>
      <c r="B223" s="111" t="s">
        <v>1996</v>
      </c>
      <c r="C223" s="29" t="s">
        <v>135</v>
      </c>
      <c r="D223" s="32" t="str">
        <f t="shared" si="108"/>
        <v>备品配件</v>
      </c>
      <c r="E223" s="15"/>
      <c r="F223" s="109" t="s">
        <v>1887</v>
      </c>
      <c r="G223" s="98" t="s">
        <v>1997</v>
      </c>
      <c r="H223" s="15"/>
      <c r="I223" s="15"/>
      <c r="J223" s="29" t="s">
        <v>1608</v>
      </c>
      <c r="K223" s="110">
        <v>4</v>
      </c>
      <c r="L223" s="110" t="s">
        <v>134</v>
      </c>
      <c r="M223" s="32" t="str">
        <f t="shared" si="109"/>
        <v>常规</v>
      </c>
      <c r="N223" s="15"/>
      <c r="O223" s="137" t="s">
        <v>2268</v>
      </c>
      <c r="P223" s="15"/>
      <c r="Q223" s="15"/>
      <c r="R223" s="15"/>
      <c r="S223" s="15"/>
      <c r="T223" s="110"/>
      <c r="U223" s="32" t="str">
        <f t="shared" si="110"/>
        <v>个</v>
      </c>
      <c r="V223" s="15"/>
      <c r="W223" s="15"/>
      <c r="X223" s="32">
        <f t="shared" si="111"/>
        <v>4</v>
      </c>
      <c r="Y223" s="32" t="str">
        <f t="shared" si="112"/>
        <v>个</v>
      </c>
      <c r="Z223" s="15"/>
      <c r="AA223" s="15"/>
      <c r="AB223" s="15"/>
    </row>
    <row r="224" spans="1:28" s="46" customFormat="1" ht="19.899999999999999" customHeight="1" x14ac:dyDescent="0.15">
      <c r="A224" s="34">
        <v>220</v>
      </c>
      <c r="B224" s="112" t="s">
        <v>1749</v>
      </c>
      <c r="C224" s="29" t="s">
        <v>135</v>
      </c>
      <c r="D224" s="32" t="str">
        <f t="shared" si="108"/>
        <v>备品配件</v>
      </c>
      <c r="E224" s="15"/>
      <c r="F224" s="109" t="s">
        <v>105</v>
      </c>
      <c r="G224" s="98" t="s">
        <v>1997</v>
      </c>
      <c r="H224" s="15"/>
      <c r="I224" s="15"/>
      <c r="J224" s="29" t="s">
        <v>1608</v>
      </c>
      <c r="K224" s="110">
        <v>2</v>
      </c>
      <c r="L224" s="110" t="s">
        <v>134</v>
      </c>
      <c r="M224" s="32" t="str">
        <f t="shared" si="109"/>
        <v>常规</v>
      </c>
      <c r="N224" s="15"/>
      <c r="O224" s="137" t="s">
        <v>2268</v>
      </c>
      <c r="P224" s="15"/>
      <c r="Q224" s="15"/>
      <c r="R224" s="15"/>
      <c r="S224" s="15"/>
      <c r="T224" s="110"/>
      <c r="U224" s="32" t="str">
        <f t="shared" si="110"/>
        <v>个</v>
      </c>
      <c r="V224" s="15"/>
      <c r="W224" s="15"/>
      <c r="X224" s="32">
        <f t="shared" si="111"/>
        <v>2</v>
      </c>
      <c r="Y224" s="32" t="str">
        <f t="shared" si="112"/>
        <v>个</v>
      </c>
      <c r="Z224" s="15"/>
      <c r="AA224" s="15"/>
      <c r="AB224" s="15"/>
    </row>
    <row r="225" spans="1:28" s="46" customFormat="1" ht="19.899999999999999" customHeight="1" x14ac:dyDescent="0.15">
      <c r="A225" s="34">
        <v>221</v>
      </c>
      <c r="B225" s="111" t="s">
        <v>1750</v>
      </c>
      <c r="C225" s="29" t="s">
        <v>135</v>
      </c>
      <c r="D225" s="32" t="str">
        <f t="shared" si="108"/>
        <v>备品配件</v>
      </c>
      <c r="E225" s="15"/>
      <c r="F225" s="109" t="s">
        <v>1888</v>
      </c>
      <c r="G225" s="98" t="s">
        <v>1997</v>
      </c>
      <c r="H225" s="15"/>
      <c r="I225" s="15"/>
      <c r="J225" s="29" t="s">
        <v>1608</v>
      </c>
      <c r="K225" s="110">
        <v>1</v>
      </c>
      <c r="L225" s="110" t="s">
        <v>134</v>
      </c>
      <c r="M225" s="32" t="str">
        <f t="shared" si="109"/>
        <v>常规</v>
      </c>
      <c r="N225" s="15"/>
      <c r="O225" s="137" t="s">
        <v>2268</v>
      </c>
      <c r="P225" s="15"/>
      <c r="Q225" s="15"/>
      <c r="R225" s="15"/>
      <c r="S225" s="15"/>
      <c r="T225" s="110"/>
      <c r="U225" s="32" t="str">
        <f t="shared" si="110"/>
        <v>个</v>
      </c>
      <c r="V225" s="15"/>
      <c r="W225" s="15"/>
      <c r="X225" s="32">
        <f t="shared" si="111"/>
        <v>1</v>
      </c>
      <c r="Y225" s="32" t="str">
        <f t="shared" si="112"/>
        <v>个</v>
      </c>
      <c r="Z225" s="15"/>
      <c r="AA225" s="15"/>
      <c r="AB225" s="15"/>
    </row>
    <row r="226" spans="1:28" s="46" customFormat="1" ht="19.899999999999999" customHeight="1" x14ac:dyDescent="0.15">
      <c r="A226" s="34">
        <v>222</v>
      </c>
      <c r="B226" s="111" t="s">
        <v>1751</v>
      </c>
      <c r="C226" s="29" t="s">
        <v>135</v>
      </c>
      <c r="D226" s="32" t="str">
        <f t="shared" si="108"/>
        <v>备品配件</v>
      </c>
      <c r="E226" s="15"/>
      <c r="F226" s="109" t="s">
        <v>1889</v>
      </c>
      <c r="G226" s="98" t="s">
        <v>1997</v>
      </c>
      <c r="H226" s="15"/>
      <c r="I226" s="15"/>
      <c r="J226" s="29" t="s">
        <v>1608</v>
      </c>
      <c r="K226" s="110">
        <v>1</v>
      </c>
      <c r="L226" s="110" t="s">
        <v>134</v>
      </c>
      <c r="M226" s="32" t="str">
        <f t="shared" si="109"/>
        <v>常规</v>
      </c>
      <c r="N226" s="15"/>
      <c r="O226" s="137" t="s">
        <v>2268</v>
      </c>
      <c r="P226" s="15"/>
      <c r="Q226" s="15"/>
      <c r="R226" s="15"/>
      <c r="S226" s="15"/>
      <c r="T226" s="110"/>
      <c r="U226" s="32" t="str">
        <f t="shared" si="110"/>
        <v>个</v>
      </c>
      <c r="V226" s="15"/>
      <c r="W226" s="15"/>
      <c r="X226" s="32">
        <f t="shared" si="111"/>
        <v>1</v>
      </c>
      <c r="Y226" s="32" t="str">
        <f t="shared" si="112"/>
        <v>个</v>
      </c>
      <c r="Z226" s="15"/>
      <c r="AA226" s="15"/>
      <c r="AB226" s="15"/>
    </row>
    <row r="227" spans="1:28" s="46" customFormat="1" ht="19.899999999999999" customHeight="1" x14ac:dyDescent="0.15">
      <c r="A227" s="34">
        <v>223</v>
      </c>
      <c r="B227" s="126" t="s">
        <v>1998</v>
      </c>
      <c r="C227" s="29" t="s">
        <v>135</v>
      </c>
      <c r="D227" s="32" t="str">
        <f t="shared" si="108"/>
        <v>备品配件</v>
      </c>
      <c r="E227" s="15"/>
      <c r="F227" s="127" t="s">
        <v>1890</v>
      </c>
      <c r="G227" s="98" t="s">
        <v>1997</v>
      </c>
      <c r="H227" s="15"/>
      <c r="I227" s="15"/>
      <c r="J227" s="29" t="s">
        <v>1608</v>
      </c>
      <c r="K227" s="110">
        <v>20</v>
      </c>
      <c r="L227" s="110" t="s">
        <v>134</v>
      </c>
      <c r="M227" s="32" t="str">
        <f t="shared" si="109"/>
        <v>常规</v>
      </c>
      <c r="N227" s="15"/>
      <c r="O227" s="137" t="s">
        <v>2268</v>
      </c>
      <c r="P227" s="15"/>
      <c r="Q227" s="15"/>
      <c r="R227" s="15"/>
      <c r="S227" s="15" t="s">
        <v>2101</v>
      </c>
      <c r="T227" s="110">
        <v>10</v>
      </c>
      <c r="U227" s="32" t="str">
        <f t="shared" si="110"/>
        <v>个</v>
      </c>
      <c r="V227" s="15"/>
      <c r="W227" s="15"/>
      <c r="X227" s="32">
        <f t="shared" si="111"/>
        <v>10</v>
      </c>
      <c r="Y227" s="32" t="str">
        <f t="shared" si="112"/>
        <v>个</v>
      </c>
      <c r="Z227" s="15"/>
      <c r="AA227" s="15"/>
      <c r="AB227" s="15"/>
    </row>
    <row r="228" spans="1:28" s="46" customFormat="1" ht="19.899999999999999" customHeight="1" x14ac:dyDescent="0.15">
      <c r="A228" s="34">
        <v>224</v>
      </c>
      <c r="B228" s="112" t="s">
        <v>1808</v>
      </c>
      <c r="C228" s="29" t="s">
        <v>135</v>
      </c>
      <c r="D228" s="32" t="str">
        <f t="shared" si="108"/>
        <v>备品配件</v>
      </c>
      <c r="E228" s="15"/>
      <c r="F228" s="98"/>
      <c r="G228" s="98" t="s">
        <v>1929</v>
      </c>
      <c r="H228" s="15"/>
      <c r="I228" s="15"/>
      <c r="J228" s="29" t="s">
        <v>1608</v>
      </c>
      <c r="K228" s="110">
        <v>1</v>
      </c>
      <c r="L228" s="110" t="s">
        <v>134</v>
      </c>
      <c r="M228" s="32" t="str">
        <f t="shared" si="109"/>
        <v>常规</v>
      </c>
      <c r="N228" s="15"/>
      <c r="O228" s="137" t="s">
        <v>2268</v>
      </c>
      <c r="P228" s="15"/>
      <c r="Q228" s="15"/>
      <c r="R228" s="15"/>
      <c r="S228" s="15"/>
      <c r="T228" s="110"/>
      <c r="U228" s="32" t="str">
        <f t="shared" si="110"/>
        <v>个</v>
      </c>
      <c r="V228" s="15"/>
      <c r="W228" s="15"/>
      <c r="X228" s="32">
        <f t="shared" si="111"/>
        <v>1</v>
      </c>
      <c r="Y228" s="32" t="str">
        <f t="shared" si="112"/>
        <v>个</v>
      </c>
      <c r="Z228" s="15"/>
      <c r="AA228" s="15"/>
      <c r="AB228" s="15"/>
    </row>
    <row r="229" spans="1:28" s="46" customFormat="1" ht="19.899999999999999" customHeight="1" x14ac:dyDescent="0.15">
      <c r="A229" s="34">
        <v>225</v>
      </c>
      <c r="B229" s="112" t="s">
        <v>1809</v>
      </c>
      <c r="C229" s="29" t="s">
        <v>135</v>
      </c>
      <c r="D229" s="32" t="str">
        <f t="shared" si="108"/>
        <v>备品配件</v>
      </c>
      <c r="E229" s="15"/>
      <c r="F229" s="98"/>
      <c r="G229" s="98" t="s">
        <v>1929</v>
      </c>
      <c r="H229" s="15"/>
      <c r="I229" s="15"/>
      <c r="J229" s="29" t="s">
        <v>1608</v>
      </c>
      <c r="K229" s="110">
        <v>1</v>
      </c>
      <c r="L229" s="110" t="s">
        <v>134</v>
      </c>
      <c r="M229" s="32" t="str">
        <f t="shared" si="109"/>
        <v>常规</v>
      </c>
      <c r="N229" s="15"/>
      <c r="O229" s="137" t="s">
        <v>2268</v>
      </c>
      <c r="P229" s="15"/>
      <c r="Q229" s="15"/>
      <c r="R229" s="15"/>
      <c r="S229" s="15"/>
      <c r="T229" s="110"/>
      <c r="U229" s="32" t="str">
        <f t="shared" si="110"/>
        <v>个</v>
      </c>
      <c r="V229" s="15"/>
      <c r="W229" s="15"/>
      <c r="X229" s="32">
        <f t="shared" si="111"/>
        <v>1</v>
      </c>
      <c r="Y229" s="32" t="str">
        <f t="shared" si="112"/>
        <v>个</v>
      </c>
      <c r="Z229" s="15"/>
      <c r="AA229" s="15"/>
      <c r="AB229" s="15"/>
    </row>
    <row r="230" spans="1:28" s="46" customFormat="1" ht="19.899999999999999" customHeight="1" x14ac:dyDescent="0.15">
      <c r="A230" s="34">
        <v>226</v>
      </c>
      <c r="B230" s="112" t="s">
        <v>1810</v>
      </c>
      <c r="C230" s="29" t="s">
        <v>135</v>
      </c>
      <c r="D230" s="32" t="str">
        <f t="shared" si="108"/>
        <v>备品配件</v>
      </c>
      <c r="E230" s="15"/>
      <c r="F230" s="98"/>
      <c r="G230" s="98" t="s">
        <v>1929</v>
      </c>
      <c r="H230" s="15"/>
      <c r="I230" s="15"/>
      <c r="J230" s="29" t="s">
        <v>1608</v>
      </c>
      <c r="K230" s="110">
        <v>1</v>
      </c>
      <c r="L230" s="110" t="s">
        <v>134</v>
      </c>
      <c r="M230" s="32" t="str">
        <f t="shared" si="109"/>
        <v>常规</v>
      </c>
      <c r="N230" s="15"/>
      <c r="O230" s="137" t="s">
        <v>2268</v>
      </c>
      <c r="P230" s="15"/>
      <c r="Q230" s="15"/>
      <c r="R230" s="15"/>
      <c r="S230" s="15"/>
      <c r="T230" s="110"/>
      <c r="U230" s="32" t="str">
        <f t="shared" si="110"/>
        <v>个</v>
      </c>
      <c r="V230" s="15"/>
      <c r="W230" s="15"/>
      <c r="X230" s="32">
        <f t="shared" si="111"/>
        <v>1</v>
      </c>
      <c r="Y230" s="32" t="str">
        <f t="shared" si="112"/>
        <v>个</v>
      </c>
      <c r="Z230" s="15"/>
      <c r="AA230" s="15"/>
      <c r="AB230" s="15"/>
    </row>
    <row r="231" spans="1:28" s="46" customFormat="1" ht="19.899999999999999" customHeight="1" x14ac:dyDescent="0.15">
      <c r="A231" s="34">
        <v>227</v>
      </c>
      <c r="B231" s="112" t="s">
        <v>1811</v>
      </c>
      <c r="C231" s="29" t="s">
        <v>135</v>
      </c>
      <c r="D231" s="32" t="str">
        <f t="shared" si="108"/>
        <v>备品配件</v>
      </c>
      <c r="E231" s="15"/>
      <c r="F231" s="98"/>
      <c r="G231" s="98" t="s">
        <v>1929</v>
      </c>
      <c r="H231" s="15"/>
      <c r="I231" s="15"/>
      <c r="J231" s="29" t="s">
        <v>1608</v>
      </c>
      <c r="K231" s="110">
        <v>1</v>
      </c>
      <c r="L231" s="110" t="s">
        <v>134</v>
      </c>
      <c r="M231" s="32" t="str">
        <f t="shared" si="109"/>
        <v>常规</v>
      </c>
      <c r="N231" s="15"/>
      <c r="O231" s="137" t="s">
        <v>2268</v>
      </c>
      <c r="P231" s="15"/>
      <c r="Q231" s="15"/>
      <c r="R231" s="15"/>
      <c r="S231" s="15"/>
      <c r="T231" s="110"/>
      <c r="U231" s="32" t="str">
        <f t="shared" si="110"/>
        <v>个</v>
      </c>
      <c r="V231" s="15"/>
      <c r="W231" s="15"/>
      <c r="X231" s="32">
        <f t="shared" si="111"/>
        <v>1</v>
      </c>
      <c r="Y231" s="32" t="str">
        <f t="shared" si="112"/>
        <v>个</v>
      </c>
      <c r="Z231" s="15"/>
      <c r="AA231" s="15"/>
      <c r="AB231" s="15"/>
    </row>
    <row r="232" spans="1:28" s="46" customFormat="1" ht="19.899999999999999" customHeight="1" x14ac:dyDescent="0.15">
      <c r="A232" s="34">
        <v>228</v>
      </c>
      <c r="B232" s="112" t="s">
        <v>1812</v>
      </c>
      <c r="C232" s="29" t="s">
        <v>135</v>
      </c>
      <c r="D232" s="32" t="str">
        <f t="shared" si="108"/>
        <v>备品配件</v>
      </c>
      <c r="E232" s="15"/>
      <c r="F232" s="98"/>
      <c r="G232" s="98" t="s">
        <v>2411</v>
      </c>
      <c r="H232" s="15"/>
      <c r="I232" s="15"/>
      <c r="J232" s="29" t="s">
        <v>1608</v>
      </c>
      <c r="K232" s="110">
        <v>1</v>
      </c>
      <c r="L232" s="110" t="s">
        <v>134</v>
      </c>
      <c r="M232" s="32" t="str">
        <f t="shared" si="109"/>
        <v>常规</v>
      </c>
      <c r="N232" s="15"/>
      <c r="O232" s="137" t="s">
        <v>2268</v>
      </c>
      <c r="P232" s="15"/>
      <c r="Q232" s="15"/>
      <c r="R232" s="15"/>
      <c r="S232" s="15"/>
      <c r="T232" s="110"/>
      <c r="U232" s="32" t="str">
        <f t="shared" si="110"/>
        <v>个</v>
      </c>
      <c r="V232" s="15"/>
      <c r="W232" s="15"/>
      <c r="X232" s="32">
        <f t="shared" si="111"/>
        <v>1</v>
      </c>
      <c r="Y232" s="32" t="str">
        <f t="shared" si="112"/>
        <v>个</v>
      </c>
      <c r="Z232" s="15"/>
      <c r="AA232" s="15"/>
      <c r="AB232" s="15"/>
    </row>
    <row r="233" spans="1:28" s="46" customFormat="1" ht="19.899999999999999" customHeight="1" x14ac:dyDescent="0.15">
      <c r="A233" s="34">
        <v>229</v>
      </c>
      <c r="B233" s="112" t="s">
        <v>1813</v>
      </c>
      <c r="C233" s="29" t="s">
        <v>135</v>
      </c>
      <c r="D233" s="32" t="str">
        <f t="shared" si="108"/>
        <v>备品配件</v>
      </c>
      <c r="E233" s="15"/>
      <c r="F233" s="98"/>
      <c r="G233" s="98" t="s">
        <v>1930</v>
      </c>
      <c r="H233" s="15"/>
      <c r="I233" s="15"/>
      <c r="J233" s="29" t="s">
        <v>1608</v>
      </c>
      <c r="K233" s="110">
        <v>1</v>
      </c>
      <c r="L233" s="110" t="s">
        <v>134</v>
      </c>
      <c r="M233" s="32" t="str">
        <f t="shared" si="109"/>
        <v>常规</v>
      </c>
      <c r="N233" s="15"/>
      <c r="O233" s="137" t="s">
        <v>2268</v>
      </c>
      <c r="P233" s="15"/>
      <c r="Q233" s="15"/>
      <c r="R233" s="15"/>
      <c r="S233" s="15"/>
      <c r="T233" s="110"/>
      <c r="U233" s="32" t="str">
        <f t="shared" si="110"/>
        <v>个</v>
      </c>
      <c r="V233" s="15"/>
      <c r="W233" s="15"/>
      <c r="X233" s="32">
        <f t="shared" si="111"/>
        <v>1</v>
      </c>
      <c r="Y233" s="32" t="str">
        <f t="shared" si="112"/>
        <v>个</v>
      </c>
      <c r="Z233" s="15"/>
      <c r="AA233" s="15"/>
      <c r="AB233" s="15"/>
    </row>
    <row r="234" spans="1:28" s="46" customFormat="1" ht="19.899999999999999" customHeight="1" x14ac:dyDescent="0.15">
      <c r="A234" s="34">
        <v>230</v>
      </c>
      <c r="B234" s="98" t="s">
        <v>1752</v>
      </c>
      <c r="C234" s="29" t="s">
        <v>135</v>
      </c>
      <c r="D234" s="32" t="str">
        <f t="shared" si="108"/>
        <v>备品配件</v>
      </c>
      <c r="E234" s="15"/>
      <c r="F234" s="109"/>
      <c r="G234" s="98" t="s">
        <v>1929</v>
      </c>
      <c r="H234" s="15"/>
      <c r="I234" s="15"/>
      <c r="J234" s="29" t="s">
        <v>1608</v>
      </c>
      <c r="K234" s="110">
        <v>1</v>
      </c>
      <c r="L234" s="110" t="s">
        <v>134</v>
      </c>
      <c r="M234" s="32" t="str">
        <f t="shared" si="109"/>
        <v>常规</v>
      </c>
      <c r="N234" s="15"/>
      <c r="O234" s="137" t="s">
        <v>2268</v>
      </c>
      <c r="P234" s="15"/>
      <c r="Q234" s="15"/>
      <c r="R234" s="15"/>
      <c r="S234" s="15"/>
      <c r="T234" s="110"/>
      <c r="U234" s="32" t="str">
        <f t="shared" si="110"/>
        <v>个</v>
      </c>
      <c r="V234" s="15"/>
      <c r="W234" s="15"/>
      <c r="X234" s="32">
        <f t="shared" si="111"/>
        <v>1</v>
      </c>
      <c r="Y234" s="32" t="str">
        <f t="shared" si="112"/>
        <v>个</v>
      </c>
      <c r="Z234" s="15"/>
      <c r="AA234" s="15"/>
      <c r="AB234" s="15"/>
    </row>
    <row r="235" spans="1:28" s="46" customFormat="1" ht="19.899999999999999" customHeight="1" x14ac:dyDescent="0.15">
      <c r="A235" s="34">
        <v>231</v>
      </c>
      <c r="B235" s="98" t="s">
        <v>1753</v>
      </c>
      <c r="C235" s="29" t="s">
        <v>135</v>
      </c>
      <c r="D235" s="32" t="str">
        <f t="shared" si="108"/>
        <v>备品配件</v>
      </c>
      <c r="E235" s="15"/>
      <c r="F235" s="109"/>
      <c r="G235" s="98" t="s">
        <v>1930</v>
      </c>
      <c r="H235" s="15"/>
      <c r="I235" s="15"/>
      <c r="J235" s="29" t="s">
        <v>1608</v>
      </c>
      <c r="K235" s="110">
        <v>1</v>
      </c>
      <c r="L235" s="110" t="s">
        <v>134</v>
      </c>
      <c r="M235" s="32" t="str">
        <f t="shared" si="109"/>
        <v>常规</v>
      </c>
      <c r="N235" s="15"/>
      <c r="O235" s="137" t="s">
        <v>2268</v>
      </c>
      <c r="P235" s="15"/>
      <c r="Q235" s="15"/>
      <c r="R235" s="15"/>
      <c r="S235" s="15"/>
      <c r="T235" s="110"/>
      <c r="U235" s="32" t="str">
        <f t="shared" si="110"/>
        <v>个</v>
      </c>
      <c r="V235" s="15"/>
      <c r="W235" s="15"/>
      <c r="X235" s="32">
        <f t="shared" si="111"/>
        <v>1</v>
      </c>
      <c r="Y235" s="32" t="str">
        <f t="shared" si="112"/>
        <v>个</v>
      </c>
      <c r="Z235" s="15"/>
      <c r="AA235" s="15"/>
      <c r="AB235" s="15"/>
    </row>
    <row r="236" spans="1:28" s="46" customFormat="1" ht="19.899999999999999" customHeight="1" x14ac:dyDescent="0.15">
      <c r="A236" s="34">
        <v>232</v>
      </c>
      <c r="B236" s="98" t="s">
        <v>1754</v>
      </c>
      <c r="C236" s="29" t="s">
        <v>135</v>
      </c>
      <c r="D236" s="32" t="str">
        <f t="shared" si="108"/>
        <v>备品配件</v>
      </c>
      <c r="E236" s="15"/>
      <c r="F236" s="109"/>
      <c r="G236" s="98" t="s">
        <v>1929</v>
      </c>
      <c r="H236" s="15"/>
      <c r="I236" s="15"/>
      <c r="J236" s="29" t="s">
        <v>1608</v>
      </c>
      <c r="K236" s="110">
        <v>1</v>
      </c>
      <c r="L236" s="110" t="s">
        <v>134</v>
      </c>
      <c r="M236" s="32" t="str">
        <f t="shared" si="109"/>
        <v>常规</v>
      </c>
      <c r="N236" s="15"/>
      <c r="O236" s="137" t="s">
        <v>2268</v>
      </c>
      <c r="P236" s="15"/>
      <c r="Q236" s="15"/>
      <c r="R236" s="15"/>
      <c r="S236" s="15"/>
      <c r="T236" s="110"/>
      <c r="U236" s="32" t="str">
        <f t="shared" si="110"/>
        <v>个</v>
      </c>
      <c r="V236" s="15"/>
      <c r="W236" s="15"/>
      <c r="X236" s="32">
        <f t="shared" si="111"/>
        <v>1</v>
      </c>
      <c r="Y236" s="32" t="str">
        <f t="shared" si="112"/>
        <v>个</v>
      </c>
      <c r="Z236" s="15"/>
      <c r="AA236" s="15"/>
      <c r="AB236" s="15"/>
    </row>
    <row r="237" spans="1:28" s="46" customFormat="1" ht="19.899999999999999" customHeight="1" x14ac:dyDescent="0.15">
      <c r="A237" s="34">
        <v>233</v>
      </c>
      <c r="B237" s="98" t="s">
        <v>1814</v>
      </c>
      <c r="C237" s="29" t="s">
        <v>135</v>
      </c>
      <c r="D237" s="32" t="str">
        <f t="shared" si="108"/>
        <v>备品配件</v>
      </c>
      <c r="E237" s="15"/>
      <c r="F237" s="128" t="s">
        <v>1898</v>
      </c>
      <c r="G237" s="98" t="s">
        <v>1929</v>
      </c>
      <c r="H237" s="15"/>
      <c r="I237" s="15"/>
      <c r="J237" s="29" t="s">
        <v>1608</v>
      </c>
      <c r="K237" s="110">
        <v>1</v>
      </c>
      <c r="L237" s="110" t="s">
        <v>1944</v>
      </c>
      <c r="M237" s="32" t="str">
        <f t="shared" si="109"/>
        <v>常规</v>
      </c>
      <c r="N237" s="15"/>
      <c r="O237" s="137" t="s">
        <v>2268</v>
      </c>
      <c r="P237" s="15"/>
      <c r="Q237" s="15"/>
      <c r="R237" s="15"/>
      <c r="S237" s="15"/>
      <c r="T237" s="129"/>
      <c r="U237" s="32" t="str">
        <f t="shared" si="110"/>
        <v>块</v>
      </c>
      <c r="V237" s="15"/>
      <c r="W237" s="15"/>
      <c r="X237" s="32">
        <f t="shared" si="111"/>
        <v>1</v>
      </c>
      <c r="Y237" s="32" t="str">
        <f t="shared" si="112"/>
        <v>块</v>
      </c>
      <c r="Z237" s="15"/>
      <c r="AA237" s="15"/>
      <c r="AB237" s="15"/>
    </row>
    <row r="238" spans="1:28" s="46" customFormat="1" ht="19.899999999999999" customHeight="1" x14ac:dyDescent="0.15">
      <c r="A238" s="34">
        <v>234</v>
      </c>
      <c r="B238" s="112" t="s">
        <v>1755</v>
      </c>
      <c r="C238" s="29" t="s">
        <v>135</v>
      </c>
      <c r="D238" s="32" t="str">
        <f t="shared" si="108"/>
        <v>备品配件</v>
      </c>
      <c r="E238" s="15"/>
      <c r="F238" s="120">
        <v>942339381261</v>
      </c>
      <c r="G238" s="98" t="s">
        <v>1931</v>
      </c>
      <c r="H238" s="15"/>
      <c r="I238" s="15"/>
      <c r="J238" s="29" t="s">
        <v>1608</v>
      </c>
      <c r="K238" s="110">
        <v>2</v>
      </c>
      <c r="L238" s="110" t="s">
        <v>134</v>
      </c>
      <c r="M238" s="32" t="str">
        <f t="shared" si="109"/>
        <v>常规</v>
      </c>
      <c r="N238" s="15"/>
      <c r="O238" s="137" t="s">
        <v>2268</v>
      </c>
      <c r="P238" s="15"/>
      <c r="Q238" s="15"/>
      <c r="R238" s="15"/>
      <c r="S238" s="15"/>
      <c r="T238" s="110"/>
      <c r="U238" s="32" t="str">
        <f t="shared" si="110"/>
        <v>个</v>
      </c>
      <c r="V238" s="15"/>
      <c r="W238" s="15"/>
      <c r="X238" s="32">
        <f t="shared" si="111"/>
        <v>2</v>
      </c>
      <c r="Y238" s="32" t="str">
        <f t="shared" si="112"/>
        <v>个</v>
      </c>
      <c r="Z238" s="15"/>
      <c r="AA238" s="15"/>
      <c r="AB238" s="15"/>
    </row>
    <row r="239" spans="1:28" s="175" customFormat="1" ht="19.899999999999999" customHeight="1" x14ac:dyDescent="0.15">
      <c r="A239" s="163">
        <v>235</v>
      </c>
      <c r="B239" s="246" t="s">
        <v>2118</v>
      </c>
      <c r="C239" s="165" t="s">
        <v>135</v>
      </c>
      <c r="D239" s="166" t="str">
        <f t="shared" si="108"/>
        <v>备品配件</v>
      </c>
      <c r="E239" s="167"/>
      <c r="F239" s="167" t="s">
        <v>2119</v>
      </c>
      <c r="G239" s="167"/>
      <c r="H239" s="167"/>
      <c r="I239" s="167" t="s">
        <v>2120</v>
      </c>
      <c r="J239" s="165" t="s">
        <v>1589</v>
      </c>
      <c r="K239" s="245">
        <v>1</v>
      </c>
      <c r="L239" s="245" t="s">
        <v>1935</v>
      </c>
      <c r="M239" s="166" t="str">
        <f t="shared" si="109"/>
        <v>常规</v>
      </c>
      <c r="N239" s="167"/>
      <c r="O239" s="169"/>
      <c r="P239" s="169"/>
      <c r="Q239" s="167"/>
      <c r="R239" s="167"/>
      <c r="S239" s="167" t="s">
        <v>2121</v>
      </c>
      <c r="T239" s="167">
        <v>1</v>
      </c>
      <c r="U239" s="166" t="str">
        <f t="shared" si="110"/>
        <v>只</v>
      </c>
      <c r="V239" s="167"/>
      <c r="W239" s="167"/>
      <c r="X239" s="166" t="str">
        <f t="shared" si="111"/>
        <v/>
      </c>
      <c r="Y239" s="166" t="str">
        <f t="shared" si="112"/>
        <v>只</v>
      </c>
      <c r="Z239" s="167"/>
      <c r="AA239" s="167"/>
      <c r="AB239" s="167"/>
    </row>
    <row r="240" spans="1:28" s="46" customFormat="1" ht="19.899999999999999" customHeight="1" x14ac:dyDescent="0.15">
      <c r="A240" s="34">
        <v>236</v>
      </c>
      <c r="B240" s="89" t="s">
        <v>2178</v>
      </c>
      <c r="C240" s="29" t="s">
        <v>135</v>
      </c>
      <c r="D240" s="32" t="str">
        <f t="shared" si="108"/>
        <v>备品配件</v>
      </c>
      <c r="E240" s="95" t="s">
        <v>2181</v>
      </c>
      <c r="F240" s="14" t="s">
        <v>2182</v>
      </c>
      <c r="G240" s="15"/>
      <c r="H240" s="15"/>
      <c r="I240" s="15" t="s">
        <v>2417</v>
      </c>
      <c r="J240" s="94" t="s">
        <v>1608</v>
      </c>
      <c r="K240" s="110">
        <v>3</v>
      </c>
      <c r="L240" s="110" t="s">
        <v>1941</v>
      </c>
      <c r="M240" s="32" t="str">
        <f t="shared" si="109"/>
        <v>常规</v>
      </c>
      <c r="N240" s="15"/>
      <c r="O240" s="137" t="s">
        <v>2273</v>
      </c>
      <c r="P240" s="137"/>
      <c r="Q240" s="93"/>
      <c r="R240" s="15"/>
      <c r="S240" s="15"/>
      <c r="T240" s="15"/>
      <c r="U240" s="32" t="str">
        <f t="shared" si="110"/>
        <v>个</v>
      </c>
      <c r="V240" s="15"/>
      <c r="W240" s="15"/>
      <c r="X240" s="32">
        <f t="shared" si="111"/>
        <v>3</v>
      </c>
      <c r="Y240" s="32" t="str">
        <f t="shared" si="112"/>
        <v>个</v>
      </c>
      <c r="Z240" s="15"/>
      <c r="AA240" s="15"/>
      <c r="AB240" s="157"/>
    </row>
    <row r="241" spans="1:28" s="46" customFormat="1" ht="19.899999999999999" customHeight="1" x14ac:dyDescent="0.15">
      <c r="A241" s="34">
        <v>237</v>
      </c>
      <c r="B241" s="89" t="s">
        <v>2179</v>
      </c>
      <c r="C241" s="29" t="s">
        <v>135</v>
      </c>
      <c r="D241" s="32" t="str">
        <f t="shared" ref="D241:D242" si="113">IF(C241="J1","常规化学品",IF(C241="J2","危险化学品",IF(C241="J3","标准物质",IF(C241="J4","玻璃仪器",IF(C241="J5","实验气体",IF(C241="J6","专用物耗",IF(C241="J7","备品配件",IF(C241="J8","专用工具",IF(C241="Z1","劳保物资",IF(C241="Z2","办公耗材",IF(C241="Z3","食品饮料",IF(C241="Z4","特殊物耗",IF(C241="Z5","通用物耗",IF(C241="Z6","通用工具",""))))))))))))))</f>
        <v>备品配件</v>
      </c>
      <c r="E241" s="95" t="s">
        <v>2183</v>
      </c>
      <c r="F241" s="14" t="s">
        <v>2184</v>
      </c>
      <c r="G241" s="93" t="s">
        <v>2471</v>
      </c>
      <c r="H241" s="15"/>
      <c r="I241" s="15" t="s">
        <v>2418</v>
      </c>
      <c r="J241" s="94" t="s">
        <v>1608</v>
      </c>
      <c r="K241" s="110">
        <v>1</v>
      </c>
      <c r="L241" s="110" t="s">
        <v>1941</v>
      </c>
      <c r="M241" s="32" t="str">
        <f t="shared" si="109"/>
        <v>常规</v>
      </c>
      <c r="N241" s="15"/>
      <c r="O241" s="137" t="s">
        <v>2273</v>
      </c>
      <c r="P241" s="137"/>
      <c r="Q241" s="93"/>
      <c r="R241" s="15"/>
      <c r="S241" s="15"/>
      <c r="T241" s="15"/>
      <c r="U241" s="32" t="str">
        <f t="shared" si="110"/>
        <v>个</v>
      </c>
      <c r="V241" s="15"/>
      <c r="W241" s="15"/>
      <c r="X241" s="32">
        <f t="shared" si="111"/>
        <v>1</v>
      </c>
      <c r="Y241" s="32" t="str">
        <f t="shared" si="112"/>
        <v>个</v>
      </c>
      <c r="Z241" s="15"/>
      <c r="AA241" s="15"/>
      <c r="AB241" s="35"/>
    </row>
    <row r="242" spans="1:28" s="175" customFormat="1" ht="19.899999999999999" customHeight="1" x14ac:dyDescent="0.15">
      <c r="A242" s="163">
        <v>238</v>
      </c>
      <c r="B242" s="248" t="s">
        <v>2180</v>
      </c>
      <c r="C242" s="165" t="s">
        <v>135</v>
      </c>
      <c r="D242" s="166" t="str">
        <f t="shared" si="113"/>
        <v>备品配件</v>
      </c>
      <c r="E242" s="243" t="s">
        <v>2185</v>
      </c>
      <c r="F242" s="168" t="s">
        <v>2186</v>
      </c>
      <c r="G242" s="167"/>
      <c r="H242" s="167"/>
      <c r="I242" s="167" t="s">
        <v>2419</v>
      </c>
      <c r="J242" s="244" t="s">
        <v>1608</v>
      </c>
      <c r="K242" s="245">
        <v>3</v>
      </c>
      <c r="L242" s="245" t="s">
        <v>1941</v>
      </c>
      <c r="M242" s="166" t="str">
        <f t="shared" si="109"/>
        <v>常规</v>
      </c>
      <c r="N242" s="167"/>
      <c r="O242" s="169" t="s">
        <v>2266</v>
      </c>
      <c r="P242" s="169">
        <v>1</v>
      </c>
      <c r="Q242" s="200"/>
      <c r="R242" s="167"/>
      <c r="S242" s="167" t="s">
        <v>3083</v>
      </c>
      <c r="T242" s="167">
        <v>3</v>
      </c>
      <c r="U242" s="166" t="str">
        <f t="shared" si="110"/>
        <v>个</v>
      </c>
      <c r="V242" s="167"/>
      <c r="W242" s="167"/>
      <c r="X242" s="166" t="str">
        <f t="shared" si="111"/>
        <v/>
      </c>
      <c r="Y242" s="166" t="str">
        <f t="shared" si="112"/>
        <v>个</v>
      </c>
      <c r="Z242" s="167"/>
      <c r="AA242" s="167"/>
      <c r="AB242" s="172"/>
    </row>
    <row r="243" spans="1:28" s="175" customFormat="1" ht="19.899999999999999" customHeight="1" x14ac:dyDescent="0.15">
      <c r="A243" s="163">
        <v>239</v>
      </c>
      <c r="B243" s="230" t="s">
        <v>2362</v>
      </c>
      <c r="C243" s="165" t="s">
        <v>135</v>
      </c>
      <c r="D243" s="166" t="str">
        <f t="shared" ref="D243:D244" si="114">IF(C243="J1","常规化学品",IF(C243="J2","危险化学品",IF(C243="J3","标准物质",IF(C243="J4","玻璃仪器",IF(C243="J5","实验气体",IF(C243="J6","专用物耗",IF(C243="J7","备品配件",IF(C243="J8","专用工具",IF(C243="Z1","劳保物资",IF(C243="Z2","办公耗材",IF(C243="Z3","食品饮料",IF(C243="Z4","特殊物耗",IF(C243="Z5","通用物耗",IF(C243="Z6","通用工具",""))))))))))))))</f>
        <v>备品配件</v>
      </c>
      <c r="E243" s="200" t="s">
        <v>2363</v>
      </c>
      <c r="F243" s="167" t="s">
        <v>2364</v>
      </c>
      <c r="G243" s="200" t="s">
        <v>2365</v>
      </c>
      <c r="H243" s="167"/>
      <c r="I243" s="167" t="s">
        <v>2366</v>
      </c>
      <c r="J243" s="244" t="s">
        <v>1608</v>
      </c>
      <c r="K243" s="245">
        <v>1</v>
      </c>
      <c r="L243" s="245" t="s">
        <v>1941</v>
      </c>
      <c r="M243" s="166" t="str">
        <f t="shared" ref="M243:M251" si="115">IF(D243="危险化学品","五双",IF(D243="标准物资","严控",IF(D243&lt;&gt;"","常规","")))</f>
        <v>常规</v>
      </c>
      <c r="N243" s="167"/>
      <c r="O243" s="169"/>
      <c r="P243" s="169"/>
      <c r="Q243" s="200"/>
      <c r="R243" s="167"/>
      <c r="S243" s="192" t="s">
        <v>2367</v>
      </c>
      <c r="T243" s="167">
        <v>1</v>
      </c>
      <c r="U243" s="166" t="str">
        <f t="shared" ref="U243:U251" si="116">IF(L243="","",L243)</f>
        <v>个</v>
      </c>
      <c r="V243" s="167"/>
      <c r="W243" s="167"/>
      <c r="X243" s="166" t="str">
        <f t="shared" ref="X243:X245" si="117">IF((K243-T243)&lt;=0,"",K243-T243)</f>
        <v/>
      </c>
      <c r="Y243" s="166" t="str">
        <f t="shared" ref="Y243:Y251" si="118">IF(L243="","",L243)</f>
        <v>个</v>
      </c>
      <c r="Z243" s="167"/>
      <c r="AA243" s="167"/>
      <c r="AB243" s="167"/>
    </row>
    <row r="244" spans="1:28" s="46" customFormat="1" ht="19.899999999999999" customHeight="1" x14ac:dyDescent="0.15">
      <c r="A244" s="34">
        <v>240</v>
      </c>
      <c r="B244" s="96" t="s">
        <v>2376</v>
      </c>
      <c r="C244" s="29" t="s">
        <v>135</v>
      </c>
      <c r="D244" s="32" t="str">
        <f t="shared" si="114"/>
        <v>备品配件</v>
      </c>
      <c r="F244" s="15" t="s">
        <v>2381</v>
      </c>
      <c r="G244" s="93" t="s">
        <v>2382</v>
      </c>
      <c r="H244" s="15"/>
      <c r="I244" s="15" t="s">
        <v>2387</v>
      </c>
      <c r="J244" s="29" t="s">
        <v>1589</v>
      </c>
      <c r="K244" s="15">
        <v>4</v>
      </c>
      <c r="L244" s="110" t="s">
        <v>1941</v>
      </c>
      <c r="M244" s="32" t="str">
        <f t="shared" si="115"/>
        <v>常规</v>
      </c>
      <c r="N244" s="15"/>
      <c r="O244" s="137" t="s">
        <v>2273</v>
      </c>
      <c r="P244" s="15"/>
      <c r="Q244" s="93"/>
      <c r="R244" s="15"/>
      <c r="S244" s="154" t="s">
        <v>2383</v>
      </c>
      <c r="T244" s="15">
        <v>1</v>
      </c>
      <c r="U244" s="32" t="str">
        <f t="shared" si="116"/>
        <v>个</v>
      </c>
      <c r="V244" s="15"/>
      <c r="W244" s="15"/>
      <c r="X244" s="32">
        <f t="shared" si="117"/>
        <v>3</v>
      </c>
      <c r="Y244" s="32" t="str">
        <f t="shared" si="118"/>
        <v>个</v>
      </c>
      <c r="Z244" s="15"/>
      <c r="AA244" s="15"/>
      <c r="AB244" s="15"/>
    </row>
    <row r="245" spans="1:28" s="46" customFormat="1" ht="19.899999999999999" customHeight="1" x14ac:dyDescent="0.15">
      <c r="A245" s="34">
        <v>241</v>
      </c>
      <c r="B245" s="96" t="s">
        <v>2379</v>
      </c>
      <c r="C245" s="29" t="s">
        <v>135</v>
      </c>
      <c r="D245" s="32" t="str">
        <f t="shared" ref="D245" si="119">IF(C245="J1","常规化学品",IF(C245="J2","危险化学品",IF(C245="J3","标准物质",IF(C245="J4","玻璃仪器",IF(C245="J5","实验气体",IF(C245="J6","专用物耗",IF(C245="J7","备品配件",IF(C245="J8","专用工具",IF(C245="Z1","劳保物资",IF(C245="Z2","办公耗材",IF(C245="Z3","食品饮料",IF(C245="Z4","特殊物耗",IF(C245="Z5","通用物耗",IF(C245="Z6","通用工具",""))))))))))))))</f>
        <v>备品配件</v>
      </c>
      <c r="E245" s="93" t="s">
        <v>2377</v>
      </c>
      <c r="F245" s="15" t="s">
        <v>2378</v>
      </c>
      <c r="G245" s="93" t="s">
        <v>2380</v>
      </c>
      <c r="H245" s="15"/>
      <c r="I245" s="15" t="s">
        <v>2388</v>
      </c>
      <c r="J245" s="29" t="s">
        <v>1589</v>
      </c>
      <c r="K245" s="15">
        <v>5</v>
      </c>
      <c r="L245" s="110" t="s">
        <v>1941</v>
      </c>
      <c r="M245" s="32" t="str">
        <f t="shared" si="115"/>
        <v>常规</v>
      </c>
      <c r="N245" s="15"/>
      <c r="O245" s="137" t="s">
        <v>2273</v>
      </c>
      <c r="P245" s="15"/>
      <c r="Q245" s="93"/>
      <c r="R245" s="15"/>
      <c r="S245" s="154" t="s">
        <v>2423</v>
      </c>
      <c r="T245" s="15">
        <v>2</v>
      </c>
      <c r="U245" s="32" t="str">
        <f t="shared" si="116"/>
        <v>个</v>
      </c>
      <c r="V245" s="15"/>
      <c r="W245" s="15"/>
      <c r="X245" s="32">
        <f t="shared" si="117"/>
        <v>3</v>
      </c>
      <c r="Y245" s="32" t="str">
        <f t="shared" si="118"/>
        <v>个</v>
      </c>
      <c r="Z245" s="15"/>
      <c r="AA245" s="15"/>
      <c r="AB245" s="15"/>
    </row>
    <row r="246" spans="1:28" s="46" customFormat="1" ht="16.5" customHeight="1" x14ac:dyDescent="0.15">
      <c r="A246" s="34">
        <v>242</v>
      </c>
      <c r="B246" s="96" t="s">
        <v>2384</v>
      </c>
      <c r="C246" s="29" t="s">
        <v>135</v>
      </c>
      <c r="D246" s="32" t="str">
        <f>IF(C246="J1","常规化学品",IF(C246="J2","危险化学品",IF(C246="J3","标准物质",IF(C246="J4","玻璃仪器",IF(C246="J5","实验气体",IF(C246="J6","专用物耗",IF(C246="J7","备品配件",IF(C246="J8","专用工具",IF(C246="Z1","劳保物资",IF(C246="Z2","办公耗材",IF(C246="Z3","食品饮料",IF(C246="Z4","特殊物耗",IF(C246="Z5","通用物耗",IF(C246="Z6","通用工具",""))))))))))))))</f>
        <v>备品配件</v>
      </c>
      <c r="E246" s="93" t="s">
        <v>2385</v>
      </c>
      <c r="F246" s="15" t="s">
        <v>2386</v>
      </c>
      <c r="G246" s="93" t="s">
        <v>2380</v>
      </c>
      <c r="H246" s="15"/>
      <c r="I246" s="15" t="s">
        <v>2400</v>
      </c>
      <c r="J246" s="29" t="s">
        <v>1608</v>
      </c>
      <c r="K246" s="15">
        <v>2</v>
      </c>
      <c r="L246" s="110" t="s">
        <v>1941</v>
      </c>
      <c r="M246" s="32" t="str">
        <f>IF(D246="危险化学品","五双",IF(D246="标准物资","严控",IF(D246&lt;&gt;"","常规","")))</f>
        <v>常规</v>
      </c>
      <c r="N246" s="15"/>
      <c r="O246" s="137"/>
      <c r="P246" s="15"/>
      <c r="Q246" s="15"/>
      <c r="R246" s="15"/>
      <c r="S246" s="154" t="s">
        <v>2395</v>
      </c>
      <c r="T246" s="15">
        <v>2</v>
      </c>
      <c r="U246" s="32" t="str">
        <f>IF(L246="","",L246)</f>
        <v>个</v>
      </c>
      <c r="V246" s="15"/>
      <c r="W246" s="15"/>
      <c r="X246" s="32" t="str">
        <f>IF((K246-T246)&lt;=0,"",K246-T246)</f>
        <v/>
      </c>
      <c r="Y246" s="32" t="str">
        <f>IF(L246="","",L246)</f>
        <v>个</v>
      </c>
      <c r="Z246" s="15"/>
      <c r="AA246" s="15"/>
      <c r="AB246" s="15"/>
    </row>
    <row r="247" spans="1:28" s="46" customFormat="1" ht="19.899999999999999" customHeight="1" x14ac:dyDescent="0.15">
      <c r="A247" s="34">
        <v>243</v>
      </c>
      <c r="B247" s="96" t="s">
        <v>2389</v>
      </c>
      <c r="C247" s="29" t="s">
        <v>135</v>
      </c>
      <c r="D247" s="32" t="str">
        <f>IF(C247="J1","常规化学品",IF(C247="J2","危险化学品",IF(C247="J3","标准物质",IF(C247="J4","玻璃仪器",IF(C247="J5","实验气体",IF(C247="J6","专用物耗",IF(C247="J7","备品配件",IF(C247="J8","专用工具",IF(C247="Z1","劳保物资",IF(C247="Z2","办公耗材",IF(C247="Z3","食品饮料",IF(C247="Z4","特殊物耗",IF(C247="Z5","通用物耗",IF(C247="Z6","通用工具",""))))))))))))))</f>
        <v>备品配件</v>
      </c>
      <c r="E247" s="93" t="s">
        <v>2391</v>
      </c>
      <c r="F247" s="15" t="s">
        <v>2393</v>
      </c>
      <c r="G247" s="15"/>
      <c r="H247" s="15"/>
      <c r="I247" s="15" t="s">
        <v>2401</v>
      </c>
      <c r="J247" s="29" t="s">
        <v>1608</v>
      </c>
      <c r="K247" s="15">
        <v>1</v>
      </c>
      <c r="L247" s="110" t="s">
        <v>1941</v>
      </c>
      <c r="M247" s="32" t="str">
        <f t="shared" ref="M247" si="120">IF(D247="危险化学品","五双",IF(D247="标准物资","严控",IF(D247&lt;&gt;"","常规","")))</f>
        <v>常规</v>
      </c>
      <c r="N247" s="15"/>
      <c r="O247" s="137" t="s">
        <v>2268</v>
      </c>
      <c r="P247" s="15"/>
      <c r="Q247" s="15"/>
      <c r="R247" s="15"/>
      <c r="S247" s="15"/>
      <c r="T247" s="15"/>
      <c r="U247" s="32" t="str">
        <f t="shared" ref="U247:U248" si="121">IF(L247="","",L247)</f>
        <v>个</v>
      </c>
      <c r="V247" s="15"/>
      <c r="W247" s="15"/>
      <c r="X247" s="32">
        <f t="shared" ref="X247:X248" si="122">IF((K247-T247)&lt;=0,"",K247-T247)</f>
        <v>1</v>
      </c>
      <c r="Y247" s="32" t="str">
        <f t="shared" ref="Y247:Y248" si="123">IF(L247="","",L247)</f>
        <v>个</v>
      </c>
      <c r="Z247" s="15"/>
      <c r="AA247" s="15"/>
      <c r="AB247" s="15"/>
    </row>
    <row r="248" spans="1:28" s="46" customFormat="1" ht="19.899999999999999" customHeight="1" x14ac:dyDescent="0.15">
      <c r="A248" s="34">
        <v>244</v>
      </c>
      <c r="B248" s="96" t="s">
        <v>2390</v>
      </c>
      <c r="C248" s="29" t="s">
        <v>135</v>
      </c>
      <c r="D248" s="32" t="str">
        <f>IF(C248="J1","常规化学品",IF(C248="J2","危险化学品",IF(C248="J3","标准物质",IF(C248="J4","玻璃仪器",IF(C248="J5","实验气体",IF(C248="J6","专用物耗",IF(C248="J7","备品配件",IF(C248="J8","专用工具",IF(C248="Z1","劳保物资",IF(C248="Z2","办公耗材",IF(C248="Z3","食品饮料",IF(C248="Z4","特殊物耗",IF(C248="Z5","通用物耗",IF(C248="Z6","通用工具",""))))))))))))))</f>
        <v>备品配件</v>
      </c>
      <c r="E248" s="93" t="s">
        <v>2392</v>
      </c>
      <c r="F248" s="15" t="s">
        <v>2394</v>
      </c>
      <c r="G248" s="15"/>
      <c r="H248" s="15"/>
      <c r="I248" s="15" t="s">
        <v>2402</v>
      </c>
      <c r="J248" s="29" t="s">
        <v>1608</v>
      </c>
      <c r="K248" s="15">
        <v>1</v>
      </c>
      <c r="L248" s="110" t="s">
        <v>1941</v>
      </c>
      <c r="M248" s="32" t="str">
        <f>IF(D248="危险化学品","五双",IF(D248="标准物资","严控",IF(D248&lt;&gt;"","常规","")))</f>
        <v>常规</v>
      </c>
      <c r="N248" s="15"/>
      <c r="O248" s="137" t="s">
        <v>2268</v>
      </c>
      <c r="P248" s="15"/>
      <c r="Q248" s="15"/>
      <c r="R248" s="15"/>
      <c r="S248" s="15"/>
      <c r="T248" s="15"/>
      <c r="U248" s="32" t="str">
        <f t="shared" si="121"/>
        <v>个</v>
      </c>
      <c r="V248" s="15"/>
      <c r="W248" s="15"/>
      <c r="X248" s="32">
        <f t="shared" si="122"/>
        <v>1</v>
      </c>
      <c r="Y248" s="32" t="str">
        <f t="shared" si="123"/>
        <v>个</v>
      </c>
      <c r="Z248" s="15"/>
      <c r="AA248" s="15"/>
      <c r="AB248" s="15"/>
    </row>
    <row r="249" spans="1:28" s="175" customFormat="1" ht="19.899999999999999" customHeight="1" x14ac:dyDescent="0.15">
      <c r="A249" s="163">
        <v>245</v>
      </c>
      <c r="B249" s="230" t="s">
        <v>2403</v>
      </c>
      <c r="C249" s="165" t="s">
        <v>135</v>
      </c>
      <c r="D249" s="166" t="str">
        <f>IF(C249="J1","常规化学品",IF(C249="J2","危险化学品",IF(C249="J3","标准物质",IF(C249="J4","玻璃仪器",IF(C249="J5","实验气体",IF(C249="J6","专用物耗",IF(C249="J7","备品配件",IF(C249="J8","专用工具",IF(C249="Z1","劳保物资",IF(C249="Z2","办公耗材",IF(C249="Z3","食品饮料",IF(C249="Z4","特殊物耗",IF(C249="Z5","通用物耗",IF(C249="Z6","通用工具",""))))))))))))))</f>
        <v>备品配件</v>
      </c>
      <c r="E249" s="200" t="s">
        <v>2404</v>
      </c>
      <c r="F249" s="167" t="s">
        <v>3045</v>
      </c>
      <c r="G249" s="167"/>
      <c r="H249" s="167"/>
      <c r="I249" s="167" t="s">
        <v>2405</v>
      </c>
      <c r="J249" s="165" t="s">
        <v>1608</v>
      </c>
      <c r="K249" s="167">
        <v>1</v>
      </c>
      <c r="L249" s="245" t="s">
        <v>1941</v>
      </c>
      <c r="M249" s="166" t="str">
        <f>IF(D249="危险化学品","五双",IF(D249="标准物资","严控",IF(D249&lt;&gt;"","常规","")))</f>
        <v>常规</v>
      </c>
      <c r="N249" s="167"/>
      <c r="O249" s="169" t="s">
        <v>3050</v>
      </c>
      <c r="P249" s="167"/>
      <c r="Q249" s="167"/>
      <c r="R249" s="167"/>
      <c r="S249" s="167" t="s">
        <v>3082</v>
      </c>
      <c r="T249" s="167">
        <v>1</v>
      </c>
      <c r="U249" s="166" t="str">
        <f t="shared" ref="U249" si="124">IF(L249="","",L249)</f>
        <v>个</v>
      </c>
      <c r="V249" s="167"/>
      <c r="W249" s="167"/>
      <c r="X249" s="166" t="str">
        <f t="shared" ref="X249" si="125">IF((K249-T249)&lt;=0,"",K249-T249)</f>
        <v/>
      </c>
      <c r="Y249" s="166" t="str">
        <f t="shared" ref="Y249" si="126">IF(L249="","",L249)</f>
        <v>个</v>
      </c>
      <c r="Z249" s="167"/>
      <c r="AA249" s="167"/>
      <c r="AB249" s="167"/>
    </row>
    <row r="250" spans="1:28" s="175" customFormat="1" ht="19.899999999999999" customHeight="1" x14ac:dyDescent="0.15">
      <c r="A250" s="163">
        <v>246</v>
      </c>
      <c r="B250" s="230" t="s">
        <v>2406</v>
      </c>
      <c r="C250" s="165" t="s">
        <v>135</v>
      </c>
      <c r="D250" s="166" t="str">
        <f>IF(C250="J1","常规化学品",IF(C250="J2","危险化学品",IF(C250="J3","标准物质",IF(C250="J4","玻璃仪器",IF(C250="J5","实验气体",IF(C250="J6","专用物耗",IF(C250="J7","备品配件",IF(C250="J8","专用工具",IF(C250="Z1","劳保物资",IF(C250="Z2","办公耗材",IF(C250="Z3","食品饮料",IF(C250="Z4","特殊物耗",IF(C250="Z5","通用物耗",IF(C250="Z6","通用工具",""))))))))))))))</f>
        <v>备品配件</v>
      </c>
      <c r="E250" s="200" t="s">
        <v>2363</v>
      </c>
      <c r="F250" s="167" t="s">
        <v>2407</v>
      </c>
      <c r="G250" s="167"/>
      <c r="H250" s="167"/>
      <c r="I250" s="167" t="s">
        <v>2408</v>
      </c>
      <c r="J250" s="165" t="s">
        <v>1608</v>
      </c>
      <c r="K250" s="167">
        <v>1</v>
      </c>
      <c r="L250" s="245" t="s">
        <v>1942</v>
      </c>
      <c r="M250" s="166" t="str">
        <f>IF(D250="危险化学品","五双",IF(D250="标准物资","严控",IF(D250&lt;&gt;"","常规","")))</f>
        <v>常规</v>
      </c>
      <c r="N250" s="167"/>
      <c r="O250" s="169" t="s">
        <v>3046</v>
      </c>
      <c r="P250" s="167"/>
      <c r="Q250" s="167"/>
      <c r="R250" s="167"/>
      <c r="S250" s="167" t="s">
        <v>3033</v>
      </c>
      <c r="T250" s="167">
        <v>1</v>
      </c>
      <c r="U250" s="166" t="str">
        <f t="shared" ref="U250" si="127">IF(L250="","",L250)</f>
        <v>套</v>
      </c>
      <c r="V250" s="167"/>
      <c r="W250" s="167"/>
      <c r="X250" s="166" t="str">
        <f t="shared" ref="X250" si="128">IF((K250-T250)&lt;=0,"",K250-T250)</f>
        <v/>
      </c>
      <c r="Y250" s="166" t="str">
        <f t="shared" ref="Y250" si="129">IF(L250="","",L250)</f>
        <v>套</v>
      </c>
      <c r="Z250" s="167"/>
      <c r="AA250" s="167"/>
      <c r="AB250" s="167"/>
    </row>
    <row r="251" spans="1:28" s="175" customFormat="1" ht="19.899999999999999" customHeight="1" x14ac:dyDescent="0.15">
      <c r="A251" s="163">
        <v>247</v>
      </c>
      <c r="B251" s="230" t="s">
        <v>2376</v>
      </c>
      <c r="C251" s="165" t="s">
        <v>135</v>
      </c>
      <c r="D251" s="166" t="str">
        <f t="shared" ref="D251" si="130">IF(C251="J1","常规化学品",IF(C251="J2","危险化学品",IF(C251="J3","标准物质",IF(C251="J4","玻璃仪器",IF(C251="J5","实验气体",IF(C251="J6","专用物耗",IF(C251="J7","备品配件",IF(C251="J8","专用工具",IF(C251="Z1","劳保物资",IF(C251="Z2","办公耗材",IF(C251="Z3","食品饮料",IF(C251="Z4","特殊物耗",IF(C251="Z5","通用物耗",IF(C251="Z6","通用工具",""))))))))))))))</f>
        <v>备品配件</v>
      </c>
      <c r="F251" s="167" t="s">
        <v>2381</v>
      </c>
      <c r="G251" s="200" t="s">
        <v>2382</v>
      </c>
      <c r="H251" s="167"/>
      <c r="I251" s="167" t="s">
        <v>2410</v>
      </c>
      <c r="J251" s="165" t="s">
        <v>1619</v>
      </c>
      <c r="K251" s="167">
        <v>1</v>
      </c>
      <c r="L251" s="165" t="s">
        <v>134</v>
      </c>
      <c r="M251" s="166" t="str">
        <f t="shared" si="115"/>
        <v>常规</v>
      </c>
      <c r="N251" s="167"/>
      <c r="O251" s="169" t="s">
        <v>2273</v>
      </c>
      <c r="P251" s="167"/>
      <c r="Q251" s="200"/>
      <c r="R251" s="167"/>
      <c r="S251" s="167" t="s">
        <v>2498</v>
      </c>
      <c r="T251" s="167">
        <v>1</v>
      </c>
      <c r="U251" s="166" t="str">
        <f t="shared" si="116"/>
        <v>个</v>
      </c>
      <c r="V251" s="167"/>
      <c r="W251" s="167"/>
      <c r="X251" s="166"/>
      <c r="Y251" s="166" t="str">
        <f t="shared" si="118"/>
        <v>个</v>
      </c>
      <c r="Z251" s="167"/>
      <c r="AA251" s="167"/>
      <c r="AB251" s="167"/>
    </row>
    <row r="252" spans="1:28" s="160" customFormat="1" ht="19.899999999999999" customHeight="1" x14ac:dyDescent="0.15">
      <c r="A252" s="34">
        <v>249</v>
      </c>
      <c r="B252" s="14" t="s">
        <v>2424</v>
      </c>
      <c r="C252" s="29" t="s">
        <v>135</v>
      </c>
      <c r="D252" s="159" t="s">
        <v>2425</v>
      </c>
      <c r="E252" s="93" t="s">
        <v>2426</v>
      </c>
      <c r="F252" s="15" t="s">
        <v>2427</v>
      </c>
      <c r="G252" s="15"/>
      <c r="H252" s="15"/>
      <c r="I252" s="15" t="s">
        <v>2428</v>
      </c>
      <c r="J252" s="29" t="s">
        <v>1589</v>
      </c>
      <c r="K252" s="15">
        <v>1</v>
      </c>
      <c r="L252" s="29" t="s">
        <v>1933</v>
      </c>
      <c r="M252" s="32" t="str">
        <f t="shared" ref="M252:M266" si="131">IF(D252="危险化学品","五双",IF(D252="标准物资","严控",IF(D252&lt;&gt;"","常规","")))</f>
        <v>常规</v>
      </c>
      <c r="N252" s="15"/>
      <c r="O252" s="137" t="s">
        <v>2429</v>
      </c>
      <c r="P252" s="15"/>
      <c r="Q252" s="142" t="s">
        <v>2465</v>
      </c>
      <c r="R252" s="15"/>
      <c r="S252" s="15"/>
      <c r="T252" s="15"/>
      <c r="U252" s="32" t="str">
        <f t="shared" ref="U252:U266" si="132">IF(L252="","",L252)</f>
        <v>套</v>
      </c>
      <c r="V252" s="15"/>
      <c r="W252" s="35"/>
      <c r="X252" s="32">
        <f t="shared" ref="X252:X266" si="133">IF((K252-T252)&lt;=0,"",K252-T252)</f>
        <v>1</v>
      </c>
      <c r="Y252" s="32" t="str">
        <f t="shared" ref="Y252:Y266" si="134">IF(L252="","",L252)</f>
        <v>套</v>
      </c>
      <c r="Z252" s="15"/>
      <c r="AA252" s="15"/>
      <c r="AB252" s="35"/>
    </row>
    <row r="253" spans="1:28" s="160" customFormat="1" ht="19.899999999999999" customHeight="1" x14ac:dyDescent="0.15">
      <c r="A253" s="34">
        <v>250</v>
      </c>
      <c r="B253" s="95" t="s">
        <v>2430</v>
      </c>
      <c r="C253" s="29" t="s">
        <v>135</v>
      </c>
      <c r="D253" s="159" t="s">
        <v>2425</v>
      </c>
      <c r="E253" s="93" t="s">
        <v>2426</v>
      </c>
      <c r="F253" s="15" t="s">
        <v>2427</v>
      </c>
      <c r="G253" s="15"/>
      <c r="H253" s="15"/>
      <c r="I253" s="15" t="s">
        <v>2431</v>
      </c>
      <c r="J253" s="29" t="s">
        <v>1589</v>
      </c>
      <c r="K253" s="15">
        <v>1</v>
      </c>
      <c r="L253" s="29" t="s">
        <v>134</v>
      </c>
      <c r="M253" s="32" t="str">
        <f t="shared" si="131"/>
        <v>常规</v>
      </c>
      <c r="N253" s="15"/>
      <c r="O253" s="137" t="s">
        <v>2432</v>
      </c>
      <c r="P253" s="15"/>
      <c r="Q253" s="142" t="s">
        <v>2465</v>
      </c>
      <c r="R253" s="15"/>
      <c r="S253" s="15"/>
      <c r="T253" s="15"/>
      <c r="U253" s="32" t="str">
        <f t="shared" si="132"/>
        <v>个</v>
      </c>
      <c r="V253" s="15"/>
      <c r="W253" s="35"/>
      <c r="X253" s="32">
        <f t="shared" si="133"/>
        <v>1</v>
      </c>
      <c r="Y253" s="32" t="str">
        <f t="shared" si="134"/>
        <v>个</v>
      </c>
      <c r="Z253" s="15"/>
      <c r="AA253" s="15"/>
      <c r="AB253" s="35"/>
    </row>
    <row r="254" spans="1:28" s="160" customFormat="1" ht="19.899999999999999" customHeight="1" x14ac:dyDescent="0.15">
      <c r="A254" s="34">
        <v>251</v>
      </c>
      <c r="B254" s="95" t="s">
        <v>2433</v>
      </c>
      <c r="C254" s="29" t="s">
        <v>135</v>
      </c>
      <c r="D254" s="159" t="s">
        <v>2425</v>
      </c>
      <c r="E254" s="93" t="s">
        <v>2426</v>
      </c>
      <c r="F254" s="15" t="s">
        <v>2427</v>
      </c>
      <c r="G254" s="15"/>
      <c r="H254" s="15"/>
      <c r="I254" s="15" t="s">
        <v>2434</v>
      </c>
      <c r="J254" s="29" t="s">
        <v>1589</v>
      </c>
      <c r="K254" s="15">
        <v>2</v>
      </c>
      <c r="L254" s="29" t="s">
        <v>134</v>
      </c>
      <c r="M254" s="32" t="str">
        <f t="shared" si="131"/>
        <v>常规</v>
      </c>
      <c r="N254" s="15"/>
      <c r="O254" s="137" t="s">
        <v>2432</v>
      </c>
      <c r="P254" s="15"/>
      <c r="Q254" s="142" t="s">
        <v>2465</v>
      </c>
      <c r="R254" s="15"/>
      <c r="S254" s="15"/>
      <c r="T254" s="15"/>
      <c r="U254" s="32" t="str">
        <f t="shared" si="132"/>
        <v>个</v>
      </c>
      <c r="V254" s="15"/>
      <c r="W254" s="35"/>
      <c r="X254" s="32">
        <f t="shared" si="133"/>
        <v>2</v>
      </c>
      <c r="Y254" s="32" t="str">
        <f t="shared" si="134"/>
        <v>个</v>
      </c>
      <c r="Z254" s="15"/>
      <c r="AA254" s="15"/>
      <c r="AB254" s="35"/>
    </row>
    <row r="255" spans="1:28" s="160" customFormat="1" ht="19.899999999999999" customHeight="1" x14ac:dyDescent="0.15">
      <c r="A255" s="34">
        <v>252</v>
      </c>
      <c r="B255" s="95" t="s">
        <v>2435</v>
      </c>
      <c r="C255" s="29" t="s">
        <v>135</v>
      </c>
      <c r="D255" s="159" t="s">
        <v>2425</v>
      </c>
      <c r="E255" s="93" t="s">
        <v>2426</v>
      </c>
      <c r="F255" s="15" t="s">
        <v>2427</v>
      </c>
      <c r="G255" s="15"/>
      <c r="H255" s="15"/>
      <c r="I255" s="15" t="s">
        <v>2436</v>
      </c>
      <c r="J255" s="29" t="s">
        <v>1589</v>
      </c>
      <c r="K255" s="15">
        <v>1</v>
      </c>
      <c r="L255" s="29" t="s">
        <v>2437</v>
      </c>
      <c r="M255" s="32" t="str">
        <f t="shared" si="131"/>
        <v>常规</v>
      </c>
      <c r="N255" s="15"/>
      <c r="O255" s="137" t="s">
        <v>2432</v>
      </c>
      <c r="P255" s="15"/>
      <c r="Q255" s="142" t="s">
        <v>2465</v>
      </c>
      <c r="R255" s="15"/>
      <c r="S255" s="15"/>
      <c r="T255" s="15"/>
      <c r="U255" s="32" t="str">
        <f t="shared" si="132"/>
        <v>台</v>
      </c>
      <c r="V255" s="15"/>
      <c r="W255" s="35"/>
      <c r="X255" s="32">
        <f t="shared" si="133"/>
        <v>1</v>
      </c>
      <c r="Y255" s="32" t="str">
        <f t="shared" si="134"/>
        <v>台</v>
      </c>
      <c r="Z255" s="15"/>
      <c r="AA255" s="15"/>
      <c r="AB255" s="35"/>
    </row>
    <row r="256" spans="1:28" s="160" customFormat="1" ht="19.899999999999999" customHeight="1" x14ac:dyDescent="0.15">
      <c r="A256" s="34">
        <v>253</v>
      </c>
      <c r="B256" s="95" t="s">
        <v>2438</v>
      </c>
      <c r="C256" s="29" t="s">
        <v>135</v>
      </c>
      <c r="D256" s="159" t="s">
        <v>2425</v>
      </c>
      <c r="E256" s="93" t="s">
        <v>2426</v>
      </c>
      <c r="F256" s="15" t="s">
        <v>2427</v>
      </c>
      <c r="G256" s="15" t="s">
        <v>2439</v>
      </c>
      <c r="H256" s="15"/>
      <c r="I256" s="15" t="s">
        <v>2440</v>
      </c>
      <c r="J256" s="29" t="s">
        <v>1589</v>
      </c>
      <c r="K256" s="15">
        <v>1</v>
      </c>
      <c r="L256" s="29" t="s">
        <v>134</v>
      </c>
      <c r="M256" s="32" t="str">
        <f t="shared" si="131"/>
        <v>常规</v>
      </c>
      <c r="N256" s="15"/>
      <c r="O256" s="137" t="s">
        <v>2432</v>
      </c>
      <c r="P256" s="15"/>
      <c r="Q256" s="142" t="s">
        <v>2465</v>
      </c>
      <c r="R256" s="15"/>
      <c r="S256" s="15"/>
      <c r="T256" s="15"/>
      <c r="U256" s="32" t="str">
        <f t="shared" si="132"/>
        <v>个</v>
      </c>
      <c r="V256" s="15"/>
      <c r="W256" s="35"/>
      <c r="X256" s="32">
        <f t="shared" si="133"/>
        <v>1</v>
      </c>
      <c r="Y256" s="32" t="str">
        <f t="shared" si="134"/>
        <v>个</v>
      </c>
      <c r="Z256" s="15"/>
      <c r="AA256" s="15"/>
      <c r="AB256" s="35"/>
    </row>
    <row r="257" spans="1:28" s="160" customFormat="1" ht="19.899999999999999" customHeight="1" x14ac:dyDescent="0.15">
      <c r="A257" s="34">
        <v>254</v>
      </c>
      <c r="B257" s="14" t="s">
        <v>2441</v>
      </c>
      <c r="C257" s="29" t="s">
        <v>135</v>
      </c>
      <c r="D257" s="159" t="s">
        <v>2425</v>
      </c>
      <c r="E257" s="93" t="s">
        <v>2426</v>
      </c>
      <c r="F257" s="15" t="s">
        <v>2427</v>
      </c>
      <c r="G257" s="15" t="s">
        <v>2442</v>
      </c>
      <c r="H257" s="15"/>
      <c r="I257" s="15" t="s">
        <v>2443</v>
      </c>
      <c r="J257" s="29" t="s">
        <v>1589</v>
      </c>
      <c r="K257" s="15">
        <v>1</v>
      </c>
      <c r="L257" s="29" t="s">
        <v>134</v>
      </c>
      <c r="M257" s="32" t="str">
        <f t="shared" si="131"/>
        <v>常规</v>
      </c>
      <c r="N257" s="15"/>
      <c r="O257" s="137" t="s">
        <v>2432</v>
      </c>
      <c r="P257" s="15"/>
      <c r="Q257" s="142" t="s">
        <v>2465</v>
      </c>
      <c r="R257" s="15"/>
      <c r="S257" s="15"/>
      <c r="T257" s="15"/>
      <c r="U257" s="32" t="str">
        <f t="shared" si="132"/>
        <v>个</v>
      </c>
      <c r="V257" s="15"/>
      <c r="W257" s="35"/>
      <c r="X257" s="32">
        <f t="shared" si="133"/>
        <v>1</v>
      </c>
      <c r="Y257" s="32" t="str">
        <f t="shared" si="134"/>
        <v>个</v>
      </c>
      <c r="Z257" s="15"/>
      <c r="AA257" s="15"/>
      <c r="AB257" s="35"/>
    </row>
    <row r="258" spans="1:28" s="160" customFormat="1" ht="19.899999999999999" customHeight="1" x14ac:dyDescent="0.15">
      <c r="A258" s="34">
        <v>255</v>
      </c>
      <c r="B258" s="14" t="s">
        <v>2444</v>
      </c>
      <c r="C258" s="29" t="s">
        <v>135</v>
      </c>
      <c r="D258" s="159" t="s">
        <v>2425</v>
      </c>
      <c r="E258" s="93" t="s">
        <v>2426</v>
      </c>
      <c r="F258" s="15" t="s">
        <v>2427</v>
      </c>
      <c r="G258" s="15"/>
      <c r="H258" s="15"/>
      <c r="I258" s="15" t="s">
        <v>2445</v>
      </c>
      <c r="J258" s="29" t="s">
        <v>1589</v>
      </c>
      <c r="K258" s="15">
        <v>1</v>
      </c>
      <c r="L258" s="29" t="s">
        <v>2098</v>
      </c>
      <c r="M258" s="32" t="str">
        <f t="shared" si="131"/>
        <v>常规</v>
      </c>
      <c r="N258" s="15"/>
      <c r="O258" s="137" t="s">
        <v>2432</v>
      </c>
      <c r="P258" s="15"/>
      <c r="Q258" s="142" t="s">
        <v>2465</v>
      </c>
      <c r="R258" s="15"/>
      <c r="S258" s="15"/>
      <c r="T258" s="15"/>
      <c r="U258" s="32" t="str">
        <f t="shared" si="132"/>
        <v>盒</v>
      </c>
      <c r="V258" s="15"/>
      <c r="W258" s="35"/>
      <c r="X258" s="32">
        <f t="shared" si="133"/>
        <v>1</v>
      </c>
      <c r="Y258" s="32" t="str">
        <f t="shared" si="134"/>
        <v>盒</v>
      </c>
      <c r="Z258" s="15"/>
      <c r="AA258" s="15"/>
      <c r="AB258" s="35"/>
    </row>
    <row r="259" spans="1:28" s="160" customFormat="1" ht="19.899999999999999" customHeight="1" x14ac:dyDescent="0.15">
      <c r="A259" s="34">
        <v>256</v>
      </c>
      <c r="B259" s="14" t="s">
        <v>2446</v>
      </c>
      <c r="C259" s="29" t="s">
        <v>135</v>
      </c>
      <c r="D259" s="159" t="s">
        <v>2425</v>
      </c>
      <c r="E259" s="93" t="s">
        <v>2426</v>
      </c>
      <c r="F259" s="15" t="s">
        <v>2427</v>
      </c>
      <c r="G259" s="15"/>
      <c r="H259" s="15"/>
      <c r="I259" s="15" t="s">
        <v>2447</v>
      </c>
      <c r="J259" s="29" t="s">
        <v>1589</v>
      </c>
      <c r="K259" s="15">
        <v>1</v>
      </c>
      <c r="L259" s="29" t="s">
        <v>1591</v>
      </c>
      <c r="M259" s="32" t="str">
        <f t="shared" si="131"/>
        <v>常规</v>
      </c>
      <c r="N259" s="15"/>
      <c r="O259" s="137" t="s">
        <v>2432</v>
      </c>
      <c r="P259" s="15"/>
      <c r="Q259" s="142" t="s">
        <v>2465</v>
      </c>
      <c r="R259" s="15"/>
      <c r="S259" s="15"/>
      <c r="T259" s="15"/>
      <c r="U259" s="32" t="str">
        <f t="shared" si="132"/>
        <v>只</v>
      </c>
      <c r="V259" s="15"/>
      <c r="W259" s="35"/>
      <c r="X259" s="32">
        <f t="shared" si="133"/>
        <v>1</v>
      </c>
      <c r="Y259" s="32" t="str">
        <f t="shared" si="134"/>
        <v>只</v>
      </c>
      <c r="Z259" s="15"/>
      <c r="AA259" s="15"/>
      <c r="AB259" s="35"/>
    </row>
    <row r="260" spans="1:28" s="160" customFormat="1" ht="19.899999999999999" customHeight="1" x14ac:dyDescent="0.15">
      <c r="A260" s="34">
        <v>257</v>
      </c>
      <c r="B260" s="14" t="s">
        <v>2448</v>
      </c>
      <c r="C260" s="29" t="s">
        <v>135</v>
      </c>
      <c r="D260" s="159" t="s">
        <v>2425</v>
      </c>
      <c r="E260" s="93" t="s">
        <v>2426</v>
      </c>
      <c r="F260" s="15" t="s">
        <v>2427</v>
      </c>
      <c r="G260" s="15"/>
      <c r="H260" s="15"/>
      <c r="I260" s="15" t="s">
        <v>2449</v>
      </c>
      <c r="J260" s="29" t="s">
        <v>1589</v>
      </c>
      <c r="K260" s="15">
        <v>1</v>
      </c>
      <c r="L260" s="29" t="s">
        <v>134</v>
      </c>
      <c r="M260" s="32" t="str">
        <f t="shared" si="131"/>
        <v>常规</v>
      </c>
      <c r="N260" s="15"/>
      <c r="O260" s="137" t="s">
        <v>2432</v>
      </c>
      <c r="P260" s="15"/>
      <c r="Q260" s="142" t="s">
        <v>2465</v>
      </c>
      <c r="R260" s="15"/>
      <c r="S260" s="15"/>
      <c r="T260" s="15"/>
      <c r="U260" s="32" t="str">
        <f t="shared" si="132"/>
        <v>个</v>
      </c>
      <c r="V260" s="15"/>
      <c r="W260" s="35"/>
      <c r="X260" s="32">
        <f t="shared" si="133"/>
        <v>1</v>
      </c>
      <c r="Y260" s="32" t="str">
        <f t="shared" si="134"/>
        <v>个</v>
      </c>
      <c r="Z260" s="15"/>
      <c r="AA260" s="15"/>
      <c r="AB260" s="35"/>
    </row>
    <row r="261" spans="1:28" s="160" customFormat="1" ht="19.899999999999999" customHeight="1" x14ac:dyDescent="0.15">
      <c r="A261" s="34">
        <v>258</v>
      </c>
      <c r="B261" s="95" t="s">
        <v>2450</v>
      </c>
      <c r="C261" s="29" t="s">
        <v>135</v>
      </c>
      <c r="D261" s="159" t="s">
        <v>2425</v>
      </c>
      <c r="E261" s="93" t="s">
        <v>2426</v>
      </c>
      <c r="F261" s="15" t="s">
        <v>2427</v>
      </c>
      <c r="G261" s="15" t="s">
        <v>2451</v>
      </c>
      <c r="H261" s="15"/>
      <c r="I261" s="15" t="s">
        <v>2452</v>
      </c>
      <c r="J261" s="29" t="s">
        <v>1589</v>
      </c>
      <c r="K261" s="15">
        <v>1</v>
      </c>
      <c r="L261" s="29" t="s">
        <v>2098</v>
      </c>
      <c r="M261" s="32" t="str">
        <f t="shared" si="131"/>
        <v>常规</v>
      </c>
      <c r="N261" s="15"/>
      <c r="O261" s="137" t="s">
        <v>2432</v>
      </c>
      <c r="P261" s="15"/>
      <c r="Q261" s="142" t="s">
        <v>2465</v>
      </c>
      <c r="R261" s="15"/>
      <c r="S261" s="15"/>
      <c r="T261" s="15"/>
      <c r="U261" s="32" t="str">
        <f t="shared" si="132"/>
        <v>盒</v>
      </c>
      <c r="V261" s="15"/>
      <c r="W261" s="35"/>
      <c r="X261" s="32">
        <f t="shared" si="133"/>
        <v>1</v>
      </c>
      <c r="Y261" s="32" t="str">
        <f t="shared" si="134"/>
        <v>盒</v>
      </c>
      <c r="Z261" s="15"/>
      <c r="AA261" s="15"/>
      <c r="AB261" s="35"/>
    </row>
    <row r="262" spans="1:28" s="160" customFormat="1" ht="19.899999999999999" customHeight="1" x14ac:dyDescent="0.15">
      <c r="A262" s="34">
        <v>259</v>
      </c>
      <c r="B262" s="95" t="s">
        <v>2453</v>
      </c>
      <c r="C262" s="29" t="s">
        <v>135</v>
      </c>
      <c r="D262" s="159" t="s">
        <v>2425</v>
      </c>
      <c r="E262" s="93" t="s">
        <v>2426</v>
      </c>
      <c r="F262" s="15" t="s">
        <v>2427</v>
      </c>
      <c r="G262" s="15"/>
      <c r="H262" s="15"/>
      <c r="I262" s="15" t="s">
        <v>2454</v>
      </c>
      <c r="J262" s="29" t="s">
        <v>1589</v>
      </c>
      <c r="K262" s="15">
        <v>1</v>
      </c>
      <c r="L262" s="29" t="s">
        <v>134</v>
      </c>
      <c r="M262" s="32" t="str">
        <f t="shared" si="131"/>
        <v>常规</v>
      </c>
      <c r="N262" s="15"/>
      <c r="O262" s="137" t="s">
        <v>2432</v>
      </c>
      <c r="P262" s="15"/>
      <c r="Q262" s="142" t="s">
        <v>2465</v>
      </c>
      <c r="R262" s="15"/>
      <c r="S262" s="15"/>
      <c r="T262" s="15"/>
      <c r="U262" s="32" t="str">
        <f t="shared" si="132"/>
        <v>个</v>
      </c>
      <c r="V262" s="15"/>
      <c r="W262" s="35"/>
      <c r="X262" s="32">
        <f t="shared" si="133"/>
        <v>1</v>
      </c>
      <c r="Y262" s="32" t="str">
        <f t="shared" si="134"/>
        <v>个</v>
      </c>
      <c r="Z262" s="15"/>
      <c r="AA262" s="15"/>
      <c r="AB262" s="35"/>
    </row>
    <row r="263" spans="1:28" s="160" customFormat="1" ht="19.899999999999999" customHeight="1" x14ac:dyDescent="0.15">
      <c r="A263" s="34">
        <v>260</v>
      </c>
      <c r="B263" s="95" t="s">
        <v>2455</v>
      </c>
      <c r="C263" s="29" t="s">
        <v>135</v>
      </c>
      <c r="D263" s="159" t="s">
        <v>2425</v>
      </c>
      <c r="E263" s="93" t="s">
        <v>2456</v>
      </c>
      <c r="F263" s="15" t="s">
        <v>2457</v>
      </c>
      <c r="G263" s="15"/>
      <c r="H263" s="15"/>
      <c r="I263" s="15" t="s">
        <v>2458</v>
      </c>
      <c r="J263" s="29" t="s">
        <v>1589</v>
      </c>
      <c r="K263" s="15">
        <v>1</v>
      </c>
      <c r="L263" s="29" t="s">
        <v>1933</v>
      </c>
      <c r="M263" s="32" t="str">
        <f t="shared" si="131"/>
        <v>常规</v>
      </c>
      <c r="N263" s="15"/>
      <c r="O263" s="137" t="s">
        <v>2432</v>
      </c>
      <c r="P263" s="15"/>
      <c r="Q263" s="142" t="s">
        <v>2465</v>
      </c>
      <c r="R263" s="15"/>
      <c r="S263" s="15"/>
      <c r="T263" s="15"/>
      <c r="U263" s="32" t="str">
        <f t="shared" si="132"/>
        <v>套</v>
      </c>
      <c r="V263" s="15"/>
      <c r="W263" s="35"/>
      <c r="X263" s="32">
        <f t="shared" si="133"/>
        <v>1</v>
      </c>
      <c r="Y263" s="32" t="str">
        <f t="shared" si="134"/>
        <v>套</v>
      </c>
      <c r="Z263" s="15"/>
      <c r="AA263" s="15"/>
      <c r="AB263" s="35"/>
    </row>
    <row r="264" spans="1:28" s="160" customFormat="1" ht="19.899999999999999" customHeight="1" x14ac:dyDescent="0.15">
      <c r="A264" s="34">
        <v>261</v>
      </c>
      <c r="B264" s="95" t="s">
        <v>2459</v>
      </c>
      <c r="C264" s="29" t="s">
        <v>135</v>
      </c>
      <c r="D264" s="159" t="s">
        <v>2425</v>
      </c>
      <c r="E264" s="93" t="s">
        <v>2456</v>
      </c>
      <c r="F264" s="15" t="s">
        <v>2457</v>
      </c>
      <c r="G264" s="15"/>
      <c r="H264" s="15"/>
      <c r="I264" s="15" t="s">
        <v>2460</v>
      </c>
      <c r="J264" s="29" t="s">
        <v>1589</v>
      </c>
      <c r="K264" s="15">
        <v>1</v>
      </c>
      <c r="L264" s="29" t="s">
        <v>134</v>
      </c>
      <c r="M264" s="32" t="str">
        <f t="shared" si="131"/>
        <v>常规</v>
      </c>
      <c r="N264" s="15"/>
      <c r="O264" s="137" t="s">
        <v>2432</v>
      </c>
      <c r="P264" s="15"/>
      <c r="Q264" s="142" t="s">
        <v>2465</v>
      </c>
      <c r="R264" s="15"/>
      <c r="S264" s="15"/>
      <c r="T264" s="15"/>
      <c r="U264" s="32" t="str">
        <f t="shared" si="132"/>
        <v>个</v>
      </c>
      <c r="V264" s="15"/>
      <c r="W264" s="35"/>
      <c r="X264" s="32">
        <f t="shared" si="133"/>
        <v>1</v>
      </c>
      <c r="Y264" s="32" t="str">
        <f t="shared" si="134"/>
        <v>个</v>
      </c>
      <c r="Z264" s="15"/>
      <c r="AA264" s="15"/>
      <c r="AB264" s="35"/>
    </row>
    <row r="265" spans="1:28" s="160" customFormat="1" ht="19.899999999999999" customHeight="1" x14ac:dyDescent="0.15">
      <c r="A265" s="34">
        <v>262</v>
      </c>
      <c r="B265" s="95" t="s">
        <v>2461</v>
      </c>
      <c r="C265" s="29" t="s">
        <v>135</v>
      </c>
      <c r="D265" s="159" t="s">
        <v>2425</v>
      </c>
      <c r="E265" s="93" t="s">
        <v>2456</v>
      </c>
      <c r="F265" s="15" t="s">
        <v>2457</v>
      </c>
      <c r="G265" s="15"/>
      <c r="H265" s="15"/>
      <c r="I265" s="15" t="s">
        <v>2462</v>
      </c>
      <c r="J265" s="29" t="s">
        <v>1589</v>
      </c>
      <c r="K265" s="15">
        <v>1</v>
      </c>
      <c r="L265" s="29" t="s">
        <v>134</v>
      </c>
      <c r="M265" s="32" t="str">
        <f t="shared" si="131"/>
        <v>常规</v>
      </c>
      <c r="N265" s="15"/>
      <c r="O265" s="137" t="s">
        <v>2432</v>
      </c>
      <c r="P265" s="15"/>
      <c r="Q265" s="142" t="s">
        <v>2465</v>
      </c>
      <c r="R265" s="15"/>
      <c r="S265" s="15"/>
      <c r="T265" s="15"/>
      <c r="U265" s="32" t="str">
        <f t="shared" si="132"/>
        <v>个</v>
      </c>
      <c r="V265" s="15"/>
      <c r="W265" s="35"/>
      <c r="X265" s="32">
        <f t="shared" si="133"/>
        <v>1</v>
      </c>
      <c r="Y265" s="32" t="str">
        <f t="shared" si="134"/>
        <v>个</v>
      </c>
      <c r="Z265" s="15"/>
      <c r="AA265" s="15"/>
      <c r="AB265" s="35"/>
    </row>
    <row r="266" spans="1:28" s="160" customFormat="1" ht="19.899999999999999" customHeight="1" x14ac:dyDescent="0.15">
      <c r="A266" s="34">
        <v>263</v>
      </c>
      <c r="B266" s="95" t="s">
        <v>2463</v>
      </c>
      <c r="C266" s="29" t="s">
        <v>135</v>
      </c>
      <c r="D266" s="159" t="s">
        <v>2425</v>
      </c>
      <c r="E266" s="93" t="s">
        <v>2456</v>
      </c>
      <c r="F266" s="15" t="s">
        <v>2457</v>
      </c>
      <c r="G266" s="15"/>
      <c r="H266" s="15"/>
      <c r="I266" s="15" t="s">
        <v>2464</v>
      </c>
      <c r="J266" s="29" t="s">
        <v>1589</v>
      </c>
      <c r="K266" s="15">
        <v>5</v>
      </c>
      <c r="L266" s="29" t="s">
        <v>134</v>
      </c>
      <c r="M266" s="32" t="str">
        <f t="shared" si="131"/>
        <v>常规</v>
      </c>
      <c r="N266" s="15"/>
      <c r="O266" s="137" t="s">
        <v>2432</v>
      </c>
      <c r="P266" s="15"/>
      <c r="Q266" s="142" t="s">
        <v>2465</v>
      </c>
      <c r="R266" s="15"/>
      <c r="S266" s="15"/>
      <c r="T266" s="15"/>
      <c r="U266" s="32" t="str">
        <f t="shared" si="132"/>
        <v>个</v>
      </c>
      <c r="V266" s="15"/>
      <c r="W266" s="35"/>
      <c r="X266" s="32">
        <f t="shared" si="133"/>
        <v>5</v>
      </c>
      <c r="Y266" s="32" t="str">
        <f t="shared" si="134"/>
        <v>个</v>
      </c>
      <c r="Z266" s="15"/>
      <c r="AA266" s="15"/>
      <c r="AB266" s="35"/>
    </row>
    <row r="267" spans="1:28" s="160" customFormat="1" ht="19.899999999999999" customHeight="1" x14ac:dyDescent="0.15">
      <c r="A267" s="249" t="s">
        <v>2840</v>
      </c>
      <c r="B267" s="95"/>
      <c r="C267" s="29"/>
      <c r="D267" s="159"/>
      <c r="E267" s="93"/>
      <c r="F267" s="15"/>
      <c r="G267" s="15"/>
      <c r="H267" s="15"/>
      <c r="I267" s="15"/>
      <c r="J267" s="29"/>
      <c r="K267" s="15"/>
      <c r="L267" s="29"/>
      <c r="M267" s="32"/>
      <c r="N267" s="15"/>
      <c r="O267" s="137"/>
      <c r="P267" s="15"/>
      <c r="Q267" s="142"/>
      <c r="R267" s="15"/>
      <c r="S267" s="15"/>
      <c r="T267" s="15"/>
      <c r="U267" s="32"/>
      <c r="V267" s="15"/>
      <c r="W267" s="35"/>
      <c r="X267" s="32"/>
      <c r="Y267" s="32"/>
      <c r="Z267" s="15"/>
      <c r="AA267" s="15"/>
      <c r="AB267" s="35"/>
    </row>
    <row r="268" spans="1:28" s="175" customFormat="1" ht="19.899999999999999" customHeight="1" x14ac:dyDescent="0.15">
      <c r="A268" s="163">
        <v>264</v>
      </c>
      <c r="B268" s="230" t="s">
        <v>2485</v>
      </c>
      <c r="C268" s="165" t="s">
        <v>135</v>
      </c>
      <c r="D268" s="304" t="s">
        <v>2425</v>
      </c>
      <c r="E268" s="200" t="s">
        <v>2824</v>
      </c>
      <c r="F268" s="167" t="s">
        <v>2922</v>
      </c>
      <c r="G268" s="167"/>
      <c r="H268" s="167"/>
      <c r="I268" s="305" t="s">
        <v>2921</v>
      </c>
      <c r="J268" s="244" t="s">
        <v>2482</v>
      </c>
      <c r="K268" s="167">
        <v>1</v>
      </c>
      <c r="L268" s="244" t="s">
        <v>2483</v>
      </c>
      <c r="M268" s="304" t="s">
        <v>2484</v>
      </c>
      <c r="N268" s="167"/>
      <c r="O268" s="169" t="s">
        <v>2964</v>
      </c>
      <c r="P268" s="200" t="s">
        <v>2967</v>
      </c>
      <c r="Q268" s="167"/>
      <c r="R268" s="167"/>
      <c r="S268" s="167" t="s">
        <v>2965</v>
      </c>
      <c r="T268" s="167">
        <v>1</v>
      </c>
      <c r="U268" s="166" t="str">
        <f t="shared" ref="U268:U317" si="135">IF(L268="","",L268)</f>
        <v>只</v>
      </c>
      <c r="V268" s="167"/>
      <c r="W268" s="167"/>
      <c r="X268" s="166" t="str">
        <f t="shared" ref="X268:X317" si="136">IF((K268-T268)&lt;=0,"",K268-T268)</f>
        <v/>
      </c>
      <c r="Y268" s="166" t="str">
        <f t="shared" ref="Y268:Y317" si="137">IF(L268="","",L268)</f>
        <v>只</v>
      </c>
      <c r="Z268" s="167"/>
      <c r="AA268" s="167"/>
      <c r="AB268" s="306" t="s">
        <v>2966</v>
      </c>
    </row>
    <row r="269" spans="1:28" s="46" customFormat="1" ht="19.899999999999999" customHeight="1" x14ac:dyDescent="0.15">
      <c r="A269" s="34">
        <v>265</v>
      </c>
      <c r="B269" s="96" t="s">
        <v>2485</v>
      </c>
      <c r="C269" s="29" t="s">
        <v>135</v>
      </c>
      <c r="D269" s="32" t="str">
        <f t="shared" ref="D269:D317" si="138">IF(C269="J1","常规化学品",IF(C269="J2","危险化学品",IF(C269="J3","标准物质",IF(C269="J4","玻璃仪器",IF(C269="J5","实验气体",IF(C269="J6","专用物耗",IF(C269="J7","备品配件",IF(C269="J8","专用工具",IF(C269="Z1","劳保物资",IF(C269="Z2","办公耗材",IF(C269="Z3","食品饮料",IF(C269="Z4","特殊物耗",IF(C269="Z5","通用物耗",IF(C269="Z6","通用工具",""))))))))))))))</f>
        <v>备品配件</v>
      </c>
      <c r="E269" s="93" t="s">
        <v>2487</v>
      </c>
      <c r="F269" s="15" t="s">
        <v>2488</v>
      </c>
      <c r="G269" s="15"/>
      <c r="H269" s="15"/>
      <c r="I269" s="162" t="s">
        <v>2489</v>
      </c>
      <c r="J269" s="29" t="s">
        <v>1608</v>
      </c>
      <c r="K269" s="15">
        <v>1</v>
      </c>
      <c r="L269" s="94" t="s">
        <v>2490</v>
      </c>
      <c r="M269" s="32" t="str">
        <f t="shared" ref="M269:M317" si="139">IF(D269="危险化学品","五双",IF(D269="标准物资","严控",IF(D269&lt;&gt;"","常规","")))</f>
        <v>常规</v>
      </c>
      <c r="N269" s="15"/>
      <c r="O269" s="137" t="s">
        <v>2973</v>
      </c>
      <c r="P269" s="15"/>
      <c r="Q269" s="15"/>
      <c r="R269" s="15"/>
      <c r="S269" s="15"/>
      <c r="T269" s="15"/>
      <c r="U269" s="32" t="str">
        <f t="shared" si="135"/>
        <v>只</v>
      </c>
      <c r="V269" s="15"/>
      <c r="W269" s="15"/>
      <c r="X269" s="32">
        <f t="shared" si="136"/>
        <v>1</v>
      </c>
      <c r="Y269" s="32" t="str">
        <f t="shared" si="137"/>
        <v>只</v>
      </c>
      <c r="Z269" s="15"/>
      <c r="AA269" s="15"/>
      <c r="AB269" s="15"/>
    </row>
    <row r="270" spans="1:28" s="220" customFormat="1" ht="19.899999999999999" customHeight="1" x14ac:dyDescent="0.15">
      <c r="A270" s="201">
        <v>266</v>
      </c>
      <c r="B270" s="258" t="s">
        <v>2485</v>
      </c>
      <c r="C270" s="203" t="s">
        <v>135</v>
      </c>
      <c r="D270" s="204" t="str">
        <f t="shared" ref="D270" si="140">IF(C270="J1","常规化学品",IF(C270="J2","危险化学品",IF(C270="J3","标准物质",IF(C270="J4","玻璃仪器",IF(C270="J5","实验气体",IF(C270="J6","专用物耗",IF(C270="J7","备品配件",IF(C270="J8","专用工具",IF(C270="Z1","劳保物资",IF(C270="Z2","办公耗材",IF(C270="Z3","食品饮料",IF(C270="Z4","特殊物耗",IF(C270="Z5","通用物耗",IF(C270="Z6","通用工具",""))))))))))))))</f>
        <v>备品配件</v>
      </c>
      <c r="E270" s="222" t="s">
        <v>2824</v>
      </c>
      <c r="F270" s="206" t="s">
        <v>2691</v>
      </c>
      <c r="G270" s="206"/>
      <c r="H270" s="206"/>
      <c r="I270" s="206" t="s">
        <v>2692</v>
      </c>
      <c r="J270" s="203" t="s">
        <v>821</v>
      </c>
      <c r="K270" s="206">
        <v>1</v>
      </c>
      <c r="L270" s="203" t="s">
        <v>822</v>
      </c>
      <c r="M270" s="204" t="str">
        <f t="shared" ref="M270" si="141">IF(D270="危险化学品","五双",IF(D270="标准物资","严控",IF(D270&lt;&gt;"","常规","")))</f>
        <v>常规</v>
      </c>
      <c r="N270" s="206"/>
      <c r="O270" s="219" t="s">
        <v>2273</v>
      </c>
      <c r="P270" s="206"/>
      <c r="Q270" s="206"/>
      <c r="R270" s="206"/>
      <c r="S270" s="206" t="s">
        <v>2802</v>
      </c>
      <c r="T270" s="206">
        <v>1</v>
      </c>
      <c r="U270" s="204" t="str">
        <f t="shared" ref="U270" si="142">IF(L270="","",L270)</f>
        <v>只</v>
      </c>
      <c r="V270" s="259" t="s">
        <v>2859</v>
      </c>
      <c r="W270" s="210"/>
      <c r="X270" s="204" t="str">
        <f t="shared" ref="X270" si="143">IF((K270-T270)&lt;=0,"",K270-T270)</f>
        <v/>
      </c>
      <c r="Y270" s="204" t="str">
        <f t="shared" ref="Y270" si="144">IF(L270="","",L270)</f>
        <v>只</v>
      </c>
      <c r="Z270" s="206"/>
      <c r="AA270" s="206"/>
      <c r="AB270" s="210"/>
    </row>
    <row r="271" spans="1:28" s="220" customFormat="1" ht="19.899999999999999" customHeight="1" x14ac:dyDescent="0.15">
      <c r="A271" s="201">
        <v>267</v>
      </c>
      <c r="B271" s="216" t="s">
        <v>2687</v>
      </c>
      <c r="C271" s="203" t="s">
        <v>135</v>
      </c>
      <c r="D271" s="204" t="str">
        <f t="shared" si="138"/>
        <v>备品配件</v>
      </c>
      <c r="E271" s="222" t="s">
        <v>2851</v>
      </c>
      <c r="F271" s="206" t="s">
        <v>2688</v>
      </c>
      <c r="G271" s="206"/>
      <c r="H271" s="206"/>
      <c r="I271" s="206" t="s">
        <v>2689</v>
      </c>
      <c r="J271" s="203" t="s">
        <v>821</v>
      </c>
      <c r="K271" s="206">
        <v>1</v>
      </c>
      <c r="L271" s="203" t="s">
        <v>822</v>
      </c>
      <c r="M271" s="204" t="str">
        <f t="shared" si="139"/>
        <v>常规</v>
      </c>
      <c r="N271" s="206"/>
      <c r="O271" s="219"/>
      <c r="P271" s="206"/>
      <c r="Q271" s="206"/>
      <c r="R271" s="206"/>
      <c r="S271" s="206" t="s">
        <v>2690</v>
      </c>
      <c r="T271" s="206">
        <v>1</v>
      </c>
      <c r="U271" s="204" t="str">
        <f t="shared" si="135"/>
        <v>只</v>
      </c>
      <c r="V271" s="206"/>
      <c r="W271" s="210"/>
      <c r="X271" s="204" t="str">
        <f t="shared" si="136"/>
        <v/>
      </c>
      <c r="Y271" s="204" t="str">
        <f t="shared" si="137"/>
        <v>只</v>
      </c>
      <c r="Z271" s="206"/>
      <c r="AA271" s="206"/>
      <c r="AB271" s="210"/>
    </row>
    <row r="272" spans="1:28" s="220" customFormat="1" ht="19.899999999999999" customHeight="1" x14ac:dyDescent="0.15">
      <c r="A272" s="201">
        <v>268</v>
      </c>
      <c r="B272" s="258" t="s">
        <v>2780</v>
      </c>
      <c r="C272" s="203" t="s">
        <v>135</v>
      </c>
      <c r="D272" s="204" t="str">
        <f t="shared" si="138"/>
        <v>备品配件</v>
      </c>
      <c r="E272" s="222" t="s">
        <v>2847</v>
      </c>
      <c r="F272" s="206" t="s">
        <v>2782</v>
      </c>
      <c r="G272" s="206"/>
      <c r="H272" s="206"/>
      <c r="I272" s="206" t="s">
        <v>2756</v>
      </c>
      <c r="J272" s="203" t="s">
        <v>821</v>
      </c>
      <c r="K272" s="206">
        <v>1</v>
      </c>
      <c r="L272" s="203" t="s">
        <v>134</v>
      </c>
      <c r="M272" s="204" t="str">
        <f t="shared" si="139"/>
        <v>常规</v>
      </c>
      <c r="N272" s="206"/>
      <c r="O272" s="219" t="s">
        <v>2273</v>
      </c>
      <c r="P272" s="206"/>
      <c r="Q272" s="206"/>
      <c r="R272" s="206"/>
      <c r="S272" s="206" t="s">
        <v>2757</v>
      </c>
      <c r="T272" s="206">
        <v>1</v>
      </c>
      <c r="U272" s="204" t="str">
        <f t="shared" si="135"/>
        <v>个</v>
      </c>
      <c r="V272" s="206"/>
      <c r="W272" s="206"/>
      <c r="X272" s="204" t="str">
        <f t="shared" si="136"/>
        <v/>
      </c>
      <c r="Y272" s="204" t="str">
        <f t="shared" si="137"/>
        <v>个</v>
      </c>
      <c r="Z272" s="206"/>
      <c r="AA272" s="206"/>
      <c r="AB272" s="206"/>
    </row>
    <row r="273" spans="1:28" s="220" customFormat="1" ht="19.899999999999999" customHeight="1" x14ac:dyDescent="0.15">
      <c r="A273" s="201">
        <v>269</v>
      </c>
      <c r="B273" s="258" t="s">
        <v>2781</v>
      </c>
      <c r="C273" s="203" t="s">
        <v>135</v>
      </c>
      <c r="D273" s="204" t="str">
        <f t="shared" si="138"/>
        <v>备品配件</v>
      </c>
      <c r="E273" s="222" t="s">
        <v>2758</v>
      </c>
      <c r="F273" s="206" t="s">
        <v>2783</v>
      </c>
      <c r="G273" s="206"/>
      <c r="H273" s="206"/>
      <c r="I273" s="206" t="s">
        <v>2759</v>
      </c>
      <c r="J273" s="203" t="s">
        <v>821</v>
      </c>
      <c r="K273" s="206">
        <v>1</v>
      </c>
      <c r="L273" s="203" t="s">
        <v>134</v>
      </c>
      <c r="M273" s="260" t="s">
        <v>2786</v>
      </c>
      <c r="N273" s="206"/>
      <c r="O273" s="219" t="s">
        <v>2760</v>
      </c>
      <c r="P273" s="206"/>
      <c r="Q273" s="206"/>
      <c r="R273" s="206"/>
      <c r="S273" s="206" t="s">
        <v>2772</v>
      </c>
      <c r="T273" s="206">
        <v>1</v>
      </c>
      <c r="U273" s="204" t="str">
        <f t="shared" si="135"/>
        <v>个</v>
      </c>
      <c r="V273" s="206"/>
      <c r="W273" s="206"/>
      <c r="X273" s="204" t="str">
        <f t="shared" si="136"/>
        <v/>
      </c>
      <c r="Y273" s="204" t="str">
        <f t="shared" si="137"/>
        <v>个</v>
      </c>
      <c r="Z273" s="206"/>
      <c r="AA273" s="206"/>
      <c r="AB273" s="206"/>
    </row>
    <row r="274" spans="1:28" s="220" customFormat="1" ht="19.899999999999999" customHeight="1" x14ac:dyDescent="0.15">
      <c r="A274" s="201">
        <v>270</v>
      </c>
      <c r="B274" s="258" t="s">
        <v>2795</v>
      </c>
      <c r="C274" s="203" t="s">
        <v>135</v>
      </c>
      <c r="D274" s="204" t="str">
        <f t="shared" si="138"/>
        <v>备品配件</v>
      </c>
      <c r="E274" s="222" t="s">
        <v>2848</v>
      </c>
      <c r="F274" s="206" t="s">
        <v>2784</v>
      </c>
      <c r="G274" s="206"/>
      <c r="H274" s="206"/>
      <c r="I274" s="206" t="s">
        <v>2793</v>
      </c>
      <c r="J274" s="203" t="s">
        <v>821</v>
      </c>
      <c r="K274" s="206">
        <v>1</v>
      </c>
      <c r="L274" s="218" t="s">
        <v>2785</v>
      </c>
      <c r="M274" s="260" t="s">
        <v>2787</v>
      </c>
      <c r="N274" s="206"/>
      <c r="O274" s="219" t="s">
        <v>2273</v>
      </c>
      <c r="P274" s="206"/>
      <c r="Q274" s="206"/>
      <c r="R274" s="206"/>
      <c r="S274" s="206" t="s">
        <v>2788</v>
      </c>
      <c r="T274" s="206">
        <v>1</v>
      </c>
      <c r="U274" s="204" t="str">
        <f t="shared" si="135"/>
        <v>个</v>
      </c>
      <c r="V274" s="206"/>
      <c r="W274" s="206"/>
      <c r="X274" s="204" t="str">
        <f t="shared" si="136"/>
        <v/>
      </c>
      <c r="Y274" s="204" t="str">
        <f t="shared" si="137"/>
        <v>个</v>
      </c>
      <c r="Z274" s="206"/>
      <c r="AA274" s="206"/>
      <c r="AB274" s="206"/>
    </row>
    <row r="275" spans="1:28" s="220" customFormat="1" ht="19.899999999999999" customHeight="1" x14ac:dyDescent="0.15">
      <c r="A275" s="201">
        <v>271</v>
      </c>
      <c r="B275" s="258" t="s">
        <v>2860</v>
      </c>
      <c r="C275" s="203" t="s">
        <v>135</v>
      </c>
      <c r="D275" s="204" t="str">
        <f t="shared" si="138"/>
        <v>备品配件</v>
      </c>
      <c r="E275" s="222" t="s">
        <v>2851</v>
      </c>
      <c r="F275" s="206" t="s">
        <v>2861</v>
      </c>
      <c r="G275" s="206"/>
      <c r="H275" s="206"/>
      <c r="I275" s="206" t="s">
        <v>2862</v>
      </c>
      <c r="J275" s="203" t="s">
        <v>821</v>
      </c>
      <c r="K275" s="206">
        <v>1</v>
      </c>
      <c r="L275" s="218" t="s">
        <v>2163</v>
      </c>
      <c r="M275" s="260" t="s">
        <v>2484</v>
      </c>
      <c r="N275" s="206"/>
      <c r="O275" s="219"/>
      <c r="P275" s="206"/>
      <c r="Q275" s="206"/>
      <c r="R275" s="206"/>
      <c r="S275" s="206" t="s">
        <v>2863</v>
      </c>
      <c r="T275" s="206">
        <v>1</v>
      </c>
      <c r="U275" s="204" t="str">
        <f t="shared" si="135"/>
        <v>个</v>
      </c>
      <c r="V275" s="206"/>
      <c r="W275" s="206"/>
      <c r="X275" s="204" t="str">
        <f t="shared" si="136"/>
        <v/>
      </c>
      <c r="Y275" s="204"/>
      <c r="Z275" s="206"/>
      <c r="AA275" s="206"/>
      <c r="AB275" s="206"/>
    </row>
    <row r="276" spans="1:28" s="220" customFormat="1" ht="19.899999999999999" customHeight="1" x14ac:dyDescent="0.15">
      <c r="A276" s="201">
        <v>272</v>
      </c>
      <c r="B276" s="258" t="s">
        <v>2808</v>
      </c>
      <c r="C276" s="203" t="s">
        <v>135</v>
      </c>
      <c r="D276" s="204" t="str">
        <f t="shared" si="138"/>
        <v>备品配件</v>
      </c>
      <c r="E276" s="222" t="s">
        <v>2850</v>
      </c>
      <c r="F276" s="206" t="s">
        <v>2810</v>
      </c>
      <c r="G276" s="206"/>
      <c r="H276" s="206"/>
      <c r="I276" s="206" t="s">
        <v>2809</v>
      </c>
      <c r="J276" s="203" t="s">
        <v>821</v>
      </c>
      <c r="K276" s="206">
        <v>1</v>
      </c>
      <c r="L276" s="218" t="s">
        <v>2163</v>
      </c>
      <c r="M276" s="204" t="str">
        <f t="shared" si="139"/>
        <v>常规</v>
      </c>
      <c r="N276" s="206"/>
      <c r="O276" s="219"/>
      <c r="P276" s="206"/>
      <c r="Q276" s="206"/>
      <c r="R276" s="206"/>
      <c r="S276" s="206" t="s">
        <v>2811</v>
      </c>
      <c r="T276" s="206">
        <v>1</v>
      </c>
      <c r="U276" s="204" t="str">
        <f t="shared" si="135"/>
        <v>个</v>
      </c>
      <c r="V276" s="206"/>
      <c r="W276" s="206"/>
      <c r="X276" s="204" t="str">
        <f t="shared" si="136"/>
        <v/>
      </c>
      <c r="Y276" s="204" t="str">
        <f t="shared" si="137"/>
        <v>个</v>
      </c>
      <c r="Z276" s="206"/>
      <c r="AA276" s="206"/>
      <c r="AB276" s="206"/>
    </row>
    <row r="277" spans="1:28" s="220" customFormat="1" ht="19.899999999999999" customHeight="1" x14ac:dyDescent="0.15">
      <c r="A277" s="201">
        <v>273</v>
      </c>
      <c r="B277" s="258" t="s">
        <v>2812</v>
      </c>
      <c r="C277" s="203" t="s">
        <v>2813</v>
      </c>
      <c r="D277" s="204" t="str">
        <f t="shared" si="138"/>
        <v>备品配件</v>
      </c>
      <c r="E277" s="222" t="s">
        <v>2852</v>
      </c>
      <c r="F277" s="259" t="s">
        <v>2814</v>
      </c>
      <c r="G277" s="206"/>
      <c r="H277" s="206"/>
      <c r="I277" s="206" t="s">
        <v>2815</v>
      </c>
      <c r="J277" s="203" t="s">
        <v>821</v>
      </c>
      <c r="K277" s="206">
        <v>1</v>
      </c>
      <c r="L277" s="218" t="s">
        <v>2816</v>
      </c>
      <c r="M277" s="204" t="str">
        <f t="shared" si="139"/>
        <v>常规</v>
      </c>
      <c r="N277" s="206"/>
      <c r="O277" s="219"/>
      <c r="P277" s="206"/>
      <c r="Q277" s="206"/>
      <c r="R277" s="206"/>
      <c r="S277" s="206" t="s">
        <v>2817</v>
      </c>
      <c r="T277" s="206">
        <v>1</v>
      </c>
      <c r="U277" s="204" t="str">
        <f t="shared" si="135"/>
        <v>个</v>
      </c>
      <c r="V277" s="206"/>
      <c r="W277" s="206"/>
      <c r="X277" s="204" t="str">
        <f t="shared" si="136"/>
        <v/>
      </c>
      <c r="Y277" s="204" t="str">
        <f t="shared" si="137"/>
        <v>个</v>
      </c>
      <c r="Z277" s="206"/>
      <c r="AA277" s="206"/>
      <c r="AB277" s="206"/>
    </row>
    <row r="278" spans="1:28" s="220" customFormat="1" ht="19.899999999999999" customHeight="1" x14ac:dyDescent="0.15">
      <c r="A278" s="201">
        <v>274</v>
      </c>
      <c r="B278" s="258" t="s">
        <v>2818</v>
      </c>
      <c r="C278" s="203" t="s">
        <v>2864</v>
      </c>
      <c r="D278" s="204" t="str">
        <f t="shared" si="138"/>
        <v>备品配件</v>
      </c>
      <c r="E278" s="222" t="s">
        <v>2853</v>
      </c>
      <c r="F278" s="206" t="s">
        <v>2854</v>
      </c>
      <c r="G278" s="206"/>
      <c r="H278" s="206"/>
      <c r="I278" s="206" t="s">
        <v>2819</v>
      </c>
      <c r="J278" s="203" t="s">
        <v>821</v>
      </c>
      <c r="K278" s="206">
        <v>1</v>
      </c>
      <c r="L278" s="218" t="s">
        <v>2163</v>
      </c>
      <c r="M278" s="204" t="str">
        <f t="shared" si="139"/>
        <v>常规</v>
      </c>
      <c r="N278" s="206"/>
      <c r="O278" s="219"/>
      <c r="P278" s="206"/>
      <c r="Q278" s="206"/>
      <c r="R278" s="206"/>
      <c r="S278" s="206" t="s">
        <v>2820</v>
      </c>
      <c r="T278" s="206">
        <v>1</v>
      </c>
      <c r="U278" s="204" t="str">
        <f t="shared" si="135"/>
        <v>个</v>
      </c>
      <c r="V278" s="206"/>
      <c r="W278" s="206"/>
      <c r="X278" s="204" t="str">
        <f t="shared" si="136"/>
        <v/>
      </c>
      <c r="Y278" s="204" t="str">
        <f t="shared" si="137"/>
        <v>个</v>
      </c>
      <c r="Z278" s="206"/>
      <c r="AA278" s="206"/>
      <c r="AB278" s="206"/>
    </row>
    <row r="279" spans="1:28" s="46" customFormat="1" ht="19.899999999999999" customHeight="1" x14ac:dyDescent="0.15">
      <c r="A279" s="263">
        <v>275</v>
      </c>
      <c r="B279" s="96" t="s">
        <v>2892</v>
      </c>
      <c r="C279" s="29" t="s">
        <v>2893</v>
      </c>
      <c r="D279" s="32" t="str">
        <f t="shared" si="138"/>
        <v>备品配件</v>
      </c>
      <c r="E279" s="93" t="s">
        <v>2894</v>
      </c>
      <c r="F279" s="15" t="s">
        <v>2895</v>
      </c>
      <c r="G279" s="15"/>
      <c r="H279" s="15"/>
      <c r="I279" s="15" t="s">
        <v>2896</v>
      </c>
      <c r="J279" s="94" t="s">
        <v>2897</v>
      </c>
      <c r="K279" s="15">
        <v>1</v>
      </c>
      <c r="L279" s="94" t="s">
        <v>2898</v>
      </c>
      <c r="M279" s="32" t="str">
        <f t="shared" si="139"/>
        <v>常规</v>
      </c>
      <c r="N279" s="93" t="s">
        <v>2902</v>
      </c>
      <c r="O279" s="137" t="s">
        <v>2899</v>
      </c>
      <c r="P279" s="15"/>
      <c r="Q279" s="15"/>
      <c r="R279" s="15"/>
      <c r="S279" s="15"/>
      <c r="T279" s="15"/>
      <c r="U279" s="32" t="str">
        <f t="shared" si="135"/>
        <v>个</v>
      </c>
      <c r="V279" s="15"/>
      <c r="W279" s="15"/>
      <c r="X279" s="32">
        <f t="shared" si="136"/>
        <v>1</v>
      </c>
      <c r="Y279" s="32" t="str">
        <f t="shared" si="137"/>
        <v>个</v>
      </c>
      <c r="Z279" s="15"/>
      <c r="AA279" s="15"/>
      <c r="AB279" s="15"/>
    </row>
    <row r="280" spans="1:28" s="175" customFormat="1" ht="19.899999999999999" customHeight="1" x14ac:dyDescent="0.15">
      <c r="A280" s="163">
        <v>276</v>
      </c>
      <c r="B280" s="230" t="s">
        <v>2485</v>
      </c>
      <c r="C280" s="165" t="s">
        <v>135</v>
      </c>
      <c r="D280" s="304" t="s">
        <v>2425</v>
      </c>
      <c r="E280" s="200" t="s">
        <v>2824</v>
      </c>
      <c r="F280" s="167"/>
      <c r="G280" s="167"/>
      <c r="H280" s="167"/>
      <c r="I280" s="305" t="s">
        <v>2971</v>
      </c>
      <c r="J280" s="244" t="s">
        <v>2897</v>
      </c>
      <c r="K280" s="167">
        <v>1</v>
      </c>
      <c r="L280" s="244" t="s">
        <v>2483</v>
      </c>
      <c r="M280" s="304" t="s">
        <v>2484</v>
      </c>
      <c r="N280" s="167"/>
      <c r="O280" s="169" t="s">
        <v>2972</v>
      </c>
      <c r="P280" s="200"/>
      <c r="Q280" s="167"/>
      <c r="R280" s="167"/>
      <c r="S280" s="167" t="s">
        <v>2974</v>
      </c>
      <c r="T280" s="167">
        <v>1</v>
      </c>
      <c r="U280" s="166" t="str">
        <f t="shared" ref="U280" si="145">IF(L280="","",L280)</f>
        <v>只</v>
      </c>
      <c r="V280" s="167"/>
      <c r="W280" s="167"/>
      <c r="X280" s="166" t="str">
        <f t="shared" ref="X280" si="146">IF((K280-T280)&lt;=0,"",K280-T280)</f>
        <v/>
      </c>
      <c r="Y280" s="166" t="str">
        <f t="shared" ref="Y280" si="147">IF(L280="","",L280)</f>
        <v>只</v>
      </c>
      <c r="Z280" s="167"/>
      <c r="AA280" s="167"/>
      <c r="AB280" s="306" t="s">
        <v>2976</v>
      </c>
    </row>
    <row r="281" spans="1:28" s="46" customFormat="1" ht="19.899999999999999" customHeight="1" x14ac:dyDescent="0.15">
      <c r="A281" s="34">
        <v>277</v>
      </c>
      <c r="B281" s="96" t="s">
        <v>2975</v>
      </c>
      <c r="C281" s="29" t="s">
        <v>135</v>
      </c>
      <c r="D281" s="32" t="s">
        <v>149</v>
      </c>
      <c r="E281" s="93" t="s">
        <v>2824</v>
      </c>
      <c r="F281" s="15"/>
      <c r="G281" s="15"/>
      <c r="H281" s="15"/>
      <c r="I281" s="162" t="s">
        <v>3010</v>
      </c>
      <c r="J281" s="29" t="s">
        <v>1589</v>
      </c>
      <c r="K281" s="15">
        <v>1</v>
      </c>
      <c r="L281" s="29" t="s">
        <v>1591</v>
      </c>
      <c r="M281" s="32" t="s">
        <v>2474</v>
      </c>
      <c r="N281" s="15"/>
      <c r="O281" s="137" t="s">
        <v>2972</v>
      </c>
      <c r="P281" s="15"/>
      <c r="Q281" s="15"/>
      <c r="R281" s="15"/>
      <c r="S281" s="15" t="s">
        <v>3009</v>
      </c>
      <c r="T281" s="15"/>
      <c r="U281" s="32" t="s">
        <v>1591</v>
      </c>
      <c r="V281" s="15"/>
      <c r="W281" s="15"/>
      <c r="X281" s="32">
        <f t="shared" si="136"/>
        <v>1</v>
      </c>
      <c r="Y281" s="32" t="s">
        <v>1591</v>
      </c>
      <c r="Z281" s="15"/>
      <c r="AA281" s="15"/>
      <c r="AB281" s="15" t="s">
        <v>3011</v>
      </c>
    </row>
    <row r="282" spans="1:28" s="46" customFormat="1" ht="19.899999999999999" customHeight="1" x14ac:dyDescent="0.15">
      <c r="A282" s="34">
        <v>278</v>
      </c>
      <c r="B282" s="96" t="s">
        <v>3031</v>
      </c>
      <c r="C282" s="29" t="s">
        <v>135</v>
      </c>
      <c r="D282" s="32" t="s">
        <v>149</v>
      </c>
      <c r="E282" s="15"/>
      <c r="F282" s="15" t="s">
        <v>3027</v>
      </c>
      <c r="G282" s="15" t="s">
        <v>3026</v>
      </c>
      <c r="H282" s="15"/>
      <c r="I282" s="15" t="s">
        <v>3028</v>
      </c>
      <c r="J282" s="94" t="s">
        <v>2482</v>
      </c>
      <c r="K282" s="15">
        <v>4</v>
      </c>
      <c r="L282" s="94" t="s">
        <v>3029</v>
      </c>
      <c r="M282" s="159" t="s">
        <v>3030</v>
      </c>
      <c r="N282" s="93" t="s">
        <v>3054</v>
      </c>
      <c r="O282" s="137" t="s">
        <v>2276</v>
      </c>
      <c r="P282" s="15"/>
      <c r="Q282" s="15" t="s">
        <v>1991</v>
      </c>
      <c r="R282" s="15"/>
      <c r="S282" s="314" t="s">
        <v>3032</v>
      </c>
      <c r="T282" s="15">
        <v>1</v>
      </c>
      <c r="U282" s="32" t="str">
        <f t="shared" si="135"/>
        <v>个</v>
      </c>
      <c r="V282" s="15"/>
      <c r="W282" s="15"/>
      <c r="X282" s="32">
        <f t="shared" si="136"/>
        <v>3</v>
      </c>
      <c r="Y282" s="32" t="str">
        <f t="shared" si="137"/>
        <v>个</v>
      </c>
      <c r="Z282" s="15"/>
      <c r="AA282" s="15"/>
      <c r="AB282" s="15"/>
    </row>
    <row r="283" spans="1:28" s="46" customFormat="1" ht="19.899999999999999" customHeight="1" x14ac:dyDescent="0.15">
      <c r="A283" s="34">
        <v>279</v>
      </c>
      <c r="B283" s="96" t="s">
        <v>3114</v>
      </c>
      <c r="C283" s="29" t="s">
        <v>135</v>
      </c>
      <c r="D283" s="32" t="str">
        <f t="shared" si="138"/>
        <v>备品配件</v>
      </c>
      <c r="E283" s="93" t="s">
        <v>2894</v>
      </c>
      <c r="F283" s="228" t="s">
        <v>3115</v>
      </c>
      <c r="G283" s="15">
        <v>67630</v>
      </c>
      <c r="H283" s="15"/>
      <c r="I283" s="15" t="s">
        <v>3116</v>
      </c>
      <c r="J283" s="29" t="s">
        <v>1589</v>
      </c>
      <c r="K283" s="15">
        <v>1</v>
      </c>
      <c r="L283" s="94" t="s">
        <v>2163</v>
      </c>
      <c r="M283" s="32" t="str">
        <f t="shared" si="139"/>
        <v>常规</v>
      </c>
      <c r="N283" s="15"/>
      <c r="O283" s="137"/>
      <c r="P283" s="15"/>
      <c r="Q283" s="15"/>
      <c r="R283" s="15"/>
      <c r="S283" s="228" t="s">
        <v>3117</v>
      </c>
      <c r="T283" s="15">
        <v>1</v>
      </c>
      <c r="U283" s="32" t="str">
        <f t="shared" si="135"/>
        <v>个</v>
      </c>
      <c r="V283" s="15"/>
      <c r="W283" s="15"/>
      <c r="X283" s="32" t="str">
        <f t="shared" si="136"/>
        <v/>
      </c>
      <c r="Y283" s="32" t="str">
        <f t="shared" si="137"/>
        <v>个</v>
      </c>
      <c r="Z283" s="15"/>
      <c r="AA283" s="15"/>
      <c r="AB283" s="15"/>
    </row>
    <row r="284" spans="1:28" s="46" customFormat="1" ht="19.899999999999999" customHeight="1" x14ac:dyDescent="0.15">
      <c r="A284" s="34"/>
      <c r="B284" s="96"/>
      <c r="C284" s="29"/>
      <c r="D284" s="32" t="str">
        <f t="shared" si="138"/>
        <v/>
      </c>
      <c r="E284" s="15"/>
      <c r="F284" s="15"/>
      <c r="G284" s="15"/>
      <c r="H284" s="15"/>
      <c r="I284" s="15"/>
      <c r="J284" s="29"/>
      <c r="K284" s="15"/>
      <c r="L284" s="29"/>
      <c r="M284" s="32" t="str">
        <f t="shared" si="139"/>
        <v/>
      </c>
      <c r="N284" s="15"/>
      <c r="O284" s="137"/>
      <c r="P284" s="15"/>
      <c r="Q284" s="15"/>
      <c r="R284" s="15"/>
      <c r="S284" s="15"/>
      <c r="T284" s="15"/>
      <c r="U284" s="32" t="str">
        <f t="shared" si="135"/>
        <v/>
      </c>
      <c r="V284" s="15"/>
      <c r="W284" s="15"/>
      <c r="X284" s="32" t="str">
        <f t="shared" si="136"/>
        <v/>
      </c>
      <c r="Y284" s="32" t="str">
        <f t="shared" si="137"/>
        <v/>
      </c>
      <c r="Z284" s="15"/>
      <c r="AA284" s="15"/>
      <c r="AB284" s="15"/>
    </row>
    <row r="285" spans="1:28" s="46" customFormat="1" ht="19.899999999999999" customHeight="1" x14ac:dyDescent="0.15">
      <c r="A285" s="34"/>
      <c r="B285" s="96"/>
      <c r="C285" s="29"/>
      <c r="D285" s="32" t="str">
        <f t="shared" si="138"/>
        <v/>
      </c>
      <c r="E285" s="15"/>
      <c r="F285" s="15"/>
      <c r="G285" s="15"/>
      <c r="H285" s="15"/>
      <c r="I285" s="15"/>
      <c r="J285" s="29"/>
      <c r="K285" s="15"/>
      <c r="L285" s="29"/>
      <c r="M285" s="32" t="str">
        <f t="shared" si="139"/>
        <v/>
      </c>
      <c r="N285" s="15"/>
      <c r="O285" s="137"/>
      <c r="P285" s="15"/>
      <c r="Q285" s="15"/>
      <c r="R285" s="15"/>
      <c r="S285" s="15"/>
      <c r="T285" s="15"/>
      <c r="U285" s="32" t="str">
        <f t="shared" si="135"/>
        <v/>
      </c>
      <c r="V285" s="15"/>
      <c r="W285" s="15"/>
      <c r="X285" s="32" t="str">
        <f t="shared" si="136"/>
        <v/>
      </c>
      <c r="Y285" s="32" t="str">
        <f t="shared" si="137"/>
        <v/>
      </c>
      <c r="Z285" s="15"/>
      <c r="AA285" s="15"/>
      <c r="AB285" s="15"/>
    </row>
    <row r="286" spans="1:28" s="46" customFormat="1" ht="19.899999999999999" customHeight="1" x14ac:dyDescent="0.15">
      <c r="A286" s="34"/>
      <c r="B286" s="96"/>
      <c r="C286" s="29"/>
      <c r="D286" s="32" t="str">
        <f t="shared" si="138"/>
        <v/>
      </c>
      <c r="E286" s="15"/>
      <c r="F286" s="15"/>
      <c r="G286" s="15"/>
      <c r="H286" s="15"/>
      <c r="I286" s="15"/>
      <c r="J286" s="29"/>
      <c r="K286" s="15"/>
      <c r="L286" s="29"/>
      <c r="M286" s="32" t="str">
        <f t="shared" si="139"/>
        <v/>
      </c>
      <c r="N286" s="15"/>
      <c r="O286" s="137"/>
      <c r="P286" s="15"/>
      <c r="Q286" s="15"/>
      <c r="R286" s="15"/>
      <c r="S286" s="15"/>
      <c r="T286" s="15"/>
      <c r="U286" s="32" t="str">
        <f t="shared" si="135"/>
        <v/>
      </c>
      <c r="V286" s="15"/>
      <c r="W286" s="15"/>
      <c r="X286" s="32" t="str">
        <f t="shared" si="136"/>
        <v/>
      </c>
      <c r="Y286" s="32" t="str">
        <f t="shared" si="137"/>
        <v/>
      </c>
      <c r="Z286" s="15"/>
      <c r="AA286" s="15"/>
      <c r="AB286" s="15"/>
    </row>
    <row r="287" spans="1:28" s="46" customFormat="1" ht="19.899999999999999" customHeight="1" x14ac:dyDescent="0.15">
      <c r="A287" s="34"/>
      <c r="B287" s="96"/>
      <c r="C287" s="29"/>
      <c r="D287" s="32" t="str">
        <f t="shared" si="138"/>
        <v/>
      </c>
      <c r="E287" s="15"/>
      <c r="F287" s="15"/>
      <c r="G287" s="15"/>
      <c r="H287" s="15"/>
      <c r="I287" s="15"/>
      <c r="J287" s="29"/>
      <c r="K287" s="15"/>
      <c r="L287" s="29"/>
      <c r="M287" s="32" t="str">
        <f t="shared" si="139"/>
        <v/>
      </c>
      <c r="N287" s="15"/>
      <c r="O287" s="137"/>
      <c r="P287" s="15"/>
      <c r="Q287" s="15"/>
      <c r="R287" s="15"/>
      <c r="S287" s="15"/>
      <c r="T287" s="15"/>
      <c r="U287" s="32" t="str">
        <f t="shared" si="135"/>
        <v/>
      </c>
      <c r="V287" s="15"/>
      <c r="W287" s="15"/>
      <c r="X287" s="32" t="str">
        <f t="shared" si="136"/>
        <v/>
      </c>
      <c r="Y287" s="32" t="str">
        <f t="shared" si="137"/>
        <v/>
      </c>
      <c r="Z287" s="15"/>
      <c r="AA287" s="15"/>
      <c r="AB287" s="15"/>
    </row>
    <row r="288" spans="1:28" s="46" customFormat="1" ht="19.899999999999999" customHeight="1" x14ac:dyDescent="0.15">
      <c r="A288" s="34"/>
      <c r="B288" s="96"/>
      <c r="C288" s="29"/>
      <c r="D288" s="32" t="str">
        <f t="shared" si="138"/>
        <v/>
      </c>
      <c r="E288" s="15"/>
      <c r="F288" s="15"/>
      <c r="G288" s="15"/>
      <c r="H288" s="15"/>
      <c r="I288" s="15"/>
      <c r="J288" s="29"/>
      <c r="K288" s="15"/>
      <c r="L288" s="29"/>
      <c r="M288" s="32" t="str">
        <f t="shared" si="139"/>
        <v/>
      </c>
      <c r="N288" s="15"/>
      <c r="O288" s="137"/>
      <c r="P288" s="15"/>
      <c r="Q288" s="15"/>
      <c r="R288" s="15"/>
      <c r="S288" s="15"/>
      <c r="T288" s="15"/>
      <c r="U288" s="32" t="str">
        <f t="shared" si="135"/>
        <v/>
      </c>
      <c r="V288" s="15"/>
      <c r="W288" s="15"/>
      <c r="X288" s="32" t="str">
        <f t="shared" si="136"/>
        <v/>
      </c>
      <c r="Y288" s="32" t="str">
        <f t="shared" si="137"/>
        <v/>
      </c>
      <c r="Z288" s="15"/>
      <c r="AA288" s="15"/>
      <c r="AB288" s="15"/>
    </row>
    <row r="289" spans="1:28" s="46" customFormat="1" ht="19.899999999999999" customHeight="1" x14ac:dyDescent="0.15">
      <c r="A289" s="34"/>
      <c r="B289" s="96"/>
      <c r="C289" s="29"/>
      <c r="D289" s="32" t="str">
        <f t="shared" si="138"/>
        <v/>
      </c>
      <c r="E289" s="15"/>
      <c r="F289" s="15"/>
      <c r="G289" s="15"/>
      <c r="H289" s="15"/>
      <c r="I289" s="15"/>
      <c r="J289" s="29"/>
      <c r="K289" s="15"/>
      <c r="L289" s="29"/>
      <c r="M289" s="32" t="str">
        <f t="shared" si="139"/>
        <v/>
      </c>
      <c r="N289" s="15"/>
      <c r="O289" s="137"/>
      <c r="P289" s="15"/>
      <c r="Q289" s="15"/>
      <c r="R289" s="15"/>
      <c r="S289" s="15"/>
      <c r="T289" s="15"/>
      <c r="U289" s="32" t="str">
        <f t="shared" si="135"/>
        <v/>
      </c>
      <c r="V289" s="15"/>
      <c r="W289" s="15"/>
      <c r="X289" s="32" t="str">
        <f t="shared" si="136"/>
        <v/>
      </c>
      <c r="Y289" s="32" t="str">
        <f t="shared" si="137"/>
        <v/>
      </c>
      <c r="Z289" s="15"/>
      <c r="AA289" s="15"/>
      <c r="AB289" s="15"/>
    </row>
    <row r="290" spans="1:28" s="46" customFormat="1" ht="19.899999999999999" customHeight="1" x14ac:dyDescent="0.15">
      <c r="A290" s="34"/>
      <c r="B290" s="96"/>
      <c r="C290" s="29"/>
      <c r="D290" s="32" t="str">
        <f t="shared" si="138"/>
        <v/>
      </c>
      <c r="E290" s="15"/>
      <c r="F290" s="15"/>
      <c r="G290" s="15"/>
      <c r="H290" s="15"/>
      <c r="I290" s="15"/>
      <c r="J290" s="29"/>
      <c r="K290" s="15"/>
      <c r="L290" s="29"/>
      <c r="M290" s="32" t="str">
        <f t="shared" si="139"/>
        <v/>
      </c>
      <c r="N290" s="15"/>
      <c r="O290" s="137"/>
      <c r="P290" s="15"/>
      <c r="Q290" s="15"/>
      <c r="R290" s="15"/>
      <c r="S290" s="15"/>
      <c r="T290" s="15"/>
      <c r="U290" s="32" t="str">
        <f t="shared" si="135"/>
        <v/>
      </c>
      <c r="V290" s="15"/>
      <c r="W290" s="15"/>
      <c r="X290" s="32" t="str">
        <f t="shared" si="136"/>
        <v/>
      </c>
      <c r="Y290" s="32" t="str">
        <f t="shared" si="137"/>
        <v/>
      </c>
      <c r="Z290" s="15"/>
      <c r="AA290" s="15"/>
      <c r="AB290" s="15"/>
    </row>
    <row r="291" spans="1:28" s="46" customFormat="1" ht="19.899999999999999" customHeight="1" x14ac:dyDescent="0.15">
      <c r="A291" s="34"/>
      <c r="B291" s="96"/>
      <c r="C291" s="29"/>
      <c r="D291" s="32" t="str">
        <f t="shared" si="138"/>
        <v/>
      </c>
      <c r="E291" s="15"/>
      <c r="F291" s="15"/>
      <c r="G291" s="15"/>
      <c r="H291" s="15"/>
      <c r="I291" s="15"/>
      <c r="J291" s="29"/>
      <c r="K291" s="15"/>
      <c r="L291" s="29"/>
      <c r="M291" s="32" t="str">
        <f t="shared" si="139"/>
        <v/>
      </c>
      <c r="N291" s="15"/>
      <c r="O291" s="137"/>
      <c r="P291" s="15"/>
      <c r="Q291" s="15"/>
      <c r="R291" s="15"/>
      <c r="S291" s="15"/>
      <c r="T291" s="15"/>
      <c r="U291" s="32" t="str">
        <f t="shared" si="135"/>
        <v/>
      </c>
      <c r="V291" s="15"/>
      <c r="W291" s="15"/>
      <c r="X291" s="32" t="str">
        <f t="shared" si="136"/>
        <v/>
      </c>
      <c r="Y291" s="32" t="str">
        <f t="shared" si="137"/>
        <v/>
      </c>
      <c r="Z291" s="15"/>
      <c r="AA291" s="15"/>
      <c r="AB291" s="15"/>
    </row>
    <row r="292" spans="1:28" s="46" customFormat="1" ht="19.899999999999999" customHeight="1" x14ac:dyDescent="0.15">
      <c r="A292" s="34"/>
      <c r="B292" s="96"/>
      <c r="C292" s="29"/>
      <c r="D292" s="32" t="str">
        <f t="shared" si="138"/>
        <v/>
      </c>
      <c r="E292" s="15"/>
      <c r="F292" s="15"/>
      <c r="G292" s="15"/>
      <c r="H292" s="15"/>
      <c r="I292" s="15"/>
      <c r="J292" s="29"/>
      <c r="K292" s="15"/>
      <c r="L292" s="29"/>
      <c r="M292" s="32" t="str">
        <f t="shared" si="139"/>
        <v/>
      </c>
      <c r="N292" s="15"/>
      <c r="O292" s="137"/>
      <c r="P292" s="15"/>
      <c r="Q292" s="15"/>
      <c r="R292" s="15"/>
      <c r="S292" s="15"/>
      <c r="T292" s="15"/>
      <c r="U292" s="32" t="str">
        <f t="shared" si="135"/>
        <v/>
      </c>
      <c r="V292" s="15"/>
      <c r="W292" s="15"/>
      <c r="X292" s="32" t="str">
        <f t="shared" si="136"/>
        <v/>
      </c>
      <c r="Y292" s="32" t="str">
        <f t="shared" si="137"/>
        <v/>
      </c>
      <c r="Z292" s="15"/>
      <c r="AA292" s="15"/>
      <c r="AB292" s="15"/>
    </row>
    <row r="293" spans="1:28" s="46" customFormat="1" ht="19.899999999999999" customHeight="1" x14ac:dyDescent="0.15">
      <c r="A293" s="34"/>
      <c r="B293" s="96"/>
      <c r="C293" s="29"/>
      <c r="D293" s="32" t="str">
        <f t="shared" si="138"/>
        <v/>
      </c>
      <c r="E293" s="15"/>
      <c r="F293" s="15"/>
      <c r="G293" s="15"/>
      <c r="H293" s="15"/>
      <c r="I293" s="15"/>
      <c r="J293" s="29"/>
      <c r="K293" s="15"/>
      <c r="L293" s="29"/>
      <c r="M293" s="32" t="str">
        <f t="shared" si="139"/>
        <v/>
      </c>
      <c r="N293" s="15"/>
      <c r="O293" s="137"/>
      <c r="P293" s="15"/>
      <c r="Q293" s="15"/>
      <c r="R293" s="15"/>
      <c r="S293" s="15"/>
      <c r="T293" s="15"/>
      <c r="U293" s="32" t="str">
        <f t="shared" si="135"/>
        <v/>
      </c>
      <c r="V293" s="15"/>
      <c r="W293" s="15"/>
      <c r="X293" s="32" t="str">
        <f t="shared" si="136"/>
        <v/>
      </c>
      <c r="Y293" s="32" t="str">
        <f t="shared" si="137"/>
        <v/>
      </c>
      <c r="Z293" s="15"/>
      <c r="AA293" s="15"/>
      <c r="AB293" s="15"/>
    </row>
    <row r="294" spans="1:28" s="46" customFormat="1" ht="19.899999999999999" customHeight="1" x14ac:dyDescent="0.15">
      <c r="A294" s="34"/>
      <c r="B294" s="96"/>
      <c r="C294" s="29"/>
      <c r="D294" s="32" t="str">
        <f t="shared" si="138"/>
        <v/>
      </c>
      <c r="E294" s="15"/>
      <c r="F294" s="15"/>
      <c r="G294" s="15"/>
      <c r="H294" s="15"/>
      <c r="I294" s="15"/>
      <c r="J294" s="29"/>
      <c r="K294" s="15"/>
      <c r="L294" s="29"/>
      <c r="M294" s="32" t="str">
        <f t="shared" si="139"/>
        <v/>
      </c>
      <c r="N294" s="15"/>
      <c r="O294" s="137"/>
      <c r="P294" s="15"/>
      <c r="Q294" s="15"/>
      <c r="R294" s="15"/>
      <c r="S294" s="15"/>
      <c r="T294" s="15"/>
      <c r="U294" s="32" t="str">
        <f t="shared" si="135"/>
        <v/>
      </c>
      <c r="V294" s="15"/>
      <c r="W294" s="15"/>
      <c r="X294" s="32" t="str">
        <f t="shared" si="136"/>
        <v/>
      </c>
      <c r="Y294" s="32" t="str">
        <f t="shared" si="137"/>
        <v/>
      </c>
      <c r="Z294" s="15"/>
      <c r="AA294" s="15"/>
      <c r="AB294" s="15"/>
    </row>
    <row r="295" spans="1:28" s="46" customFormat="1" ht="19.899999999999999" customHeight="1" x14ac:dyDescent="0.15">
      <c r="A295" s="34"/>
      <c r="B295" s="96"/>
      <c r="C295" s="29"/>
      <c r="D295" s="32" t="str">
        <f t="shared" si="138"/>
        <v/>
      </c>
      <c r="E295" s="15"/>
      <c r="F295" s="15"/>
      <c r="G295" s="15"/>
      <c r="H295" s="15"/>
      <c r="I295" s="15"/>
      <c r="J295" s="29"/>
      <c r="K295" s="15"/>
      <c r="L295" s="29"/>
      <c r="M295" s="32" t="str">
        <f t="shared" si="139"/>
        <v/>
      </c>
      <c r="N295" s="15"/>
      <c r="O295" s="137"/>
      <c r="P295" s="15"/>
      <c r="Q295" s="15"/>
      <c r="R295" s="15"/>
      <c r="S295" s="15"/>
      <c r="T295" s="15"/>
      <c r="U295" s="32" t="str">
        <f t="shared" si="135"/>
        <v/>
      </c>
      <c r="V295" s="15"/>
      <c r="W295" s="15"/>
      <c r="X295" s="32" t="str">
        <f t="shared" si="136"/>
        <v/>
      </c>
      <c r="Y295" s="32" t="str">
        <f t="shared" si="137"/>
        <v/>
      </c>
      <c r="Z295" s="15"/>
      <c r="AA295" s="15"/>
      <c r="AB295" s="15"/>
    </row>
    <row r="296" spans="1:28" s="46" customFormat="1" ht="19.899999999999999" customHeight="1" x14ac:dyDescent="0.15">
      <c r="A296" s="34"/>
      <c r="B296" s="96"/>
      <c r="C296" s="29"/>
      <c r="D296" s="32" t="str">
        <f t="shared" si="138"/>
        <v/>
      </c>
      <c r="E296" s="15"/>
      <c r="F296" s="15"/>
      <c r="G296" s="15"/>
      <c r="H296" s="15"/>
      <c r="I296" s="15"/>
      <c r="J296" s="29"/>
      <c r="K296" s="15"/>
      <c r="L296" s="29"/>
      <c r="M296" s="32" t="str">
        <f t="shared" si="139"/>
        <v/>
      </c>
      <c r="N296" s="15"/>
      <c r="O296" s="137"/>
      <c r="P296" s="15"/>
      <c r="Q296" s="15"/>
      <c r="R296" s="15"/>
      <c r="S296" s="15"/>
      <c r="T296" s="15"/>
      <c r="U296" s="32" t="str">
        <f t="shared" si="135"/>
        <v/>
      </c>
      <c r="V296" s="15"/>
      <c r="W296" s="15"/>
      <c r="X296" s="32" t="str">
        <f t="shared" si="136"/>
        <v/>
      </c>
      <c r="Y296" s="32" t="str">
        <f t="shared" si="137"/>
        <v/>
      </c>
      <c r="Z296" s="15"/>
      <c r="AA296" s="15"/>
      <c r="AB296" s="15"/>
    </row>
    <row r="297" spans="1:28" s="46" customFormat="1" ht="19.899999999999999" customHeight="1" x14ac:dyDescent="0.15">
      <c r="A297" s="34"/>
      <c r="B297" s="96"/>
      <c r="C297" s="29"/>
      <c r="D297" s="32" t="str">
        <f t="shared" si="138"/>
        <v/>
      </c>
      <c r="E297" s="15"/>
      <c r="F297" s="15"/>
      <c r="G297" s="15"/>
      <c r="H297" s="15"/>
      <c r="I297" s="15"/>
      <c r="J297" s="29"/>
      <c r="K297" s="15"/>
      <c r="L297" s="29"/>
      <c r="M297" s="32" t="str">
        <f t="shared" si="139"/>
        <v/>
      </c>
      <c r="N297" s="15"/>
      <c r="O297" s="137"/>
      <c r="P297" s="15"/>
      <c r="Q297" s="15"/>
      <c r="R297" s="15"/>
      <c r="S297" s="15"/>
      <c r="T297" s="15"/>
      <c r="U297" s="32" t="str">
        <f t="shared" si="135"/>
        <v/>
      </c>
      <c r="V297" s="15"/>
      <c r="W297" s="15"/>
      <c r="X297" s="32" t="str">
        <f t="shared" si="136"/>
        <v/>
      </c>
      <c r="Y297" s="32" t="str">
        <f t="shared" si="137"/>
        <v/>
      </c>
      <c r="Z297" s="15"/>
      <c r="AA297" s="15"/>
      <c r="AB297" s="15"/>
    </row>
    <row r="298" spans="1:28" s="46" customFormat="1" ht="19.899999999999999" customHeight="1" x14ac:dyDescent="0.15">
      <c r="A298" s="34"/>
      <c r="B298" s="96"/>
      <c r="C298" s="29"/>
      <c r="D298" s="32" t="str">
        <f t="shared" si="138"/>
        <v/>
      </c>
      <c r="E298" s="15"/>
      <c r="F298" s="15"/>
      <c r="G298" s="15"/>
      <c r="H298" s="15"/>
      <c r="I298" s="15"/>
      <c r="J298" s="29"/>
      <c r="K298" s="15"/>
      <c r="L298" s="29"/>
      <c r="M298" s="32" t="str">
        <f t="shared" si="139"/>
        <v/>
      </c>
      <c r="N298" s="15"/>
      <c r="O298" s="137"/>
      <c r="P298" s="15"/>
      <c r="Q298" s="15"/>
      <c r="R298" s="15"/>
      <c r="S298" s="15"/>
      <c r="T298" s="15"/>
      <c r="U298" s="32" t="str">
        <f t="shared" si="135"/>
        <v/>
      </c>
      <c r="V298" s="15"/>
      <c r="W298" s="15"/>
      <c r="X298" s="32" t="str">
        <f t="shared" si="136"/>
        <v/>
      </c>
      <c r="Y298" s="32" t="str">
        <f t="shared" si="137"/>
        <v/>
      </c>
      <c r="Z298" s="15"/>
      <c r="AA298" s="15"/>
      <c r="AB298" s="15"/>
    </row>
    <row r="299" spans="1:28" s="46" customFormat="1" ht="19.899999999999999" customHeight="1" x14ac:dyDescent="0.15">
      <c r="A299" s="34"/>
      <c r="B299" s="96"/>
      <c r="C299" s="29"/>
      <c r="D299" s="32" t="str">
        <f t="shared" si="138"/>
        <v/>
      </c>
      <c r="E299" s="15"/>
      <c r="F299" s="15"/>
      <c r="G299" s="15"/>
      <c r="H299" s="15"/>
      <c r="I299" s="15"/>
      <c r="J299" s="29"/>
      <c r="K299" s="15"/>
      <c r="L299" s="29"/>
      <c r="M299" s="32" t="str">
        <f t="shared" si="139"/>
        <v/>
      </c>
      <c r="N299" s="15"/>
      <c r="O299" s="137"/>
      <c r="P299" s="15"/>
      <c r="Q299" s="15"/>
      <c r="R299" s="15"/>
      <c r="S299" s="15"/>
      <c r="T299" s="15"/>
      <c r="U299" s="32" t="str">
        <f t="shared" si="135"/>
        <v/>
      </c>
      <c r="V299" s="15"/>
      <c r="W299" s="15"/>
      <c r="X299" s="32" t="str">
        <f t="shared" si="136"/>
        <v/>
      </c>
      <c r="Y299" s="32" t="str">
        <f t="shared" si="137"/>
        <v/>
      </c>
      <c r="Z299" s="15"/>
      <c r="AA299" s="15"/>
      <c r="AB299" s="15"/>
    </row>
    <row r="300" spans="1:28" s="46" customFormat="1" ht="19.899999999999999" customHeight="1" x14ac:dyDescent="0.15">
      <c r="A300" s="34"/>
      <c r="B300" s="96"/>
      <c r="C300" s="29"/>
      <c r="D300" s="32" t="str">
        <f t="shared" si="138"/>
        <v/>
      </c>
      <c r="E300" s="15"/>
      <c r="F300" s="15"/>
      <c r="G300" s="15"/>
      <c r="H300" s="15"/>
      <c r="I300" s="15"/>
      <c r="J300" s="29"/>
      <c r="K300" s="15"/>
      <c r="L300" s="29"/>
      <c r="M300" s="32" t="str">
        <f t="shared" si="139"/>
        <v/>
      </c>
      <c r="N300" s="15"/>
      <c r="O300" s="137"/>
      <c r="P300" s="15"/>
      <c r="Q300" s="15"/>
      <c r="R300" s="15"/>
      <c r="S300" s="15"/>
      <c r="T300" s="15"/>
      <c r="U300" s="32" t="str">
        <f t="shared" si="135"/>
        <v/>
      </c>
      <c r="V300" s="15"/>
      <c r="W300" s="15"/>
      <c r="X300" s="32" t="str">
        <f t="shared" si="136"/>
        <v/>
      </c>
      <c r="Y300" s="32" t="str">
        <f t="shared" si="137"/>
        <v/>
      </c>
      <c r="Z300" s="15"/>
      <c r="AA300" s="15"/>
      <c r="AB300" s="15"/>
    </row>
    <row r="301" spans="1:28" s="46" customFormat="1" ht="19.899999999999999" customHeight="1" x14ac:dyDescent="0.15">
      <c r="A301" s="34"/>
      <c r="B301" s="96"/>
      <c r="C301" s="29"/>
      <c r="D301" s="32" t="str">
        <f t="shared" si="138"/>
        <v/>
      </c>
      <c r="E301" s="15"/>
      <c r="F301" s="15"/>
      <c r="G301" s="15"/>
      <c r="H301" s="15"/>
      <c r="I301" s="15"/>
      <c r="J301" s="29"/>
      <c r="K301" s="15"/>
      <c r="L301" s="29"/>
      <c r="M301" s="32" t="str">
        <f t="shared" si="139"/>
        <v/>
      </c>
      <c r="N301" s="15"/>
      <c r="O301" s="137"/>
      <c r="P301" s="15"/>
      <c r="Q301" s="15"/>
      <c r="R301" s="15"/>
      <c r="S301" s="15"/>
      <c r="T301" s="15"/>
      <c r="U301" s="32" t="str">
        <f t="shared" si="135"/>
        <v/>
      </c>
      <c r="V301" s="15"/>
      <c r="W301" s="15"/>
      <c r="X301" s="32" t="str">
        <f t="shared" si="136"/>
        <v/>
      </c>
      <c r="Y301" s="32" t="str">
        <f t="shared" si="137"/>
        <v/>
      </c>
      <c r="Z301" s="15"/>
      <c r="AA301" s="15"/>
      <c r="AB301" s="15"/>
    </row>
    <row r="302" spans="1:28" s="46" customFormat="1" ht="19.899999999999999" customHeight="1" x14ac:dyDescent="0.15">
      <c r="A302" s="34"/>
      <c r="B302" s="96"/>
      <c r="C302" s="29"/>
      <c r="D302" s="32" t="str">
        <f t="shared" si="138"/>
        <v/>
      </c>
      <c r="E302" s="15"/>
      <c r="F302" s="15"/>
      <c r="G302" s="15"/>
      <c r="H302" s="15"/>
      <c r="I302" s="15"/>
      <c r="J302" s="29"/>
      <c r="K302" s="15"/>
      <c r="L302" s="29"/>
      <c r="M302" s="32" t="str">
        <f t="shared" si="139"/>
        <v/>
      </c>
      <c r="N302" s="15"/>
      <c r="O302" s="137"/>
      <c r="P302" s="15"/>
      <c r="Q302" s="15"/>
      <c r="R302" s="15"/>
      <c r="S302" s="15"/>
      <c r="T302" s="15"/>
      <c r="U302" s="32" t="str">
        <f t="shared" si="135"/>
        <v/>
      </c>
      <c r="V302" s="15"/>
      <c r="W302" s="15"/>
      <c r="X302" s="32" t="str">
        <f t="shared" si="136"/>
        <v/>
      </c>
      <c r="Y302" s="32" t="str">
        <f t="shared" si="137"/>
        <v/>
      </c>
      <c r="Z302" s="15"/>
      <c r="AA302" s="15"/>
      <c r="AB302" s="15"/>
    </row>
    <row r="303" spans="1:28" s="46" customFormat="1" ht="19.899999999999999" customHeight="1" x14ac:dyDescent="0.15">
      <c r="A303" s="34"/>
      <c r="B303" s="96"/>
      <c r="C303" s="29"/>
      <c r="D303" s="32" t="str">
        <f t="shared" si="138"/>
        <v/>
      </c>
      <c r="E303" s="15"/>
      <c r="F303" s="15"/>
      <c r="G303" s="15"/>
      <c r="H303" s="15"/>
      <c r="I303" s="15"/>
      <c r="J303" s="29"/>
      <c r="K303" s="15"/>
      <c r="L303" s="29"/>
      <c r="M303" s="32" t="str">
        <f t="shared" si="139"/>
        <v/>
      </c>
      <c r="N303" s="15"/>
      <c r="O303" s="137"/>
      <c r="P303" s="15"/>
      <c r="Q303" s="15"/>
      <c r="R303" s="15"/>
      <c r="S303" s="15"/>
      <c r="T303" s="15"/>
      <c r="U303" s="32" t="str">
        <f t="shared" si="135"/>
        <v/>
      </c>
      <c r="V303" s="15"/>
      <c r="W303" s="15"/>
      <c r="X303" s="32" t="str">
        <f t="shared" si="136"/>
        <v/>
      </c>
      <c r="Y303" s="32" t="str">
        <f t="shared" si="137"/>
        <v/>
      </c>
      <c r="Z303" s="15"/>
      <c r="AA303" s="15"/>
      <c r="AB303" s="15"/>
    </row>
    <row r="304" spans="1:28" s="46" customFormat="1" ht="19.899999999999999" customHeight="1" x14ac:dyDescent="0.15">
      <c r="A304" s="34"/>
      <c r="B304" s="96"/>
      <c r="C304" s="29"/>
      <c r="D304" s="32" t="str">
        <f t="shared" si="138"/>
        <v/>
      </c>
      <c r="E304" s="15"/>
      <c r="F304" s="15"/>
      <c r="G304" s="15"/>
      <c r="H304" s="15"/>
      <c r="I304" s="15"/>
      <c r="J304" s="29"/>
      <c r="K304" s="15"/>
      <c r="L304" s="29"/>
      <c r="M304" s="32" t="str">
        <f t="shared" si="139"/>
        <v/>
      </c>
      <c r="N304" s="15"/>
      <c r="O304" s="137"/>
      <c r="P304" s="15"/>
      <c r="Q304" s="15"/>
      <c r="R304" s="15"/>
      <c r="S304" s="15"/>
      <c r="T304" s="15"/>
      <c r="U304" s="32" t="str">
        <f t="shared" si="135"/>
        <v/>
      </c>
      <c r="V304" s="15"/>
      <c r="W304" s="15"/>
      <c r="X304" s="32" t="str">
        <f t="shared" si="136"/>
        <v/>
      </c>
      <c r="Y304" s="32" t="str">
        <f t="shared" si="137"/>
        <v/>
      </c>
      <c r="Z304" s="15"/>
      <c r="AA304" s="15"/>
      <c r="AB304" s="15"/>
    </row>
    <row r="305" spans="1:28" s="46" customFormat="1" ht="19.899999999999999" customHeight="1" x14ac:dyDescent="0.15">
      <c r="A305" s="34"/>
      <c r="B305" s="96"/>
      <c r="C305" s="29"/>
      <c r="D305" s="32" t="str">
        <f t="shared" si="138"/>
        <v/>
      </c>
      <c r="E305" s="15"/>
      <c r="F305" s="15"/>
      <c r="G305" s="15"/>
      <c r="H305" s="15"/>
      <c r="I305" s="15"/>
      <c r="J305" s="29"/>
      <c r="K305" s="15"/>
      <c r="L305" s="29"/>
      <c r="M305" s="32" t="str">
        <f t="shared" si="139"/>
        <v/>
      </c>
      <c r="N305" s="15"/>
      <c r="O305" s="137"/>
      <c r="P305" s="15"/>
      <c r="Q305" s="15"/>
      <c r="R305" s="15"/>
      <c r="S305" s="15"/>
      <c r="T305" s="15"/>
      <c r="U305" s="32" t="str">
        <f t="shared" si="135"/>
        <v/>
      </c>
      <c r="V305" s="15"/>
      <c r="W305" s="15"/>
      <c r="X305" s="32" t="str">
        <f t="shared" si="136"/>
        <v/>
      </c>
      <c r="Y305" s="32" t="str">
        <f t="shared" si="137"/>
        <v/>
      </c>
      <c r="Z305" s="15"/>
      <c r="AA305" s="15"/>
      <c r="AB305" s="15"/>
    </row>
    <row r="306" spans="1:28" s="46" customFormat="1" ht="19.899999999999999" customHeight="1" x14ac:dyDescent="0.15">
      <c r="A306" s="34"/>
      <c r="B306" s="96"/>
      <c r="C306" s="29"/>
      <c r="D306" s="32" t="str">
        <f t="shared" si="138"/>
        <v/>
      </c>
      <c r="E306" s="15"/>
      <c r="F306" s="15"/>
      <c r="G306" s="15"/>
      <c r="H306" s="15"/>
      <c r="I306" s="15"/>
      <c r="J306" s="29"/>
      <c r="K306" s="15"/>
      <c r="L306" s="29"/>
      <c r="M306" s="32" t="str">
        <f t="shared" si="139"/>
        <v/>
      </c>
      <c r="N306" s="15"/>
      <c r="O306" s="137"/>
      <c r="P306" s="15"/>
      <c r="Q306" s="15"/>
      <c r="R306" s="15"/>
      <c r="S306" s="15"/>
      <c r="T306" s="15"/>
      <c r="U306" s="32" t="str">
        <f t="shared" si="135"/>
        <v/>
      </c>
      <c r="V306" s="15"/>
      <c r="W306" s="15"/>
      <c r="X306" s="32" t="str">
        <f t="shared" si="136"/>
        <v/>
      </c>
      <c r="Y306" s="32" t="str">
        <f t="shared" si="137"/>
        <v/>
      </c>
      <c r="Z306" s="15"/>
      <c r="AA306" s="15"/>
      <c r="AB306" s="15"/>
    </row>
    <row r="307" spans="1:28" s="46" customFormat="1" ht="19.899999999999999" customHeight="1" x14ac:dyDescent="0.15">
      <c r="A307" s="34"/>
      <c r="B307" s="96"/>
      <c r="C307" s="29"/>
      <c r="D307" s="32" t="str">
        <f t="shared" si="138"/>
        <v/>
      </c>
      <c r="E307" s="15"/>
      <c r="F307" s="15"/>
      <c r="G307" s="15"/>
      <c r="H307" s="15"/>
      <c r="I307" s="15"/>
      <c r="J307" s="29"/>
      <c r="K307" s="15"/>
      <c r="L307" s="29"/>
      <c r="M307" s="32" t="str">
        <f t="shared" si="139"/>
        <v/>
      </c>
      <c r="N307" s="15"/>
      <c r="O307" s="137"/>
      <c r="P307" s="15"/>
      <c r="Q307" s="15"/>
      <c r="R307" s="15"/>
      <c r="S307" s="15"/>
      <c r="T307" s="15"/>
      <c r="U307" s="32" t="str">
        <f t="shared" si="135"/>
        <v/>
      </c>
      <c r="V307" s="15"/>
      <c r="W307" s="15"/>
      <c r="X307" s="32" t="str">
        <f t="shared" si="136"/>
        <v/>
      </c>
      <c r="Y307" s="32" t="str">
        <f t="shared" si="137"/>
        <v/>
      </c>
      <c r="Z307" s="15"/>
      <c r="AA307" s="15"/>
      <c r="AB307" s="15"/>
    </row>
    <row r="308" spans="1:28" s="46" customFormat="1" ht="19.899999999999999" customHeight="1" x14ac:dyDescent="0.15">
      <c r="A308" s="34"/>
      <c r="B308" s="96"/>
      <c r="C308" s="29"/>
      <c r="D308" s="32" t="str">
        <f t="shared" si="138"/>
        <v/>
      </c>
      <c r="E308" s="15"/>
      <c r="F308" s="15"/>
      <c r="G308" s="15"/>
      <c r="H308" s="15"/>
      <c r="I308" s="15"/>
      <c r="J308" s="29"/>
      <c r="K308" s="15"/>
      <c r="L308" s="29"/>
      <c r="M308" s="32" t="str">
        <f t="shared" si="139"/>
        <v/>
      </c>
      <c r="N308" s="15"/>
      <c r="O308" s="137"/>
      <c r="P308" s="15"/>
      <c r="Q308" s="15"/>
      <c r="R308" s="15"/>
      <c r="S308" s="15"/>
      <c r="T308" s="15"/>
      <c r="U308" s="32" t="str">
        <f t="shared" si="135"/>
        <v/>
      </c>
      <c r="V308" s="15"/>
      <c r="W308" s="15"/>
      <c r="X308" s="32" t="str">
        <f t="shared" si="136"/>
        <v/>
      </c>
      <c r="Y308" s="32" t="str">
        <f t="shared" si="137"/>
        <v/>
      </c>
      <c r="Z308" s="15"/>
      <c r="AA308" s="15"/>
      <c r="AB308" s="15"/>
    </row>
    <row r="309" spans="1:28" s="46" customFormat="1" ht="19.899999999999999" customHeight="1" x14ac:dyDescent="0.15">
      <c r="A309" s="34"/>
      <c r="B309" s="96"/>
      <c r="C309" s="29"/>
      <c r="D309" s="32" t="str">
        <f t="shared" si="138"/>
        <v/>
      </c>
      <c r="E309" s="15"/>
      <c r="F309" s="15"/>
      <c r="G309" s="15"/>
      <c r="H309" s="15"/>
      <c r="I309" s="15"/>
      <c r="J309" s="29"/>
      <c r="K309" s="15"/>
      <c r="L309" s="29"/>
      <c r="M309" s="32" t="str">
        <f t="shared" si="139"/>
        <v/>
      </c>
      <c r="N309" s="15"/>
      <c r="O309" s="137"/>
      <c r="P309" s="15"/>
      <c r="Q309" s="15"/>
      <c r="R309" s="15"/>
      <c r="S309" s="15"/>
      <c r="T309" s="15"/>
      <c r="U309" s="32" t="str">
        <f t="shared" si="135"/>
        <v/>
      </c>
      <c r="V309" s="15"/>
      <c r="W309" s="15"/>
      <c r="X309" s="32" t="str">
        <f t="shared" si="136"/>
        <v/>
      </c>
      <c r="Y309" s="32" t="str">
        <f t="shared" si="137"/>
        <v/>
      </c>
      <c r="Z309" s="15"/>
      <c r="AA309" s="15"/>
      <c r="AB309" s="15"/>
    </row>
    <row r="310" spans="1:28" s="46" customFormat="1" ht="19.899999999999999" customHeight="1" x14ac:dyDescent="0.15">
      <c r="A310" s="34"/>
      <c r="B310" s="96"/>
      <c r="C310" s="29"/>
      <c r="D310" s="32" t="str">
        <f t="shared" si="138"/>
        <v/>
      </c>
      <c r="E310" s="15"/>
      <c r="F310" s="15"/>
      <c r="G310" s="15"/>
      <c r="H310" s="15"/>
      <c r="I310" s="15"/>
      <c r="J310" s="29"/>
      <c r="K310" s="15"/>
      <c r="L310" s="29"/>
      <c r="M310" s="32" t="str">
        <f t="shared" si="139"/>
        <v/>
      </c>
      <c r="N310" s="15"/>
      <c r="O310" s="137"/>
      <c r="P310" s="15"/>
      <c r="Q310" s="15"/>
      <c r="R310" s="15"/>
      <c r="S310" s="15"/>
      <c r="T310" s="15"/>
      <c r="U310" s="32" t="str">
        <f t="shared" si="135"/>
        <v/>
      </c>
      <c r="V310" s="15"/>
      <c r="W310" s="15"/>
      <c r="X310" s="32" t="str">
        <f t="shared" si="136"/>
        <v/>
      </c>
      <c r="Y310" s="32" t="str">
        <f t="shared" si="137"/>
        <v/>
      </c>
      <c r="Z310" s="15"/>
      <c r="AA310" s="15"/>
      <c r="AB310" s="15"/>
    </row>
    <row r="311" spans="1:28" s="46" customFormat="1" ht="19.899999999999999" customHeight="1" x14ac:dyDescent="0.15">
      <c r="A311" s="34"/>
      <c r="B311" s="96"/>
      <c r="C311" s="29"/>
      <c r="D311" s="32" t="str">
        <f t="shared" si="138"/>
        <v/>
      </c>
      <c r="E311" s="15"/>
      <c r="F311" s="15"/>
      <c r="G311" s="15"/>
      <c r="H311" s="15"/>
      <c r="I311" s="15"/>
      <c r="J311" s="29"/>
      <c r="K311" s="15"/>
      <c r="L311" s="29"/>
      <c r="M311" s="32" t="str">
        <f t="shared" si="139"/>
        <v/>
      </c>
      <c r="N311" s="15"/>
      <c r="O311" s="137"/>
      <c r="P311" s="15"/>
      <c r="Q311" s="15"/>
      <c r="R311" s="15"/>
      <c r="S311" s="15"/>
      <c r="T311" s="15"/>
      <c r="U311" s="32" t="str">
        <f t="shared" si="135"/>
        <v/>
      </c>
      <c r="V311" s="15"/>
      <c r="W311" s="15"/>
      <c r="X311" s="32" t="str">
        <f t="shared" si="136"/>
        <v/>
      </c>
      <c r="Y311" s="32" t="str">
        <f t="shared" si="137"/>
        <v/>
      </c>
      <c r="Z311" s="15"/>
      <c r="AA311" s="15"/>
      <c r="AB311" s="15"/>
    </row>
    <row r="312" spans="1:28" s="46" customFormat="1" ht="19.899999999999999" customHeight="1" x14ac:dyDescent="0.15">
      <c r="A312" s="34"/>
      <c r="B312" s="96"/>
      <c r="C312" s="29"/>
      <c r="D312" s="32" t="str">
        <f t="shared" si="138"/>
        <v/>
      </c>
      <c r="E312" s="15"/>
      <c r="F312" s="15"/>
      <c r="G312" s="15"/>
      <c r="H312" s="15"/>
      <c r="I312" s="15"/>
      <c r="J312" s="29"/>
      <c r="K312" s="15"/>
      <c r="L312" s="29"/>
      <c r="M312" s="32" t="str">
        <f t="shared" si="139"/>
        <v/>
      </c>
      <c r="N312" s="15"/>
      <c r="O312" s="137"/>
      <c r="P312" s="15"/>
      <c r="Q312" s="15"/>
      <c r="R312" s="15"/>
      <c r="S312" s="15"/>
      <c r="T312" s="15"/>
      <c r="U312" s="32" t="str">
        <f t="shared" si="135"/>
        <v/>
      </c>
      <c r="V312" s="15"/>
      <c r="W312" s="15"/>
      <c r="X312" s="32" t="str">
        <f t="shared" si="136"/>
        <v/>
      </c>
      <c r="Y312" s="32" t="str">
        <f t="shared" si="137"/>
        <v/>
      </c>
      <c r="Z312" s="15"/>
      <c r="AA312" s="15"/>
      <c r="AB312" s="15"/>
    </row>
    <row r="313" spans="1:28" s="46" customFormat="1" ht="19.899999999999999" customHeight="1" x14ac:dyDescent="0.15">
      <c r="A313" s="34"/>
      <c r="B313" s="96"/>
      <c r="C313" s="29"/>
      <c r="D313" s="32" t="str">
        <f t="shared" si="138"/>
        <v/>
      </c>
      <c r="E313" s="15"/>
      <c r="F313" s="15"/>
      <c r="G313" s="15"/>
      <c r="H313" s="15"/>
      <c r="I313" s="15"/>
      <c r="J313" s="29"/>
      <c r="K313" s="15"/>
      <c r="L313" s="29"/>
      <c r="M313" s="32" t="str">
        <f t="shared" si="139"/>
        <v/>
      </c>
      <c r="N313" s="15"/>
      <c r="O313" s="137"/>
      <c r="P313" s="15"/>
      <c r="Q313" s="15"/>
      <c r="R313" s="15"/>
      <c r="S313" s="15"/>
      <c r="T313" s="15"/>
      <c r="U313" s="32" t="str">
        <f t="shared" si="135"/>
        <v/>
      </c>
      <c r="V313" s="15"/>
      <c r="W313" s="15"/>
      <c r="X313" s="32" t="str">
        <f t="shared" si="136"/>
        <v/>
      </c>
      <c r="Y313" s="32" t="str">
        <f t="shared" si="137"/>
        <v/>
      </c>
      <c r="Z313" s="15"/>
      <c r="AA313" s="15"/>
      <c r="AB313" s="15"/>
    </row>
    <row r="314" spans="1:28" s="46" customFormat="1" ht="19.899999999999999" customHeight="1" x14ac:dyDescent="0.15">
      <c r="A314" s="34"/>
      <c r="B314" s="96"/>
      <c r="C314" s="29"/>
      <c r="D314" s="32" t="str">
        <f t="shared" si="138"/>
        <v/>
      </c>
      <c r="E314" s="15"/>
      <c r="F314" s="15"/>
      <c r="G314" s="15"/>
      <c r="H314" s="15"/>
      <c r="I314" s="15"/>
      <c r="J314" s="29"/>
      <c r="K314" s="15"/>
      <c r="L314" s="29"/>
      <c r="M314" s="32" t="str">
        <f t="shared" si="139"/>
        <v/>
      </c>
      <c r="N314" s="15"/>
      <c r="O314" s="137"/>
      <c r="P314" s="15"/>
      <c r="Q314" s="15"/>
      <c r="R314" s="15"/>
      <c r="S314" s="15"/>
      <c r="T314" s="15"/>
      <c r="U314" s="32" t="str">
        <f t="shared" si="135"/>
        <v/>
      </c>
      <c r="V314" s="15"/>
      <c r="W314" s="15"/>
      <c r="X314" s="32" t="str">
        <f t="shared" si="136"/>
        <v/>
      </c>
      <c r="Y314" s="32" t="str">
        <f t="shared" si="137"/>
        <v/>
      </c>
      <c r="Z314" s="15"/>
      <c r="AA314" s="15"/>
      <c r="AB314" s="15"/>
    </row>
    <row r="315" spans="1:28" s="46" customFormat="1" ht="19.899999999999999" customHeight="1" x14ac:dyDescent="0.15">
      <c r="A315" s="34"/>
      <c r="B315" s="96"/>
      <c r="C315" s="29"/>
      <c r="D315" s="32" t="str">
        <f t="shared" si="138"/>
        <v/>
      </c>
      <c r="E315" s="15"/>
      <c r="F315" s="15"/>
      <c r="G315" s="15"/>
      <c r="H315" s="15"/>
      <c r="I315" s="15"/>
      <c r="J315" s="29"/>
      <c r="K315" s="15"/>
      <c r="L315" s="29"/>
      <c r="M315" s="32" t="str">
        <f t="shared" si="139"/>
        <v/>
      </c>
      <c r="N315" s="15"/>
      <c r="O315" s="137"/>
      <c r="P315" s="15"/>
      <c r="Q315" s="15"/>
      <c r="R315" s="15"/>
      <c r="S315" s="15"/>
      <c r="T315" s="15"/>
      <c r="U315" s="32" t="str">
        <f t="shared" si="135"/>
        <v/>
      </c>
      <c r="V315" s="15"/>
      <c r="W315" s="15"/>
      <c r="X315" s="32" t="str">
        <f t="shared" si="136"/>
        <v/>
      </c>
      <c r="Y315" s="32" t="str">
        <f t="shared" si="137"/>
        <v/>
      </c>
      <c r="Z315" s="15"/>
      <c r="AA315" s="15"/>
      <c r="AB315" s="15"/>
    </row>
    <row r="316" spans="1:28" s="46" customFormat="1" ht="19.899999999999999" customHeight="1" x14ac:dyDescent="0.15">
      <c r="A316" s="34"/>
      <c r="B316" s="96"/>
      <c r="C316" s="29"/>
      <c r="D316" s="32" t="str">
        <f t="shared" si="138"/>
        <v/>
      </c>
      <c r="E316" s="15"/>
      <c r="F316" s="15"/>
      <c r="G316" s="15"/>
      <c r="H316" s="15"/>
      <c r="I316" s="15"/>
      <c r="J316" s="29"/>
      <c r="K316" s="15"/>
      <c r="L316" s="29"/>
      <c r="M316" s="32" t="str">
        <f t="shared" si="139"/>
        <v/>
      </c>
      <c r="N316" s="15"/>
      <c r="O316" s="137"/>
      <c r="P316" s="15"/>
      <c r="Q316" s="15"/>
      <c r="R316" s="15"/>
      <c r="S316" s="15"/>
      <c r="T316" s="15"/>
      <c r="U316" s="32" t="str">
        <f t="shared" si="135"/>
        <v/>
      </c>
      <c r="V316" s="15"/>
      <c r="W316" s="15"/>
      <c r="X316" s="32" t="str">
        <f t="shared" si="136"/>
        <v/>
      </c>
      <c r="Y316" s="32" t="str">
        <f t="shared" si="137"/>
        <v/>
      </c>
      <c r="Z316" s="15"/>
      <c r="AA316" s="15"/>
      <c r="AB316" s="15"/>
    </row>
    <row r="317" spans="1:28" s="46" customFormat="1" ht="19.899999999999999" customHeight="1" x14ac:dyDescent="0.15">
      <c r="A317" s="34"/>
      <c r="B317" s="96"/>
      <c r="C317" s="29"/>
      <c r="D317" s="32" t="str">
        <f t="shared" si="138"/>
        <v/>
      </c>
      <c r="E317" s="15"/>
      <c r="F317" s="15"/>
      <c r="G317" s="15"/>
      <c r="H317" s="15"/>
      <c r="I317" s="15"/>
      <c r="J317" s="29"/>
      <c r="K317" s="15"/>
      <c r="L317" s="29"/>
      <c r="M317" s="32" t="str">
        <f t="shared" si="139"/>
        <v/>
      </c>
      <c r="N317" s="15"/>
      <c r="O317" s="137"/>
      <c r="P317" s="15"/>
      <c r="Q317" s="15"/>
      <c r="R317" s="15"/>
      <c r="S317" s="15"/>
      <c r="T317" s="15"/>
      <c r="U317" s="32" t="str">
        <f t="shared" si="135"/>
        <v/>
      </c>
      <c r="V317" s="15"/>
      <c r="W317" s="15"/>
      <c r="X317" s="32" t="str">
        <f t="shared" si="136"/>
        <v/>
      </c>
      <c r="Y317" s="32" t="str">
        <f t="shared" si="137"/>
        <v/>
      </c>
      <c r="Z317" s="15"/>
      <c r="AA317" s="15"/>
      <c r="AB317" s="15"/>
    </row>
    <row r="318" spans="1:28" s="46" customFormat="1" ht="19.899999999999999" customHeight="1" x14ac:dyDescent="0.15">
      <c r="A318" s="34"/>
      <c r="B318" s="96"/>
      <c r="C318" s="29"/>
      <c r="D318" s="32" t="str">
        <f t="shared" ref="D318:D381" si="148">IF(C318="J1","常规化学品",IF(C318="J2","危险化学品",IF(C318="J3","标准物质",IF(C318="J4","玻璃仪器",IF(C318="J5","实验气体",IF(C318="J6","专用物耗",IF(C318="J7","备品配件",IF(C318="J8","专用工具",IF(C318="Z1","劳保物资",IF(C318="Z2","办公耗材",IF(C318="Z3","食品饮料",IF(C318="Z4","特殊物耗",IF(C318="Z5","通用物耗",IF(C318="Z6","通用工具",""))))))))))))))</f>
        <v/>
      </c>
      <c r="E318" s="15"/>
      <c r="F318" s="15"/>
      <c r="G318" s="15"/>
      <c r="H318" s="15"/>
      <c r="I318" s="15"/>
      <c r="J318" s="29"/>
      <c r="K318" s="15"/>
      <c r="L318" s="29"/>
      <c r="M318" s="32" t="str">
        <f t="shared" ref="M318:M381" si="149">IF(D318="危险化学品","五双",IF(D318="标准物资","严控",IF(D318&lt;&gt;"","常规","")))</f>
        <v/>
      </c>
      <c r="N318" s="15"/>
      <c r="O318" s="137"/>
      <c r="P318" s="15"/>
      <c r="Q318" s="15"/>
      <c r="R318" s="15"/>
      <c r="S318" s="15"/>
      <c r="T318" s="15"/>
      <c r="U318" s="32" t="str">
        <f t="shared" ref="U318:U381" si="150">IF(L318="","",L318)</f>
        <v/>
      </c>
      <c r="V318" s="15"/>
      <c r="W318" s="15"/>
      <c r="X318" s="32" t="str">
        <f t="shared" ref="X318:X381" si="151">IF((K318-T318)&lt;=0,"",K318-T318)</f>
        <v/>
      </c>
      <c r="Y318" s="32" t="str">
        <f t="shared" ref="Y318:Y381" si="152">IF(L318="","",L318)</f>
        <v/>
      </c>
      <c r="Z318" s="15"/>
      <c r="AA318" s="15"/>
      <c r="AB318" s="15"/>
    </row>
    <row r="319" spans="1:28" s="46" customFormat="1" ht="19.899999999999999" customHeight="1" x14ac:dyDescent="0.15">
      <c r="A319" s="34"/>
      <c r="B319" s="96"/>
      <c r="C319" s="29"/>
      <c r="D319" s="32" t="str">
        <f t="shared" si="148"/>
        <v/>
      </c>
      <c r="E319" s="15"/>
      <c r="F319" s="15"/>
      <c r="G319" s="15"/>
      <c r="H319" s="15"/>
      <c r="I319" s="15"/>
      <c r="J319" s="29"/>
      <c r="K319" s="15"/>
      <c r="L319" s="29"/>
      <c r="M319" s="32" t="str">
        <f t="shared" si="149"/>
        <v/>
      </c>
      <c r="N319" s="15"/>
      <c r="O319" s="137"/>
      <c r="P319" s="15"/>
      <c r="Q319" s="15"/>
      <c r="R319" s="15"/>
      <c r="S319" s="15"/>
      <c r="T319" s="15"/>
      <c r="U319" s="32" t="str">
        <f t="shared" si="150"/>
        <v/>
      </c>
      <c r="V319" s="15"/>
      <c r="W319" s="15"/>
      <c r="X319" s="32" t="str">
        <f t="shared" si="151"/>
        <v/>
      </c>
      <c r="Y319" s="32" t="str">
        <f t="shared" si="152"/>
        <v/>
      </c>
      <c r="Z319" s="15"/>
      <c r="AA319" s="15"/>
      <c r="AB319" s="15"/>
    </row>
    <row r="320" spans="1:28" s="46" customFormat="1" ht="19.899999999999999" customHeight="1" x14ac:dyDescent="0.15">
      <c r="A320" s="34"/>
      <c r="B320" s="96"/>
      <c r="C320" s="29"/>
      <c r="D320" s="32" t="str">
        <f t="shared" si="148"/>
        <v/>
      </c>
      <c r="E320" s="15"/>
      <c r="F320" s="15"/>
      <c r="G320" s="15"/>
      <c r="H320" s="15"/>
      <c r="I320" s="15"/>
      <c r="J320" s="29"/>
      <c r="K320" s="15"/>
      <c r="L320" s="29"/>
      <c r="M320" s="32" t="str">
        <f t="shared" si="149"/>
        <v/>
      </c>
      <c r="N320" s="15"/>
      <c r="O320" s="137"/>
      <c r="P320" s="15"/>
      <c r="Q320" s="15"/>
      <c r="R320" s="15"/>
      <c r="S320" s="15"/>
      <c r="T320" s="15"/>
      <c r="U320" s="32" t="str">
        <f t="shared" si="150"/>
        <v/>
      </c>
      <c r="V320" s="15"/>
      <c r="W320" s="15"/>
      <c r="X320" s="32" t="str">
        <f t="shared" si="151"/>
        <v/>
      </c>
      <c r="Y320" s="32" t="str">
        <f t="shared" si="152"/>
        <v/>
      </c>
      <c r="Z320" s="15"/>
      <c r="AA320" s="15"/>
      <c r="AB320" s="15"/>
    </row>
    <row r="321" spans="1:28" s="46" customFormat="1" ht="19.899999999999999" customHeight="1" x14ac:dyDescent="0.15">
      <c r="A321" s="34"/>
      <c r="B321" s="96"/>
      <c r="C321" s="29"/>
      <c r="D321" s="32" t="str">
        <f t="shared" si="148"/>
        <v/>
      </c>
      <c r="E321" s="15"/>
      <c r="F321" s="15"/>
      <c r="G321" s="15"/>
      <c r="H321" s="15"/>
      <c r="I321" s="15"/>
      <c r="J321" s="29"/>
      <c r="K321" s="15"/>
      <c r="L321" s="29"/>
      <c r="M321" s="32" t="str">
        <f t="shared" si="149"/>
        <v/>
      </c>
      <c r="N321" s="15"/>
      <c r="O321" s="137"/>
      <c r="P321" s="15"/>
      <c r="Q321" s="15"/>
      <c r="R321" s="15"/>
      <c r="S321" s="15"/>
      <c r="T321" s="15"/>
      <c r="U321" s="32" t="str">
        <f t="shared" si="150"/>
        <v/>
      </c>
      <c r="V321" s="15"/>
      <c r="W321" s="15"/>
      <c r="X321" s="32" t="str">
        <f t="shared" si="151"/>
        <v/>
      </c>
      <c r="Y321" s="32" t="str">
        <f t="shared" si="152"/>
        <v/>
      </c>
      <c r="Z321" s="15"/>
      <c r="AA321" s="15"/>
      <c r="AB321" s="15"/>
    </row>
    <row r="322" spans="1:28" s="46" customFormat="1" ht="19.899999999999999" customHeight="1" x14ac:dyDescent="0.15">
      <c r="A322" s="34"/>
      <c r="B322" s="96"/>
      <c r="C322" s="29"/>
      <c r="D322" s="32" t="str">
        <f t="shared" si="148"/>
        <v/>
      </c>
      <c r="E322" s="15"/>
      <c r="F322" s="15"/>
      <c r="G322" s="15"/>
      <c r="H322" s="15"/>
      <c r="I322" s="15"/>
      <c r="J322" s="29"/>
      <c r="K322" s="15"/>
      <c r="L322" s="29"/>
      <c r="M322" s="32" t="str">
        <f t="shared" si="149"/>
        <v/>
      </c>
      <c r="N322" s="15"/>
      <c r="O322" s="137"/>
      <c r="P322" s="15"/>
      <c r="Q322" s="15"/>
      <c r="R322" s="15"/>
      <c r="S322" s="15"/>
      <c r="T322" s="15"/>
      <c r="U322" s="32" t="str">
        <f t="shared" si="150"/>
        <v/>
      </c>
      <c r="V322" s="15"/>
      <c r="W322" s="15"/>
      <c r="X322" s="32" t="str">
        <f t="shared" si="151"/>
        <v/>
      </c>
      <c r="Y322" s="32" t="str">
        <f t="shared" si="152"/>
        <v/>
      </c>
      <c r="Z322" s="15"/>
      <c r="AA322" s="15"/>
      <c r="AB322" s="15"/>
    </row>
    <row r="323" spans="1:28" s="46" customFormat="1" ht="19.899999999999999" customHeight="1" x14ac:dyDescent="0.15">
      <c r="A323" s="34"/>
      <c r="B323" s="96"/>
      <c r="C323" s="29"/>
      <c r="D323" s="32" t="str">
        <f t="shared" si="148"/>
        <v/>
      </c>
      <c r="E323" s="15"/>
      <c r="F323" s="15"/>
      <c r="G323" s="15"/>
      <c r="H323" s="15"/>
      <c r="I323" s="15"/>
      <c r="J323" s="29"/>
      <c r="K323" s="15"/>
      <c r="L323" s="29"/>
      <c r="M323" s="32" t="str">
        <f t="shared" si="149"/>
        <v/>
      </c>
      <c r="N323" s="15"/>
      <c r="O323" s="137"/>
      <c r="P323" s="15"/>
      <c r="Q323" s="15"/>
      <c r="R323" s="15"/>
      <c r="S323" s="15"/>
      <c r="T323" s="15"/>
      <c r="U323" s="32" t="str">
        <f t="shared" si="150"/>
        <v/>
      </c>
      <c r="V323" s="15"/>
      <c r="W323" s="15"/>
      <c r="X323" s="32" t="str">
        <f t="shared" si="151"/>
        <v/>
      </c>
      <c r="Y323" s="32" t="str">
        <f t="shared" si="152"/>
        <v/>
      </c>
      <c r="Z323" s="15"/>
      <c r="AA323" s="15"/>
      <c r="AB323" s="15"/>
    </row>
    <row r="324" spans="1:28" s="46" customFormat="1" ht="19.899999999999999" customHeight="1" x14ac:dyDescent="0.15">
      <c r="A324" s="34"/>
      <c r="B324" s="96"/>
      <c r="C324" s="29"/>
      <c r="D324" s="32" t="str">
        <f t="shared" si="148"/>
        <v/>
      </c>
      <c r="E324" s="15"/>
      <c r="F324" s="15"/>
      <c r="G324" s="15"/>
      <c r="H324" s="15"/>
      <c r="I324" s="15"/>
      <c r="J324" s="29"/>
      <c r="K324" s="15"/>
      <c r="L324" s="29"/>
      <c r="M324" s="32" t="str">
        <f t="shared" si="149"/>
        <v/>
      </c>
      <c r="N324" s="15"/>
      <c r="O324" s="137"/>
      <c r="P324" s="15"/>
      <c r="Q324" s="15"/>
      <c r="R324" s="15"/>
      <c r="S324" s="15"/>
      <c r="T324" s="15"/>
      <c r="U324" s="32" t="str">
        <f t="shared" si="150"/>
        <v/>
      </c>
      <c r="V324" s="15"/>
      <c r="W324" s="15"/>
      <c r="X324" s="32" t="str">
        <f t="shared" si="151"/>
        <v/>
      </c>
      <c r="Y324" s="32" t="str">
        <f t="shared" si="152"/>
        <v/>
      </c>
      <c r="Z324" s="15"/>
      <c r="AA324" s="15"/>
      <c r="AB324" s="15"/>
    </row>
    <row r="325" spans="1:28" s="46" customFormat="1" ht="19.899999999999999" customHeight="1" x14ac:dyDescent="0.15">
      <c r="A325" s="34"/>
      <c r="B325" s="96"/>
      <c r="C325" s="29"/>
      <c r="D325" s="32" t="str">
        <f t="shared" si="148"/>
        <v/>
      </c>
      <c r="E325" s="15"/>
      <c r="F325" s="15"/>
      <c r="G325" s="15"/>
      <c r="H325" s="15"/>
      <c r="I325" s="15"/>
      <c r="J325" s="29"/>
      <c r="K325" s="15"/>
      <c r="L325" s="29"/>
      <c r="M325" s="32" t="str">
        <f t="shared" si="149"/>
        <v/>
      </c>
      <c r="N325" s="15"/>
      <c r="O325" s="137"/>
      <c r="P325" s="15"/>
      <c r="Q325" s="15"/>
      <c r="R325" s="15"/>
      <c r="S325" s="15"/>
      <c r="T325" s="15"/>
      <c r="U325" s="32" t="str">
        <f t="shared" si="150"/>
        <v/>
      </c>
      <c r="V325" s="15"/>
      <c r="W325" s="15"/>
      <c r="X325" s="32" t="str">
        <f t="shared" si="151"/>
        <v/>
      </c>
      <c r="Y325" s="32" t="str">
        <f t="shared" si="152"/>
        <v/>
      </c>
      <c r="Z325" s="15"/>
      <c r="AA325" s="15"/>
      <c r="AB325" s="15"/>
    </row>
    <row r="326" spans="1:28" s="46" customFormat="1" ht="19.899999999999999" customHeight="1" x14ac:dyDescent="0.15">
      <c r="A326" s="34"/>
      <c r="B326" s="96"/>
      <c r="C326" s="29"/>
      <c r="D326" s="32" t="str">
        <f t="shared" si="148"/>
        <v/>
      </c>
      <c r="E326" s="15"/>
      <c r="F326" s="15"/>
      <c r="G326" s="15"/>
      <c r="H326" s="15"/>
      <c r="I326" s="15"/>
      <c r="J326" s="29"/>
      <c r="K326" s="15"/>
      <c r="L326" s="29"/>
      <c r="M326" s="32" t="str">
        <f t="shared" si="149"/>
        <v/>
      </c>
      <c r="N326" s="15"/>
      <c r="O326" s="137"/>
      <c r="P326" s="15"/>
      <c r="Q326" s="15"/>
      <c r="R326" s="15"/>
      <c r="S326" s="15"/>
      <c r="T326" s="15"/>
      <c r="U326" s="32" t="str">
        <f t="shared" si="150"/>
        <v/>
      </c>
      <c r="V326" s="15"/>
      <c r="W326" s="15"/>
      <c r="X326" s="32" t="str">
        <f t="shared" si="151"/>
        <v/>
      </c>
      <c r="Y326" s="32" t="str">
        <f t="shared" si="152"/>
        <v/>
      </c>
      <c r="Z326" s="15"/>
      <c r="AA326" s="15"/>
      <c r="AB326" s="15"/>
    </row>
    <row r="327" spans="1:28" s="46" customFormat="1" ht="19.899999999999999" customHeight="1" x14ac:dyDescent="0.15">
      <c r="A327" s="34"/>
      <c r="B327" s="96"/>
      <c r="C327" s="29"/>
      <c r="D327" s="32" t="str">
        <f t="shared" si="148"/>
        <v/>
      </c>
      <c r="E327" s="15"/>
      <c r="F327" s="15"/>
      <c r="G327" s="15"/>
      <c r="H327" s="15"/>
      <c r="I327" s="15"/>
      <c r="J327" s="29"/>
      <c r="K327" s="15"/>
      <c r="L327" s="29"/>
      <c r="M327" s="32" t="str">
        <f t="shared" si="149"/>
        <v/>
      </c>
      <c r="N327" s="15"/>
      <c r="O327" s="137"/>
      <c r="P327" s="15"/>
      <c r="Q327" s="15"/>
      <c r="R327" s="15"/>
      <c r="S327" s="15"/>
      <c r="T327" s="15"/>
      <c r="U327" s="32" t="str">
        <f t="shared" si="150"/>
        <v/>
      </c>
      <c r="V327" s="15"/>
      <c r="W327" s="15"/>
      <c r="X327" s="32" t="str">
        <f t="shared" si="151"/>
        <v/>
      </c>
      <c r="Y327" s="32" t="str">
        <f t="shared" si="152"/>
        <v/>
      </c>
      <c r="Z327" s="15"/>
      <c r="AA327" s="15"/>
      <c r="AB327" s="15"/>
    </row>
    <row r="328" spans="1:28" s="46" customFormat="1" ht="19.899999999999999" customHeight="1" x14ac:dyDescent="0.15">
      <c r="A328" s="34"/>
      <c r="B328" s="96"/>
      <c r="C328" s="29"/>
      <c r="D328" s="32" t="str">
        <f t="shared" si="148"/>
        <v/>
      </c>
      <c r="E328" s="15"/>
      <c r="F328" s="15"/>
      <c r="G328" s="15"/>
      <c r="H328" s="15"/>
      <c r="I328" s="15"/>
      <c r="J328" s="29"/>
      <c r="K328" s="15"/>
      <c r="L328" s="29"/>
      <c r="M328" s="32" t="str">
        <f t="shared" si="149"/>
        <v/>
      </c>
      <c r="N328" s="15"/>
      <c r="O328" s="137"/>
      <c r="P328" s="15"/>
      <c r="Q328" s="15"/>
      <c r="R328" s="15"/>
      <c r="S328" s="15"/>
      <c r="T328" s="15"/>
      <c r="U328" s="32" t="str">
        <f t="shared" si="150"/>
        <v/>
      </c>
      <c r="V328" s="15"/>
      <c r="W328" s="15"/>
      <c r="X328" s="32" t="str">
        <f t="shared" si="151"/>
        <v/>
      </c>
      <c r="Y328" s="32" t="str">
        <f t="shared" si="152"/>
        <v/>
      </c>
      <c r="Z328" s="15"/>
      <c r="AA328" s="15"/>
      <c r="AB328" s="15"/>
    </row>
    <row r="329" spans="1:28" s="46" customFormat="1" ht="19.899999999999999" customHeight="1" x14ac:dyDescent="0.15">
      <c r="A329" s="34"/>
      <c r="B329" s="96"/>
      <c r="C329" s="29"/>
      <c r="D329" s="32" t="str">
        <f t="shared" si="148"/>
        <v/>
      </c>
      <c r="E329" s="15"/>
      <c r="F329" s="15"/>
      <c r="G329" s="15"/>
      <c r="H329" s="15"/>
      <c r="I329" s="15"/>
      <c r="J329" s="29"/>
      <c r="K329" s="15"/>
      <c r="L329" s="29"/>
      <c r="M329" s="32" t="str">
        <f t="shared" si="149"/>
        <v/>
      </c>
      <c r="N329" s="15"/>
      <c r="O329" s="137"/>
      <c r="P329" s="15"/>
      <c r="Q329" s="15"/>
      <c r="R329" s="15"/>
      <c r="S329" s="15"/>
      <c r="T329" s="15"/>
      <c r="U329" s="32" t="str">
        <f t="shared" si="150"/>
        <v/>
      </c>
      <c r="V329" s="15"/>
      <c r="W329" s="15"/>
      <c r="X329" s="32" t="str">
        <f t="shared" si="151"/>
        <v/>
      </c>
      <c r="Y329" s="32" t="str">
        <f t="shared" si="152"/>
        <v/>
      </c>
      <c r="Z329" s="15"/>
      <c r="AA329" s="15"/>
      <c r="AB329" s="15"/>
    </row>
    <row r="330" spans="1:28" s="46" customFormat="1" ht="19.899999999999999" customHeight="1" x14ac:dyDescent="0.15">
      <c r="A330" s="34"/>
      <c r="B330" s="96"/>
      <c r="C330" s="29"/>
      <c r="D330" s="32" t="str">
        <f t="shared" si="148"/>
        <v/>
      </c>
      <c r="E330" s="15"/>
      <c r="F330" s="15"/>
      <c r="G330" s="15"/>
      <c r="H330" s="15"/>
      <c r="I330" s="15"/>
      <c r="J330" s="29"/>
      <c r="K330" s="15"/>
      <c r="L330" s="29"/>
      <c r="M330" s="32" t="str">
        <f t="shared" si="149"/>
        <v/>
      </c>
      <c r="N330" s="15"/>
      <c r="O330" s="137"/>
      <c r="P330" s="15"/>
      <c r="Q330" s="15"/>
      <c r="R330" s="15"/>
      <c r="S330" s="15"/>
      <c r="T330" s="15"/>
      <c r="U330" s="32" t="str">
        <f t="shared" si="150"/>
        <v/>
      </c>
      <c r="V330" s="15"/>
      <c r="W330" s="15"/>
      <c r="X330" s="32" t="str">
        <f t="shared" si="151"/>
        <v/>
      </c>
      <c r="Y330" s="32" t="str">
        <f t="shared" si="152"/>
        <v/>
      </c>
      <c r="Z330" s="15"/>
      <c r="AA330" s="15"/>
      <c r="AB330" s="15"/>
    </row>
    <row r="331" spans="1:28" s="46" customFormat="1" ht="19.899999999999999" customHeight="1" x14ac:dyDescent="0.15">
      <c r="A331" s="34"/>
      <c r="B331" s="96"/>
      <c r="C331" s="29"/>
      <c r="D331" s="32" t="str">
        <f t="shared" si="148"/>
        <v/>
      </c>
      <c r="E331" s="15"/>
      <c r="F331" s="15"/>
      <c r="G331" s="15"/>
      <c r="H331" s="15"/>
      <c r="I331" s="15"/>
      <c r="J331" s="29"/>
      <c r="K331" s="15"/>
      <c r="L331" s="29"/>
      <c r="M331" s="32" t="str">
        <f t="shared" si="149"/>
        <v/>
      </c>
      <c r="N331" s="15"/>
      <c r="O331" s="137"/>
      <c r="P331" s="15"/>
      <c r="Q331" s="15"/>
      <c r="R331" s="15"/>
      <c r="S331" s="15"/>
      <c r="T331" s="15"/>
      <c r="U331" s="32" t="str">
        <f t="shared" si="150"/>
        <v/>
      </c>
      <c r="V331" s="15"/>
      <c r="W331" s="15"/>
      <c r="X331" s="32" t="str">
        <f t="shared" si="151"/>
        <v/>
      </c>
      <c r="Y331" s="32" t="str">
        <f t="shared" si="152"/>
        <v/>
      </c>
      <c r="Z331" s="15"/>
      <c r="AA331" s="15"/>
      <c r="AB331" s="15"/>
    </row>
    <row r="332" spans="1:28" s="46" customFormat="1" ht="19.899999999999999" customHeight="1" x14ac:dyDescent="0.15">
      <c r="A332" s="34"/>
      <c r="B332" s="96"/>
      <c r="C332" s="29"/>
      <c r="D332" s="32" t="str">
        <f t="shared" si="148"/>
        <v/>
      </c>
      <c r="E332" s="15"/>
      <c r="F332" s="15"/>
      <c r="G332" s="15"/>
      <c r="H332" s="15"/>
      <c r="I332" s="15"/>
      <c r="J332" s="29"/>
      <c r="K332" s="15"/>
      <c r="L332" s="29"/>
      <c r="M332" s="32" t="str">
        <f t="shared" si="149"/>
        <v/>
      </c>
      <c r="N332" s="15"/>
      <c r="O332" s="137"/>
      <c r="P332" s="15"/>
      <c r="Q332" s="15"/>
      <c r="R332" s="15"/>
      <c r="S332" s="15"/>
      <c r="T332" s="15"/>
      <c r="U332" s="32" t="str">
        <f t="shared" si="150"/>
        <v/>
      </c>
      <c r="V332" s="15"/>
      <c r="W332" s="15"/>
      <c r="X332" s="32" t="str">
        <f t="shared" si="151"/>
        <v/>
      </c>
      <c r="Y332" s="32" t="str">
        <f t="shared" si="152"/>
        <v/>
      </c>
      <c r="Z332" s="15"/>
      <c r="AA332" s="15"/>
      <c r="AB332" s="15"/>
    </row>
    <row r="333" spans="1:28" s="46" customFormat="1" ht="19.899999999999999" customHeight="1" x14ac:dyDescent="0.15">
      <c r="A333" s="34"/>
      <c r="B333" s="96"/>
      <c r="C333" s="29"/>
      <c r="D333" s="32" t="str">
        <f t="shared" si="148"/>
        <v/>
      </c>
      <c r="E333" s="15"/>
      <c r="F333" s="15"/>
      <c r="G333" s="15"/>
      <c r="H333" s="15"/>
      <c r="I333" s="15"/>
      <c r="J333" s="29"/>
      <c r="K333" s="15"/>
      <c r="L333" s="29"/>
      <c r="M333" s="32" t="str">
        <f t="shared" si="149"/>
        <v/>
      </c>
      <c r="N333" s="15"/>
      <c r="O333" s="137"/>
      <c r="P333" s="15"/>
      <c r="Q333" s="15"/>
      <c r="R333" s="15"/>
      <c r="S333" s="15"/>
      <c r="T333" s="15"/>
      <c r="U333" s="32" t="str">
        <f t="shared" si="150"/>
        <v/>
      </c>
      <c r="V333" s="15"/>
      <c r="W333" s="15"/>
      <c r="X333" s="32" t="str">
        <f t="shared" si="151"/>
        <v/>
      </c>
      <c r="Y333" s="32" t="str">
        <f t="shared" si="152"/>
        <v/>
      </c>
      <c r="Z333" s="15"/>
      <c r="AA333" s="15"/>
      <c r="AB333" s="15"/>
    </row>
    <row r="334" spans="1:28" s="46" customFormat="1" ht="19.899999999999999" customHeight="1" x14ac:dyDescent="0.15">
      <c r="A334" s="34"/>
      <c r="B334" s="96"/>
      <c r="C334" s="29"/>
      <c r="D334" s="32" t="str">
        <f t="shared" si="148"/>
        <v/>
      </c>
      <c r="E334" s="15"/>
      <c r="F334" s="15"/>
      <c r="G334" s="15"/>
      <c r="H334" s="15"/>
      <c r="I334" s="15"/>
      <c r="J334" s="29"/>
      <c r="K334" s="15"/>
      <c r="L334" s="29"/>
      <c r="M334" s="32" t="str">
        <f t="shared" si="149"/>
        <v/>
      </c>
      <c r="N334" s="15"/>
      <c r="O334" s="137"/>
      <c r="P334" s="15"/>
      <c r="Q334" s="15"/>
      <c r="R334" s="15"/>
      <c r="S334" s="15"/>
      <c r="T334" s="15"/>
      <c r="U334" s="32" t="str">
        <f t="shared" si="150"/>
        <v/>
      </c>
      <c r="V334" s="15"/>
      <c r="W334" s="15"/>
      <c r="X334" s="32" t="str">
        <f t="shared" si="151"/>
        <v/>
      </c>
      <c r="Y334" s="32" t="str">
        <f t="shared" si="152"/>
        <v/>
      </c>
      <c r="Z334" s="15"/>
      <c r="AA334" s="15"/>
      <c r="AB334" s="15"/>
    </row>
    <row r="335" spans="1:28" s="46" customFormat="1" ht="19.899999999999999" customHeight="1" x14ac:dyDescent="0.15">
      <c r="A335" s="34"/>
      <c r="B335" s="96"/>
      <c r="C335" s="29"/>
      <c r="D335" s="32" t="str">
        <f t="shared" si="148"/>
        <v/>
      </c>
      <c r="E335" s="15"/>
      <c r="F335" s="15"/>
      <c r="G335" s="15"/>
      <c r="H335" s="15"/>
      <c r="I335" s="15"/>
      <c r="J335" s="29"/>
      <c r="K335" s="15"/>
      <c r="L335" s="29"/>
      <c r="M335" s="32" t="str">
        <f t="shared" si="149"/>
        <v/>
      </c>
      <c r="N335" s="15"/>
      <c r="O335" s="137"/>
      <c r="P335" s="15"/>
      <c r="Q335" s="15"/>
      <c r="R335" s="15"/>
      <c r="S335" s="15"/>
      <c r="T335" s="15"/>
      <c r="U335" s="32" t="str">
        <f t="shared" si="150"/>
        <v/>
      </c>
      <c r="V335" s="15"/>
      <c r="W335" s="15"/>
      <c r="X335" s="32" t="str">
        <f t="shared" si="151"/>
        <v/>
      </c>
      <c r="Y335" s="32" t="str">
        <f t="shared" si="152"/>
        <v/>
      </c>
      <c r="Z335" s="15"/>
      <c r="AA335" s="15"/>
      <c r="AB335" s="15"/>
    </row>
    <row r="336" spans="1:28" s="46" customFormat="1" ht="19.899999999999999" customHeight="1" x14ac:dyDescent="0.15">
      <c r="A336" s="34"/>
      <c r="B336" s="96"/>
      <c r="C336" s="29"/>
      <c r="D336" s="32" t="str">
        <f t="shared" si="148"/>
        <v/>
      </c>
      <c r="E336" s="15"/>
      <c r="F336" s="15"/>
      <c r="G336" s="15"/>
      <c r="H336" s="15"/>
      <c r="I336" s="15"/>
      <c r="J336" s="29"/>
      <c r="K336" s="15"/>
      <c r="L336" s="29"/>
      <c r="M336" s="32" t="str">
        <f t="shared" si="149"/>
        <v/>
      </c>
      <c r="N336" s="15"/>
      <c r="O336" s="137"/>
      <c r="P336" s="15"/>
      <c r="Q336" s="15"/>
      <c r="R336" s="15"/>
      <c r="S336" s="15"/>
      <c r="T336" s="15"/>
      <c r="U336" s="32" t="str">
        <f t="shared" si="150"/>
        <v/>
      </c>
      <c r="V336" s="15"/>
      <c r="W336" s="15"/>
      <c r="X336" s="32" t="str">
        <f t="shared" si="151"/>
        <v/>
      </c>
      <c r="Y336" s="32" t="str">
        <f t="shared" si="152"/>
        <v/>
      </c>
      <c r="Z336" s="15"/>
      <c r="AA336" s="15"/>
      <c r="AB336" s="15"/>
    </row>
    <row r="337" spans="1:28" s="46" customFormat="1" ht="19.899999999999999" customHeight="1" x14ac:dyDescent="0.15">
      <c r="A337" s="34"/>
      <c r="B337" s="96"/>
      <c r="C337" s="29"/>
      <c r="D337" s="32" t="str">
        <f t="shared" si="148"/>
        <v/>
      </c>
      <c r="E337" s="15"/>
      <c r="F337" s="15"/>
      <c r="G337" s="15"/>
      <c r="H337" s="15"/>
      <c r="I337" s="15"/>
      <c r="J337" s="29"/>
      <c r="K337" s="15"/>
      <c r="L337" s="29"/>
      <c r="M337" s="32" t="str">
        <f t="shared" si="149"/>
        <v/>
      </c>
      <c r="N337" s="15"/>
      <c r="O337" s="137"/>
      <c r="P337" s="15"/>
      <c r="Q337" s="15"/>
      <c r="R337" s="15"/>
      <c r="S337" s="15"/>
      <c r="T337" s="15"/>
      <c r="U337" s="32" t="str">
        <f t="shared" si="150"/>
        <v/>
      </c>
      <c r="V337" s="15"/>
      <c r="W337" s="15"/>
      <c r="X337" s="32" t="str">
        <f t="shared" si="151"/>
        <v/>
      </c>
      <c r="Y337" s="32" t="str">
        <f t="shared" si="152"/>
        <v/>
      </c>
      <c r="Z337" s="15"/>
      <c r="AA337" s="15"/>
      <c r="AB337" s="15"/>
    </row>
    <row r="338" spans="1:28" s="46" customFormat="1" ht="19.899999999999999" customHeight="1" x14ac:dyDescent="0.15">
      <c r="A338" s="34"/>
      <c r="B338" s="96"/>
      <c r="C338" s="29"/>
      <c r="D338" s="32" t="str">
        <f t="shared" si="148"/>
        <v/>
      </c>
      <c r="E338" s="15"/>
      <c r="F338" s="15"/>
      <c r="G338" s="15"/>
      <c r="H338" s="15"/>
      <c r="I338" s="15"/>
      <c r="J338" s="29"/>
      <c r="K338" s="15"/>
      <c r="L338" s="29"/>
      <c r="M338" s="32" t="str">
        <f t="shared" si="149"/>
        <v/>
      </c>
      <c r="N338" s="15"/>
      <c r="O338" s="137"/>
      <c r="P338" s="15"/>
      <c r="Q338" s="15"/>
      <c r="R338" s="15"/>
      <c r="S338" s="15"/>
      <c r="T338" s="15"/>
      <c r="U338" s="32" t="str">
        <f t="shared" si="150"/>
        <v/>
      </c>
      <c r="V338" s="15"/>
      <c r="W338" s="15"/>
      <c r="X338" s="32" t="str">
        <f t="shared" si="151"/>
        <v/>
      </c>
      <c r="Y338" s="32" t="str">
        <f t="shared" si="152"/>
        <v/>
      </c>
      <c r="Z338" s="15"/>
      <c r="AA338" s="15"/>
      <c r="AB338" s="15"/>
    </row>
    <row r="339" spans="1:28" s="46" customFormat="1" ht="19.899999999999999" customHeight="1" x14ac:dyDescent="0.15">
      <c r="A339" s="34"/>
      <c r="B339" s="96"/>
      <c r="C339" s="29"/>
      <c r="D339" s="32" t="str">
        <f t="shared" si="148"/>
        <v/>
      </c>
      <c r="E339" s="15"/>
      <c r="F339" s="15"/>
      <c r="G339" s="15"/>
      <c r="H339" s="15"/>
      <c r="I339" s="15"/>
      <c r="J339" s="29"/>
      <c r="K339" s="15"/>
      <c r="L339" s="29"/>
      <c r="M339" s="32" t="str">
        <f t="shared" si="149"/>
        <v/>
      </c>
      <c r="N339" s="15"/>
      <c r="O339" s="137"/>
      <c r="P339" s="15"/>
      <c r="Q339" s="15"/>
      <c r="R339" s="15"/>
      <c r="S339" s="15"/>
      <c r="T339" s="15"/>
      <c r="U339" s="32" t="str">
        <f t="shared" si="150"/>
        <v/>
      </c>
      <c r="V339" s="15"/>
      <c r="W339" s="15"/>
      <c r="X339" s="32" t="str">
        <f t="shared" si="151"/>
        <v/>
      </c>
      <c r="Y339" s="32" t="str">
        <f t="shared" si="152"/>
        <v/>
      </c>
      <c r="Z339" s="15"/>
      <c r="AA339" s="15"/>
      <c r="AB339" s="15"/>
    </row>
    <row r="340" spans="1:28" s="46" customFormat="1" ht="19.899999999999999" customHeight="1" x14ac:dyDescent="0.15">
      <c r="A340" s="34"/>
      <c r="B340" s="96"/>
      <c r="C340" s="29"/>
      <c r="D340" s="32" t="str">
        <f t="shared" si="148"/>
        <v/>
      </c>
      <c r="E340" s="15"/>
      <c r="F340" s="15"/>
      <c r="G340" s="15"/>
      <c r="H340" s="15"/>
      <c r="I340" s="15"/>
      <c r="J340" s="29"/>
      <c r="K340" s="15"/>
      <c r="L340" s="29"/>
      <c r="M340" s="32" t="str">
        <f t="shared" si="149"/>
        <v/>
      </c>
      <c r="N340" s="15"/>
      <c r="O340" s="137"/>
      <c r="P340" s="15"/>
      <c r="Q340" s="15"/>
      <c r="R340" s="15"/>
      <c r="S340" s="15"/>
      <c r="T340" s="15"/>
      <c r="U340" s="32" t="str">
        <f t="shared" si="150"/>
        <v/>
      </c>
      <c r="V340" s="15"/>
      <c r="W340" s="15"/>
      <c r="X340" s="32" t="str">
        <f t="shared" si="151"/>
        <v/>
      </c>
      <c r="Y340" s="32" t="str">
        <f t="shared" si="152"/>
        <v/>
      </c>
      <c r="Z340" s="15"/>
      <c r="AA340" s="15"/>
      <c r="AB340" s="15"/>
    </row>
    <row r="341" spans="1:28" s="46" customFormat="1" ht="19.899999999999999" customHeight="1" x14ac:dyDescent="0.15">
      <c r="A341" s="34"/>
      <c r="B341" s="96"/>
      <c r="C341" s="29"/>
      <c r="D341" s="32" t="str">
        <f t="shared" si="148"/>
        <v/>
      </c>
      <c r="E341" s="15"/>
      <c r="F341" s="15"/>
      <c r="G341" s="15"/>
      <c r="H341" s="15"/>
      <c r="I341" s="15"/>
      <c r="J341" s="29"/>
      <c r="K341" s="15"/>
      <c r="L341" s="29"/>
      <c r="M341" s="32" t="str">
        <f t="shared" si="149"/>
        <v/>
      </c>
      <c r="N341" s="15"/>
      <c r="O341" s="137"/>
      <c r="P341" s="15"/>
      <c r="Q341" s="15"/>
      <c r="R341" s="15"/>
      <c r="S341" s="15"/>
      <c r="T341" s="15"/>
      <c r="U341" s="32" t="str">
        <f t="shared" si="150"/>
        <v/>
      </c>
      <c r="V341" s="15"/>
      <c r="W341" s="15"/>
      <c r="X341" s="32" t="str">
        <f t="shared" si="151"/>
        <v/>
      </c>
      <c r="Y341" s="32" t="str">
        <f t="shared" si="152"/>
        <v/>
      </c>
      <c r="Z341" s="15"/>
      <c r="AA341" s="15"/>
      <c r="AB341" s="15"/>
    </row>
    <row r="342" spans="1:28" s="46" customFormat="1" ht="19.899999999999999" customHeight="1" x14ac:dyDescent="0.15">
      <c r="A342" s="34"/>
      <c r="B342" s="96"/>
      <c r="C342" s="29"/>
      <c r="D342" s="32" t="str">
        <f t="shared" si="148"/>
        <v/>
      </c>
      <c r="E342" s="15"/>
      <c r="F342" s="15"/>
      <c r="G342" s="15"/>
      <c r="H342" s="15"/>
      <c r="I342" s="15"/>
      <c r="J342" s="29"/>
      <c r="K342" s="15"/>
      <c r="L342" s="29"/>
      <c r="M342" s="32" t="str">
        <f t="shared" si="149"/>
        <v/>
      </c>
      <c r="N342" s="15"/>
      <c r="O342" s="137"/>
      <c r="P342" s="15"/>
      <c r="Q342" s="15"/>
      <c r="R342" s="15"/>
      <c r="S342" s="15"/>
      <c r="T342" s="15"/>
      <c r="U342" s="32" t="str">
        <f t="shared" si="150"/>
        <v/>
      </c>
      <c r="V342" s="15"/>
      <c r="W342" s="15"/>
      <c r="X342" s="32" t="str">
        <f t="shared" si="151"/>
        <v/>
      </c>
      <c r="Y342" s="32" t="str">
        <f t="shared" si="152"/>
        <v/>
      </c>
      <c r="Z342" s="15"/>
      <c r="AA342" s="15"/>
      <c r="AB342" s="15"/>
    </row>
    <row r="343" spans="1:28" s="46" customFormat="1" ht="19.899999999999999" customHeight="1" x14ac:dyDescent="0.15">
      <c r="A343" s="34"/>
      <c r="B343" s="96"/>
      <c r="C343" s="29"/>
      <c r="D343" s="32" t="str">
        <f t="shared" si="148"/>
        <v/>
      </c>
      <c r="E343" s="15"/>
      <c r="F343" s="15"/>
      <c r="G343" s="15"/>
      <c r="H343" s="15"/>
      <c r="I343" s="15"/>
      <c r="J343" s="29"/>
      <c r="K343" s="15"/>
      <c r="L343" s="29"/>
      <c r="M343" s="32" t="str">
        <f t="shared" si="149"/>
        <v/>
      </c>
      <c r="N343" s="15"/>
      <c r="O343" s="137"/>
      <c r="P343" s="15"/>
      <c r="Q343" s="15"/>
      <c r="R343" s="15"/>
      <c r="S343" s="15"/>
      <c r="T343" s="15"/>
      <c r="U343" s="32" t="str">
        <f t="shared" si="150"/>
        <v/>
      </c>
      <c r="V343" s="15"/>
      <c r="W343" s="15"/>
      <c r="X343" s="32" t="str">
        <f t="shared" si="151"/>
        <v/>
      </c>
      <c r="Y343" s="32" t="str">
        <f t="shared" si="152"/>
        <v/>
      </c>
      <c r="Z343" s="15"/>
      <c r="AA343" s="15"/>
      <c r="AB343" s="15"/>
    </row>
    <row r="344" spans="1:28" s="46" customFormat="1" ht="19.899999999999999" customHeight="1" x14ac:dyDescent="0.15">
      <c r="A344" s="34"/>
      <c r="B344" s="96"/>
      <c r="C344" s="29"/>
      <c r="D344" s="32" t="str">
        <f t="shared" si="148"/>
        <v/>
      </c>
      <c r="E344" s="15"/>
      <c r="F344" s="15"/>
      <c r="G344" s="15"/>
      <c r="H344" s="15"/>
      <c r="I344" s="15"/>
      <c r="J344" s="29"/>
      <c r="K344" s="15"/>
      <c r="L344" s="29"/>
      <c r="M344" s="32" t="str">
        <f t="shared" si="149"/>
        <v/>
      </c>
      <c r="N344" s="15"/>
      <c r="O344" s="137"/>
      <c r="P344" s="15"/>
      <c r="Q344" s="15"/>
      <c r="R344" s="15"/>
      <c r="S344" s="15"/>
      <c r="T344" s="15"/>
      <c r="U344" s="32" t="str">
        <f t="shared" si="150"/>
        <v/>
      </c>
      <c r="V344" s="15"/>
      <c r="W344" s="15"/>
      <c r="X344" s="32" t="str">
        <f t="shared" si="151"/>
        <v/>
      </c>
      <c r="Y344" s="32" t="str">
        <f t="shared" si="152"/>
        <v/>
      </c>
      <c r="Z344" s="15"/>
      <c r="AA344" s="15"/>
      <c r="AB344" s="15"/>
    </row>
    <row r="345" spans="1:28" s="46" customFormat="1" ht="19.899999999999999" customHeight="1" x14ac:dyDescent="0.15">
      <c r="A345" s="34"/>
      <c r="B345" s="96"/>
      <c r="C345" s="29"/>
      <c r="D345" s="32" t="str">
        <f t="shared" si="148"/>
        <v/>
      </c>
      <c r="E345" s="15"/>
      <c r="F345" s="15"/>
      <c r="G345" s="15"/>
      <c r="H345" s="15"/>
      <c r="I345" s="15"/>
      <c r="J345" s="29"/>
      <c r="K345" s="15"/>
      <c r="L345" s="29"/>
      <c r="M345" s="32" t="str">
        <f t="shared" si="149"/>
        <v/>
      </c>
      <c r="N345" s="15"/>
      <c r="O345" s="137"/>
      <c r="P345" s="15"/>
      <c r="Q345" s="15"/>
      <c r="R345" s="15"/>
      <c r="S345" s="15"/>
      <c r="T345" s="15"/>
      <c r="U345" s="32" t="str">
        <f t="shared" si="150"/>
        <v/>
      </c>
      <c r="V345" s="15"/>
      <c r="W345" s="15"/>
      <c r="X345" s="32" t="str">
        <f t="shared" si="151"/>
        <v/>
      </c>
      <c r="Y345" s="32" t="str">
        <f t="shared" si="152"/>
        <v/>
      </c>
      <c r="Z345" s="15"/>
      <c r="AA345" s="15"/>
      <c r="AB345" s="15"/>
    </row>
    <row r="346" spans="1:28" s="46" customFormat="1" ht="19.899999999999999" customHeight="1" x14ac:dyDescent="0.15">
      <c r="A346" s="34"/>
      <c r="B346" s="96"/>
      <c r="C346" s="29"/>
      <c r="D346" s="32" t="str">
        <f t="shared" si="148"/>
        <v/>
      </c>
      <c r="E346" s="15"/>
      <c r="F346" s="15"/>
      <c r="G346" s="15"/>
      <c r="H346" s="15"/>
      <c r="I346" s="15"/>
      <c r="J346" s="29"/>
      <c r="K346" s="15"/>
      <c r="L346" s="29"/>
      <c r="M346" s="32" t="str">
        <f t="shared" si="149"/>
        <v/>
      </c>
      <c r="N346" s="15"/>
      <c r="O346" s="137"/>
      <c r="P346" s="15"/>
      <c r="Q346" s="15"/>
      <c r="R346" s="15"/>
      <c r="S346" s="15"/>
      <c r="T346" s="15"/>
      <c r="U346" s="32" t="str">
        <f t="shared" si="150"/>
        <v/>
      </c>
      <c r="V346" s="15"/>
      <c r="W346" s="15"/>
      <c r="X346" s="32" t="str">
        <f t="shared" si="151"/>
        <v/>
      </c>
      <c r="Y346" s="32" t="str">
        <f t="shared" si="152"/>
        <v/>
      </c>
      <c r="Z346" s="15"/>
      <c r="AA346" s="15"/>
      <c r="AB346" s="15"/>
    </row>
    <row r="347" spans="1:28" s="46" customFormat="1" ht="19.899999999999999" customHeight="1" x14ac:dyDescent="0.15">
      <c r="A347" s="34"/>
      <c r="B347" s="96"/>
      <c r="C347" s="29"/>
      <c r="D347" s="32" t="str">
        <f t="shared" si="148"/>
        <v/>
      </c>
      <c r="E347" s="15"/>
      <c r="F347" s="15"/>
      <c r="G347" s="15"/>
      <c r="H347" s="15"/>
      <c r="I347" s="15"/>
      <c r="J347" s="29"/>
      <c r="K347" s="15"/>
      <c r="L347" s="29"/>
      <c r="M347" s="32" t="str">
        <f t="shared" si="149"/>
        <v/>
      </c>
      <c r="N347" s="15"/>
      <c r="O347" s="137"/>
      <c r="P347" s="15"/>
      <c r="Q347" s="15"/>
      <c r="R347" s="15"/>
      <c r="S347" s="15"/>
      <c r="T347" s="15"/>
      <c r="U347" s="32" t="str">
        <f t="shared" si="150"/>
        <v/>
      </c>
      <c r="V347" s="15"/>
      <c r="W347" s="15"/>
      <c r="X347" s="32" t="str">
        <f t="shared" si="151"/>
        <v/>
      </c>
      <c r="Y347" s="32" t="str">
        <f t="shared" si="152"/>
        <v/>
      </c>
      <c r="Z347" s="15"/>
      <c r="AA347" s="15"/>
      <c r="AB347" s="15"/>
    </row>
    <row r="348" spans="1:28" s="46" customFormat="1" ht="19.899999999999999" customHeight="1" x14ac:dyDescent="0.15">
      <c r="A348" s="34"/>
      <c r="B348" s="96"/>
      <c r="C348" s="29"/>
      <c r="D348" s="32" t="str">
        <f t="shared" si="148"/>
        <v/>
      </c>
      <c r="E348" s="15"/>
      <c r="F348" s="15"/>
      <c r="G348" s="15"/>
      <c r="H348" s="15"/>
      <c r="I348" s="15"/>
      <c r="J348" s="29"/>
      <c r="K348" s="15"/>
      <c r="L348" s="29"/>
      <c r="M348" s="32" t="str">
        <f t="shared" si="149"/>
        <v/>
      </c>
      <c r="N348" s="15"/>
      <c r="O348" s="137"/>
      <c r="P348" s="15"/>
      <c r="Q348" s="15"/>
      <c r="R348" s="15"/>
      <c r="S348" s="15"/>
      <c r="T348" s="15"/>
      <c r="U348" s="32" t="str">
        <f t="shared" si="150"/>
        <v/>
      </c>
      <c r="V348" s="15"/>
      <c r="W348" s="15"/>
      <c r="X348" s="32" t="str">
        <f t="shared" si="151"/>
        <v/>
      </c>
      <c r="Y348" s="32" t="str">
        <f t="shared" si="152"/>
        <v/>
      </c>
      <c r="Z348" s="15"/>
      <c r="AA348" s="15"/>
      <c r="AB348" s="15"/>
    </row>
    <row r="349" spans="1:28" s="46" customFormat="1" ht="19.899999999999999" customHeight="1" x14ac:dyDescent="0.15">
      <c r="A349" s="34"/>
      <c r="B349" s="96"/>
      <c r="C349" s="29"/>
      <c r="D349" s="32" t="str">
        <f t="shared" si="148"/>
        <v/>
      </c>
      <c r="E349" s="15"/>
      <c r="F349" s="15"/>
      <c r="G349" s="15"/>
      <c r="H349" s="15"/>
      <c r="I349" s="15"/>
      <c r="J349" s="29"/>
      <c r="K349" s="15"/>
      <c r="L349" s="29"/>
      <c r="M349" s="32" t="str">
        <f t="shared" si="149"/>
        <v/>
      </c>
      <c r="N349" s="15"/>
      <c r="O349" s="137"/>
      <c r="P349" s="15"/>
      <c r="Q349" s="15"/>
      <c r="R349" s="15"/>
      <c r="S349" s="15"/>
      <c r="T349" s="15"/>
      <c r="U349" s="32" t="str">
        <f t="shared" si="150"/>
        <v/>
      </c>
      <c r="V349" s="15"/>
      <c r="W349" s="15"/>
      <c r="X349" s="32" t="str">
        <f t="shared" si="151"/>
        <v/>
      </c>
      <c r="Y349" s="32" t="str">
        <f t="shared" si="152"/>
        <v/>
      </c>
      <c r="Z349" s="15"/>
      <c r="AA349" s="15"/>
      <c r="AB349" s="15"/>
    </row>
    <row r="350" spans="1:28" s="46" customFormat="1" ht="19.899999999999999" customHeight="1" x14ac:dyDescent="0.15">
      <c r="A350" s="34"/>
      <c r="B350" s="96"/>
      <c r="C350" s="29"/>
      <c r="D350" s="32" t="str">
        <f t="shared" si="148"/>
        <v/>
      </c>
      <c r="E350" s="15"/>
      <c r="F350" s="15"/>
      <c r="G350" s="15"/>
      <c r="H350" s="15"/>
      <c r="I350" s="15"/>
      <c r="J350" s="29"/>
      <c r="K350" s="15"/>
      <c r="L350" s="29"/>
      <c r="M350" s="32" t="str">
        <f t="shared" si="149"/>
        <v/>
      </c>
      <c r="N350" s="15"/>
      <c r="O350" s="137"/>
      <c r="P350" s="15"/>
      <c r="Q350" s="15"/>
      <c r="R350" s="15"/>
      <c r="S350" s="15"/>
      <c r="T350" s="15"/>
      <c r="U350" s="32" t="str">
        <f t="shared" si="150"/>
        <v/>
      </c>
      <c r="V350" s="15"/>
      <c r="W350" s="15"/>
      <c r="X350" s="32" t="str">
        <f t="shared" si="151"/>
        <v/>
      </c>
      <c r="Y350" s="32" t="str">
        <f t="shared" si="152"/>
        <v/>
      </c>
      <c r="Z350" s="15"/>
      <c r="AA350" s="15"/>
      <c r="AB350" s="15"/>
    </row>
    <row r="351" spans="1:28" s="46" customFormat="1" ht="19.899999999999999" customHeight="1" x14ac:dyDescent="0.15">
      <c r="A351" s="34"/>
      <c r="B351" s="96"/>
      <c r="C351" s="29"/>
      <c r="D351" s="32" t="str">
        <f t="shared" si="148"/>
        <v/>
      </c>
      <c r="E351" s="15"/>
      <c r="F351" s="15"/>
      <c r="G351" s="15"/>
      <c r="H351" s="15"/>
      <c r="I351" s="15"/>
      <c r="J351" s="29"/>
      <c r="K351" s="15"/>
      <c r="L351" s="29"/>
      <c r="M351" s="32" t="str">
        <f t="shared" si="149"/>
        <v/>
      </c>
      <c r="N351" s="15"/>
      <c r="O351" s="137"/>
      <c r="P351" s="15"/>
      <c r="Q351" s="15"/>
      <c r="R351" s="15"/>
      <c r="S351" s="15"/>
      <c r="T351" s="15"/>
      <c r="U351" s="32" t="str">
        <f t="shared" si="150"/>
        <v/>
      </c>
      <c r="V351" s="15"/>
      <c r="W351" s="15"/>
      <c r="X351" s="32" t="str">
        <f t="shared" si="151"/>
        <v/>
      </c>
      <c r="Y351" s="32" t="str">
        <f t="shared" si="152"/>
        <v/>
      </c>
      <c r="Z351" s="15"/>
      <c r="AA351" s="15"/>
      <c r="AB351" s="15"/>
    </row>
    <row r="352" spans="1:28" s="46" customFormat="1" ht="19.899999999999999" customHeight="1" x14ac:dyDescent="0.15">
      <c r="A352" s="34"/>
      <c r="B352" s="96"/>
      <c r="C352" s="29"/>
      <c r="D352" s="32" t="str">
        <f t="shared" si="148"/>
        <v/>
      </c>
      <c r="E352" s="15"/>
      <c r="F352" s="15"/>
      <c r="G352" s="15"/>
      <c r="H352" s="15"/>
      <c r="I352" s="15"/>
      <c r="J352" s="29"/>
      <c r="K352" s="15"/>
      <c r="L352" s="29"/>
      <c r="M352" s="32" t="str">
        <f t="shared" si="149"/>
        <v/>
      </c>
      <c r="N352" s="15"/>
      <c r="O352" s="137"/>
      <c r="P352" s="15"/>
      <c r="Q352" s="15"/>
      <c r="R352" s="15"/>
      <c r="S352" s="15"/>
      <c r="T352" s="15"/>
      <c r="U352" s="32" t="str">
        <f t="shared" si="150"/>
        <v/>
      </c>
      <c r="V352" s="15"/>
      <c r="W352" s="15"/>
      <c r="X352" s="32" t="str">
        <f t="shared" si="151"/>
        <v/>
      </c>
      <c r="Y352" s="32" t="str">
        <f t="shared" si="152"/>
        <v/>
      </c>
      <c r="Z352" s="15"/>
      <c r="AA352" s="15"/>
      <c r="AB352" s="15"/>
    </row>
    <row r="353" spans="1:28" s="46" customFormat="1" ht="19.899999999999999" customHeight="1" x14ac:dyDescent="0.15">
      <c r="A353" s="34"/>
      <c r="B353" s="96"/>
      <c r="C353" s="29"/>
      <c r="D353" s="32" t="str">
        <f t="shared" si="148"/>
        <v/>
      </c>
      <c r="E353" s="15"/>
      <c r="F353" s="15"/>
      <c r="G353" s="15"/>
      <c r="H353" s="15"/>
      <c r="I353" s="15"/>
      <c r="J353" s="29"/>
      <c r="K353" s="15"/>
      <c r="L353" s="29"/>
      <c r="M353" s="32" t="str">
        <f t="shared" si="149"/>
        <v/>
      </c>
      <c r="N353" s="15"/>
      <c r="O353" s="137"/>
      <c r="P353" s="15"/>
      <c r="Q353" s="15"/>
      <c r="R353" s="15"/>
      <c r="S353" s="15"/>
      <c r="T353" s="15"/>
      <c r="U353" s="32" t="str">
        <f t="shared" si="150"/>
        <v/>
      </c>
      <c r="V353" s="15"/>
      <c r="W353" s="15"/>
      <c r="X353" s="32" t="str">
        <f t="shared" si="151"/>
        <v/>
      </c>
      <c r="Y353" s="32" t="str">
        <f t="shared" si="152"/>
        <v/>
      </c>
      <c r="Z353" s="15"/>
      <c r="AA353" s="15"/>
      <c r="AB353" s="15"/>
    </row>
    <row r="354" spans="1:28" s="46" customFormat="1" ht="19.899999999999999" customHeight="1" x14ac:dyDescent="0.15">
      <c r="A354" s="34"/>
      <c r="B354" s="96"/>
      <c r="C354" s="29"/>
      <c r="D354" s="32" t="str">
        <f t="shared" si="148"/>
        <v/>
      </c>
      <c r="E354" s="15"/>
      <c r="F354" s="15"/>
      <c r="G354" s="15"/>
      <c r="H354" s="15"/>
      <c r="I354" s="15"/>
      <c r="J354" s="29"/>
      <c r="K354" s="15"/>
      <c r="L354" s="29"/>
      <c r="M354" s="32" t="str">
        <f t="shared" si="149"/>
        <v/>
      </c>
      <c r="N354" s="15"/>
      <c r="O354" s="137"/>
      <c r="P354" s="15"/>
      <c r="Q354" s="15"/>
      <c r="R354" s="15"/>
      <c r="S354" s="15"/>
      <c r="T354" s="15"/>
      <c r="U354" s="32" t="str">
        <f t="shared" si="150"/>
        <v/>
      </c>
      <c r="V354" s="15"/>
      <c r="W354" s="15"/>
      <c r="X354" s="32" t="str">
        <f t="shared" si="151"/>
        <v/>
      </c>
      <c r="Y354" s="32" t="str">
        <f t="shared" si="152"/>
        <v/>
      </c>
      <c r="Z354" s="15"/>
      <c r="AA354" s="15"/>
      <c r="AB354" s="15"/>
    </row>
    <row r="355" spans="1:28" s="46" customFormat="1" ht="19.899999999999999" customHeight="1" x14ac:dyDescent="0.15">
      <c r="A355" s="34"/>
      <c r="B355" s="96"/>
      <c r="C355" s="29"/>
      <c r="D355" s="32" t="str">
        <f t="shared" si="148"/>
        <v/>
      </c>
      <c r="E355" s="15"/>
      <c r="F355" s="15"/>
      <c r="G355" s="15"/>
      <c r="H355" s="15"/>
      <c r="I355" s="15"/>
      <c r="J355" s="29"/>
      <c r="K355" s="15"/>
      <c r="L355" s="29"/>
      <c r="M355" s="32" t="str">
        <f t="shared" si="149"/>
        <v/>
      </c>
      <c r="N355" s="15"/>
      <c r="O355" s="137"/>
      <c r="P355" s="15"/>
      <c r="Q355" s="15"/>
      <c r="R355" s="15"/>
      <c r="S355" s="15"/>
      <c r="T355" s="15"/>
      <c r="U355" s="32" t="str">
        <f t="shared" si="150"/>
        <v/>
      </c>
      <c r="V355" s="15"/>
      <c r="W355" s="15"/>
      <c r="X355" s="32" t="str">
        <f t="shared" si="151"/>
        <v/>
      </c>
      <c r="Y355" s="32" t="str">
        <f t="shared" si="152"/>
        <v/>
      </c>
      <c r="Z355" s="15"/>
      <c r="AA355" s="15"/>
      <c r="AB355" s="15"/>
    </row>
    <row r="356" spans="1:28" s="46" customFormat="1" ht="19.899999999999999" customHeight="1" x14ac:dyDescent="0.15">
      <c r="A356" s="34"/>
      <c r="B356" s="96"/>
      <c r="C356" s="29"/>
      <c r="D356" s="32" t="str">
        <f t="shared" si="148"/>
        <v/>
      </c>
      <c r="E356" s="15"/>
      <c r="F356" s="15"/>
      <c r="G356" s="15"/>
      <c r="H356" s="15"/>
      <c r="I356" s="15"/>
      <c r="J356" s="29"/>
      <c r="K356" s="15"/>
      <c r="L356" s="29"/>
      <c r="M356" s="32" t="str">
        <f t="shared" si="149"/>
        <v/>
      </c>
      <c r="N356" s="15"/>
      <c r="O356" s="137"/>
      <c r="P356" s="15"/>
      <c r="Q356" s="15"/>
      <c r="R356" s="15"/>
      <c r="S356" s="15"/>
      <c r="T356" s="15"/>
      <c r="U356" s="32" t="str">
        <f t="shared" si="150"/>
        <v/>
      </c>
      <c r="V356" s="15"/>
      <c r="W356" s="15"/>
      <c r="X356" s="32" t="str">
        <f t="shared" si="151"/>
        <v/>
      </c>
      <c r="Y356" s="32" t="str">
        <f t="shared" si="152"/>
        <v/>
      </c>
      <c r="Z356" s="15"/>
      <c r="AA356" s="15"/>
      <c r="AB356" s="15"/>
    </row>
    <row r="357" spans="1:28" s="46" customFormat="1" ht="19.899999999999999" customHeight="1" x14ac:dyDescent="0.15">
      <c r="A357" s="34"/>
      <c r="B357" s="96"/>
      <c r="C357" s="29"/>
      <c r="D357" s="32" t="str">
        <f t="shared" si="148"/>
        <v/>
      </c>
      <c r="E357" s="15"/>
      <c r="F357" s="15"/>
      <c r="G357" s="15"/>
      <c r="H357" s="15"/>
      <c r="I357" s="15"/>
      <c r="J357" s="29"/>
      <c r="K357" s="15"/>
      <c r="L357" s="29"/>
      <c r="M357" s="32" t="str">
        <f t="shared" si="149"/>
        <v/>
      </c>
      <c r="N357" s="15"/>
      <c r="O357" s="137"/>
      <c r="P357" s="15"/>
      <c r="Q357" s="15"/>
      <c r="R357" s="15"/>
      <c r="S357" s="15"/>
      <c r="T357" s="15"/>
      <c r="U357" s="32" t="str">
        <f t="shared" si="150"/>
        <v/>
      </c>
      <c r="V357" s="15"/>
      <c r="W357" s="15"/>
      <c r="X357" s="32" t="str">
        <f t="shared" si="151"/>
        <v/>
      </c>
      <c r="Y357" s="32" t="str">
        <f t="shared" si="152"/>
        <v/>
      </c>
      <c r="Z357" s="15"/>
      <c r="AA357" s="15"/>
      <c r="AB357" s="15"/>
    </row>
    <row r="358" spans="1:28" s="46" customFormat="1" ht="19.899999999999999" customHeight="1" x14ac:dyDescent="0.15">
      <c r="A358" s="34"/>
      <c r="B358" s="96"/>
      <c r="C358" s="29"/>
      <c r="D358" s="32" t="str">
        <f t="shared" si="148"/>
        <v/>
      </c>
      <c r="E358" s="15"/>
      <c r="F358" s="15"/>
      <c r="G358" s="15"/>
      <c r="H358" s="15"/>
      <c r="I358" s="15"/>
      <c r="J358" s="29"/>
      <c r="K358" s="15"/>
      <c r="L358" s="29"/>
      <c r="M358" s="32" t="str">
        <f t="shared" si="149"/>
        <v/>
      </c>
      <c r="N358" s="15"/>
      <c r="O358" s="137"/>
      <c r="P358" s="15"/>
      <c r="Q358" s="15"/>
      <c r="R358" s="15"/>
      <c r="S358" s="15"/>
      <c r="T358" s="15"/>
      <c r="U358" s="32" t="str">
        <f t="shared" si="150"/>
        <v/>
      </c>
      <c r="V358" s="15"/>
      <c r="W358" s="15"/>
      <c r="X358" s="32" t="str">
        <f t="shared" si="151"/>
        <v/>
      </c>
      <c r="Y358" s="32" t="str">
        <f t="shared" si="152"/>
        <v/>
      </c>
      <c r="Z358" s="15"/>
      <c r="AA358" s="15"/>
      <c r="AB358" s="15"/>
    </row>
    <row r="359" spans="1:28" s="46" customFormat="1" ht="19.899999999999999" customHeight="1" x14ac:dyDescent="0.15">
      <c r="A359" s="34"/>
      <c r="B359" s="96"/>
      <c r="C359" s="29"/>
      <c r="D359" s="32" t="str">
        <f t="shared" si="148"/>
        <v/>
      </c>
      <c r="E359" s="15"/>
      <c r="F359" s="15"/>
      <c r="G359" s="15"/>
      <c r="H359" s="15"/>
      <c r="I359" s="15"/>
      <c r="J359" s="29"/>
      <c r="K359" s="15"/>
      <c r="L359" s="29"/>
      <c r="M359" s="32" t="str">
        <f t="shared" si="149"/>
        <v/>
      </c>
      <c r="N359" s="15"/>
      <c r="O359" s="137"/>
      <c r="P359" s="15"/>
      <c r="Q359" s="15"/>
      <c r="R359" s="15"/>
      <c r="S359" s="15"/>
      <c r="T359" s="15"/>
      <c r="U359" s="32" t="str">
        <f t="shared" si="150"/>
        <v/>
      </c>
      <c r="V359" s="15"/>
      <c r="W359" s="15"/>
      <c r="X359" s="32" t="str">
        <f t="shared" si="151"/>
        <v/>
      </c>
      <c r="Y359" s="32" t="str">
        <f t="shared" si="152"/>
        <v/>
      </c>
      <c r="Z359" s="15"/>
      <c r="AA359" s="15"/>
      <c r="AB359" s="15"/>
    </row>
    <row r="360" spans="1:28" s="46" customFormat="1" ht="19.899999999999999" customHeight="1" x14ac:dyDescent="0.15">
      <c r="A360" s="34"/>
      <c r="B360" s="96"/>
      <c r="C360" s="29"/>
      <c r="D360" s="32" t="str">
        <f t="shared" si="148"/>
        <v/>
      </c>
      <c r="E360" s="15"/>
      <c r="F360" s="15"/>
      <c r="G360" s="15"/>
      <c r="H360" s="15"/>
      <c r="I360" s="15"/>
      <c r="J360" s="29"/>
      <c r="K360" s="15"/>
      <c r="L360" s="29"/>
      <c r="M360" s="32" t="str">
        <f t="shared" si="149"/>
        <v/>
      </c>
      <c r="N360" s="15"/>
      <c r="O360" s="137"/>
      <c r="P360" s="15"/>
      <c r="Q360" s="15"/>
      <c r="R360" s="15"/>
      <c r="S360" s="15"/>
      <c r="T360" s="15"/>
      <c r="U360" s="32" t="str">
        <f t="shared" si="150"/>
        <v/>
      </c>
      <c r="V360" s="15"/>
      <c r="W360" s="15"/>
      <c r="X360" s="32" t="str">
        <f t="shared" si="151"/>
        <v/>
      </c>
      <c r="Y360" s="32" t="str">
        <f t="shared" si="152"/>
        <v/>
      </c>
      <c r="Z360" s="15"/>
      <c r="AA360" s="15"/>
      <c r="AB360" s="15"/>
    </row>
    <row r="361" spans="1:28" s="46" customFormat="1" ht="19.899999999999999" customHeight="1" x14ac:dyDescent="0.15">
      <c r="A361" s="34"/>
      <c r="B361" s="96"/>
      <c r="C361" s="29"/>
      <c r="D361" s="32" t="str">
        <f t="shared" si="148"/>
        <v/>
      </c>
      <c r="E361" s="15"/>
      <c r="F361" s="15"/>
      <c r="G361" s="15"/>
      <c r="H361" s="15"/>
      <c r="I361" s="15"/>
      <c r="J361" s="29"/>
      <c r="K361" s="15"/>
      <c r="L361" s="29"/>
      <c r="M361" s="32" t="str">
        <f t="shared" si="149"/>
        <v/>
      </c>
      <c r="N361" s="15"/>
      <c r="O361" s="137"/>
      <c r="P361" s="15"/>
      <c r="Q361" s="15"/>
      <c r="R361" s="15"/>
      <c r="S361" s="15"/>
      <c r="T361" s="15"/>
      <c r="U361" s="32" t="str">
        <f t="shared" si="150"/>
        <v/>
      </c>
      <c r="V361" s="15"/>
      <c r="W361" s="15"/>
      <c r="X361" s="32" t="str">
        <f t="shared" si="151"/>
        <v/>
      </c>
      <c r="Y361" s="32" t="str">
        <f t="shared" si="152"/>
        <v/>
      </c>
      <c r="Z361" s="15"/>
      <c r="AA361" s="15"/>
      <c r="AB361" s="15"/>
    </row>
    <row r="362" spans="1:28" s="46" customFormat="1" ht="19.899999999999999" customHeight="1" x14ac:dyDescent="0.15">
      <c r="A362" s="34"/>
      <c r="B362" s="96"/>
      <c r="C362" s="29"/>
      <c r="D362" s="32" t="str">
        <f t="shared" si="148"/>
        <v/>
      </c>
      <c r="E362" s="15"/>
      <c r="F362" s="15"/>
      <c r="G362" s="15"/>
      <c r="H362" s="15"/>
      <c r="I362" s="15"/>
      <c r="J362" s="29"/>
      <c r="K362" s="15"/>
      <c r="L362" s="29"/>
      <c r="M362" s="32" t="str">
        <f t="shared" si="149"/>
        <v/>
      </c>
      <c r="N362" s="15"/>
      <c r="O362" s="137"/>
      <c r="P362" s="15"/>
      <c r="Q362" s="15"/>
      <c r="R362" s="15"/>
      <c r="S362" s="15"/>
      <c r="T362" s="15"/>
      <c r="U362" s="32" t="str">
        <f t="shared" si="150"/>
        <v/>
      </c>
      <c r="V362" s="15"/>
      <c r="W362" s="15"/>
      <c r="X362" s="32" t="str">
        <f t="shared" si="151"/>
        <v/>
      </c>
      <c r="Y362" s="32" t="str">
        <f t="shared" si="152"/>
        <v/>
      </c>
      <c r="Z362" s="15"/>
      <c r="AA362" s="15"/>
      <c r="AB362" s="15"/>
    </row>
    <row r="363" spans="1:28" s="46" customFormat="1" ht="19.899999999999999" customHeight="1" x14ac:dyDescent="0.15">
      <c r="A363" s="34"/>
      <c r="B363" s="96"/>
      <c r="C363" s="29"/>
      <c r="D363" s="32" t="str">
        <f t="shared" si="148"/>
        <v/>
      </c>
      <c r="E363" s="15"/>
      <c r="F363" s="15"/>
      <c r="G363" s="15"/>
      <c r="H363" s="15"/>
      <c r="I363" s="15"/>
      <c r="J363" s="29"/>
      <c r="K363" s="15"/>
      <c r="L363" s="29"/>
      <c r="M363" s="32" t="str">
        <f t="shared" si="149"/>
        <v/>
      </c>
      <c r="N363" s="15"/>
      <c r="O363" s="137"/>
      <c r="P363" s="15"/>
      <c r="Q363" s="15"/>
      <c r="R363" s="15"/>
      <c r="S363" s="15"/>
      <c r="T363" s="15"/>
      <c r="U363" s="32" t="str">
        <f t="shared" si="150"/>
        <v/>
      </c>
      <c r="V363" s="15"/>
      <c r="W363" s="15"/>
      <c r="X363" s="32" t="str">
        <f t="shared" si="151"/>
        <v/>
      </c>
      <c r="Y363" s="32" t="str">
        <f t="shared" si="152"/>
        <v/>
      </c>
      <c r="Z363" s="15"/>
      <c r="AA363" s="15"/>
      <c r="AB363" s="15"/>
    </row>
    <row r="364" spans="1:28" s="46" customFormat="1" ht="19.899999999999999" customHeight="1" x14ac:dyDescent="0.15">
      <c r="A364" s="34"/>
      <c r="B364" s="96"/>
      <c r="C364" s="29"/>
      <c r="D364" s="32" t="str">
        <f t="shared" si="148"/>
        <v/>
      </c>
      <c r="E364" s="15"/>
      <c r="F364" s="15"/>
      <c r="G364" s="15"/>
      <c r="H364" s="15"/>
      <c r="I364" s="15"/>
      <c r="J364" s="29"/>
      <c r="K364" s="15"/>
      <c r="L364" s="29"/>
      <c r="M364" s="32" t="str">
        <f t="shared" si="149"/>
        <v/>
      </c>
      <c r="N364" s="15"/>
      <c r="O364" s="137"/>
      <c r="P364" s="15"/>
      <c r="Q364" s="15"/>
      <c r="R364" s="15"/>
      <c r="S364" s="15"/>
      <c r="T364" s="15"/>
      <c r="U364" s="32" t="str">
        <f t="shared" si="150"/>
        <v/>
      </c>
      <c r="V364" s="15"/>
      <c r="W364" s="15"/>
      <c r="X364" s="32" t="str">
        <f t="shared" si="151"/>
        <v/>
      </c>
      <c r="Y364" s="32" t="str">
        <f t="shared" si="152"/>
        <v/>
      </c>
      <c r="Z364" s="15"/>
      <c r="AA364" s="15"/>
      <c r="AB364" s="15"/>
    </row>
    <row r="365" spans="1:28" s="46" customFormat="1" ht="19.899999999999999" customHeight="1" x14ac:dyDescent="0.15">
      <c r="A365" s="34"/>
      <c r="B365" s="96"/>
      <c r="C365" s="29"/>
      <c r="D365" s="32" t="str">
        <f t="shared" si="148"/>
        <v/>
      </c>
      <c r="E365" s="15"/>
      <c r="F365" s="15"/>
      <c r="G365" s="15"/>
      <c r="H365" s="15"/>
      <c r="I365" s="15"/>
      <c r="J365" s="29"/>
      <c r="K365" s="15"/>
      <c r="L365" s="29"/>
      <c r="M365" s="32" t="str">
        <f t="shared" si="149"/>
        <v/>
      </c>
      <c r="N365" s="15"/>
      <c r="O365" s="137"/>
      <c r="P365" s="15"/>
      <c r="Q365" s="15"/>
      <c r="R365" s="15"/>
      <c r="S365" s="15"/>
      <c r="T365" s="15"/>
      <c r="U365" s="32" t="str">
        <f t="shared" si="150"/>
        <v/>
      </c>
      <c r="V365" s="15"/>
      <c r="W365" s="15"/>
      <c r="X365" s="32" t="str">
        <f t="shared" si="151"/>
        <v/>
      </c>
      <c r="Y365" s="32" t="str">
        <f t="shared" si="152"/>
        <v/>
      </c>
      <c r="Z365" s="15"/>
      <c r="AA365" s="15"/>
      <c r="AB365" s="15"/>
    </row>
    <row r="366" spans="1:28" s="46" customFormat="1" ht="19.899999999999999" customHeight="1" x14ac:dyDescent="0.15">
      <c r="A366" s="34"/>
      <c r="B366" s="96"/>
      <c r="C366" s="29"/>
      <c r="D366" s="32" t="str">
        <f t="shared" si="148"/>
        <v/>
      </c>
      <c r="E366" s="15"/>
      <c r="F366" s="15"/>
      <c r="G366" s="15"/>
      <c r="H366" s="15"/>
      <c r="I366" s="15"/>
      <c r="J366" s="29"/>
      <c r="K366" s="15"/>
      <c r="L366" s="29"/>
      <c r="M366" s="32" t="str">
        <f t="shared" si="149"/>
        <v/>
      </c>
      <c r="N366" s="15"/>
      <c r="O366" s="137"/>
      <c r="P366" s="15"/>
      <c r="Q366" s="15"/>
      <c r="R366" s="15"/>
      <c r="S366" s="15"/>
      <c r="T366" s="15"/>
      <c r="U366" s="32" t="str">
        <f t="shared" si="150"/>
        <v/>
      </c>
      <c r="V366" s="15"/>
      <c r="W366" s="15"/>
      <c r="X366" s="32" t="str">
        <f t="shared" si="151"/>
        <v/>
      </c>
      <c r="Y366" s="32" t="str">
        <f t="shared" si="152"/>
        <v/>
      </c>
      <c r="Z366" s="15"/>
      <c r="AA366" s="15"/>
      <c r="AB366" s="15"/>
    </row>
    <row r="367" spans="1:28" s="46" customFormat="1" ht="19.899999999999999" customHeight="1" x14ac:dyDescent="0.15">
      <c r="A367" s="34"/>
      <c r="B367" s="96"/>
      <c r="C367" s="29"/>
      <c r="D367" s="32" t="str">
        <f t="shared" si="148"/>
        <v/>
      </c>
      <c r="E367" s="15"/>
      <c r="F367" s="15"/>
      <c r="G367" s="15"/>
      <c r="H367" s="15"/>
      <c r="I367" s="15"/>
      <c r="J367" s="29"/>
      <c r="K367" s="15"/>
      <c r="L367" s="29"/>
      <c r="M367" s="32" t="str">
        <f t="shared" si="149"/>
        <v/>
      </c>
      <c r="N367" s="15"/>
      <c r="O367" s="137"/>
      <c r="P367" s="15"/>
      <c r="Q367" s="15"/>
      <c r="R367" s="15"/>
      <c r="S367" s="15"/>
      <c r="T367" s="15"/>
      <c r="U367" s="32" t="str">
        <f t="shared" si="150"/>
        <v/>
      </c>
      <c r="V367" s="15"/>
      <c r="W367" s="15"/>
      <c r="X367" s="32" t="str">
        <f t="shared" si="151"/>
        <v/>
      </c>
      <c r="Y367" s="32" t="str">
        <f t="shared" si="152"/>
        <v/>
      </c>
      <c r="Z367" s="15"/>
      <c r="AA367" s="15"/>
      <c r="AB367" s="15"/>
    </row>
    <row r="368" spans="1:28" s="46" customFormat="1" ht="19.899999999999999" customHeight="1" x14ac:dyDescent="0.15">
      <c r="A368" s="34"/>
      <c r="B368" s="96"/>
      <c r="C368" s="29"/>
      <c r="D368" s="32" t="str">
        <f t="shared" si="148"/>
        <v/>
      </c>
      <c r="E368" s="15"/>
      <c r="F368" s="15"/>
      <c r="G368" s="15"/>
      <c r="H368" s="15"/>
      <c r="I368" s="15"/>
      <c r="J368" s="29"/>
      <c r="K368" s="15"/>
      <c r="L368" s="29"/>
      <c r="M368" s="32" t="str">
        <f t="shared" si="149"/>
        <v/>
      </c>
      <c r="N368" s="15"/>
      <c r="O368" s="137"/>
      <c r="P368" s="15"/>
      <c r="Q368" s="15"/>
      <c r="R368" s="15"/>
      <c r="S368" s="15"/>
      <c r="T368" s="15"/>
      <c r="U368" s="32" t="str">
        <f t="shared" si="150"/>
        <v/>
      </c>
      <c r="V368" s="15"/>
      <c r="W368" s="15"/>
      <c r="X368" s="32" t="str">
        <f t="shared" si="151"/>
        <v/>
      </c>
      <c r="Y368" s="32" t="str">
        <f t="shared" si="152"/>
        <v/>
      </c>
      <c r="Z368" s="15"/>
      <c r="AA368" s="15"/>
      <c r="AB368" s="15"/>
    </row>
    <row r="369" spans="1:28" s="46" customFormat="1" ht="19.899999999999999" customHeight="1" x14ac:dyDescent="0.15">
      <c r="A369" s="34"/>
      <c r="B369" s="96"/>
      <c r="C369" s="29"/>
      <c r="D369" s="32" t="str">
        <f t="shared" si="148"/>
        <v/>
      </c>
      <c r="E369" s="15"/>
      <c r="F369" s="15"/>
      <c r="G369" s="15"/>
      <c r="H369" s="15"/>
      <c r="I369" s="15"/>
      <c r="J369" s="29"/>
      <c r="K369" s="15"/>
      <c r="L369" s="29"/>
      <c r="M369" s="32" t="str">
        <f t="shared" si="149"/>
        <v/>
      </c>
      <c r="N369" s="15"/>
      <c r="O369" s="137"/>
      <c r="P369" s="15"/>
      <c r="Q369" s="15"/>
      <c r="R369" s="15"/>
      <c r="S369" s="15"/>
      <c r="T369" s="15"/>
      <c r="U369" s="32" t="str">
        <f t="shared" si="150"/>
        <v/>
      </c>
      <c r="V369" s="15"/>
      <c r="W369" s="15"/>
      <c r="X369" s="32" t="str">
        <f t="shared" si="151"/>
        <v/>
      </c>
      <c r="Y369" s="32" t="str">
        <f t="shared" si="152"/>
        <v/>
      </c>
      <c r="Z369" s="15"/>
      <c r="AA369" s="15"/>
      <c r="AB369" s="15"/>
    </row>
    <row r="370" spans="1:28" s="46" customFormat="1" ht="19.899999999999999" customHeight="1" x14ac:dyDescent="0.15">
      <c r="A370" s="34"/>
      <c r="B370" s="96"/>
      <c r="C370" s="29"/>
      <c r="D370" s="32" t="str">
        <f t="shared" si="148"/>
        <v/>
      </c>
      <c r="E370" s="15"/>
      <c r="F370" s="15"/>
      <c r="G370" s="15"/>
      <c r="H370" s="15"/>
      <c r="I370" s="15"/>
      <c r="J370" s="29"/>
      <c r="K370" s="15"/>
      <c r="L370" s="29"/>
      <c r="M370" s="32" t="str">
        <f t="shared" si="149"/>
        <v/>
      </c>
      <c r="N370" s="15"/>
      <c r="O370" s="137"/>
      <c r="P370" s="15"/>
      <c r="Q370" s="15"/>
      <c r="R370" s="15"/>
      <c r="S370" s="15"/>
      <c r="T370" s="15"/>
      <c r="U370" s="32" t="str">
        <f t="shared" si="150"/>
        <v/>
      </c>
      <c r="V370" s="15"/>
      <c r="W370" s="15"/>
      <c r="X370" s="32" t="str">
        <f t="shared" si="151"/>
        <v/>
      </c>
      <c r="Y370" s="32" t="str">
        <f t="shared" si="152"/>
        <v/>
      </c>
      <c r="Z370" s="15"/>
      <c r="AA370" s="15"/>
      <c r="AB370" s="15"/>
    </row>
    <row r="371" spans="1:28" s="46" customFormat="1" ht="19.899999999999999" customHeight="1" x14ac:dyDescent="0.15">
      <c r="A371" s="34"/>
      <c r="B371" s="96"/>
      <c r="C371" s="29"/>
      <c r="D371" s="32" t="str">
        <f t="shared" si="148"/>
        <v/>
      </c>
      <c r="E371" s="15"/>
      <c r="F371" s="15"/>
      <c r="G371" s="15"/>
      <c r="H371" s="15"/>
      <c r="I371" s="15"/>
      <c r="J371" s="29"/>
      <c r="K371" s="15"/>
      <c r="L371" s="29"/>
      <c r="M371" s="32" t="str">
        <f t="shared" si="149"/>
        <v/>
      </c>
      <c r="N371" s="15"/>
      <c r="O371" s="137"/>
      <c r="P371" s="15"/>
      <c r="Q371" s="15"/>
      <c r="R371" s="15"/>
      <c r="S371" s="15"/>
      <c r="T371" s="15"/>
      <c r="U371" s="32" t="str">
        <f t="shared" si="150"/>
        <v/>
      </c>
      <c r="V371" s="15"/>
      <c r="W371" s="15"/>
      <c r="X371" s="32" t="str">
        <f t="shared" si="151"/>
        <v/>
      </c>
      <c r="Y371" s="32" t="str">
        <f t="shared" si="152"/>
        <v/>
      </c>
      <c r="Z371" s="15"/>
      <c r="AA371" s="15"/>
      <c r="AB371" s="15"/>
    </row>
    <row r="372" spans="1:28" s="46" customFormat="1" ht="19.899999999999999" customHeight="1" x14ac:dyDescent="0.15">
      <c r="A372" s="34"/>
      <c r="B372" s="96"/>
      <c r="C372" s="29"/>
      <c r="D372" s="32" t="str">
        <f t="shared" si="148"/>
        <v/>
      </c>
      <c r="E372" s="15"/>
      <c r="F372" s="15"/>
      <c r="G372" s="15"/>
      <c r="H372" s="15"/>
      <c r="I372" s="15"/>
      <c r="J372" s="29"/>
      <c r="K372" s="15"/>
      <c r="L372" s="29"/>
      <c r="M372" s="32" t="str">
        <f t="shared" si="149"/>
        <v/>
      </c>
      <c r="N372" s="15"/>
      <c r="O372" s="137"/>
      <c r="P372" s="15"/>
      <c r="Q372" s="15"/>
      <c r="R372" s="15"/>
      <c r="S372" s="15"/>
      <c r="T372" s="15"/>
      <c r="U372" s="32" t="str">
        <f t="shared" si="150"/>
        <v/>
      </c>
      <c r="V372" s="15"/>
      <c r="W372" s="15"/>
      <c r="X372" s="32" t="str">
        <f t="shared" si="151"/>
        <v/>
      </c>
      <c r="Y372" s="32" t="str">
        <f t="shared" si="152"/>
        <v/>
      </c>
      <c r="Z372" s="15"/>
      <c r="AA372" s="15"/>
      <c r="AB372" s="15"/>
    </row>
    <row r="373" spans="1:28" s="46" customFormat="1" ht="19.899999999999999" customHeight="1" x14ac:dyDescent="0.15">
      <c r="A373" s="34"/>
      <c r="B373" s="96"/>
      <c r="C373" s="29"/>
      <c r="D373" s="32" t="str">
        <f t="shared" si="148"/>
        <v/>
      </c>
      <c r="E373" s="15"/>
      <c r="F373" s="15"/>
      <c r="G373" s="15"/>
      <c r="H373" s="15"/>
      <c r="I373" s="15"/>
      <c r="J373" s="29"/>
      <c r="K373" s="15"/>
      <c r="L373" s="29"/>
      <c r="M373" s="32" t="str">
        <f t="shared" si="149"/>
        <v/>
      </c>
      <c r="N373" s="15"/>
      <c r="O373" s="137"/>
      <c r="P373" s="15"/>
      <c r="Q373" s="15"/>
      <c r="R373" s="15"/>
      <c r="S373" s="15"/>
      <c r="T373" s="15"/>
      <c r="U373" s="32" t="str">
        <f t="shared" si="150"/>
        <v/>
      </c>
      <c r="V373" s="15"/>
      <c r="W373" s="15"/>
      <c r="X373" s="32" t="str">
        <f t="shared" si="151"/>
        <v/>
      </c>
      <c r="Y373" s="32" t="str">
        <f t="shared" si="152"/>
        <v/>
      </c>
      <c r="Z373" s="15"/>
      <c r="AA373" s="15"/>
      <c r="AB373" s="15"/>
    </row>
    <row r="374" spans="1:28" s="46" customFormat="1" ht="19.899999999999999" customHeight="1" x14ac:dyDescent="0.15">
      <c r="A374" s="34"/>
      <c r="B374" s="96"/>
      <c r="C374" s="29"/>
      <c r="D374" s="32" t="str">
        <f t="shared" si="148"/>
        <v/>
      </c>
      <c r="E374" s="15"/>
      <c r="F374" s="15"/>
      <c r="G374" s="15"/>
      <c r="H374" s="15"/>
      <c r="I374" s="15"/>
      <c r="J374" s="29"/>
      <c r="K374" s="15"/>
      <c r="L374" s="29"/>
      <c r="M374" s="32" t="str">
        <f t="shared" si="149"/>
        <v/>
      </c>
      <c r="N374" s="15"/>
      <c r="O374" s="137"/>
      <c r="P374" s="15"/>
      <c r="Q374" s="15"/>
      <c r="R374" s="15"/>
      <c r="S374" s="15"/>
      <c r="T374" s="15"/>
      <c r="U374" s="32" t="str">
        <f t="shared" si="150"/>
        <v/>
      </c>
      <c r="V374" s="15"/>
      <c r="W374" s="15"/>
      <c r="X374" s="32" t="str">
        <f t="shared" si="151"/>
        <v/>
      </c>
      <c r="Y374" s="32" t="str">
        <f t="shared" si="152"/>
        <v/>
      </c>
      <c r="Z374" s="15"/>
      <c r="AA374" s="15"/>
      <c r="AB374" s="15"/>
    </row>
    <row r="375" spans="1:28" s="46" customFormat="1" ht="19.899999999999999" customHeight="1" x14ac:dyDescent="0.15">
      <c r="A375" s="34"/>
      <c r="B375" s="96"/>
      <c r="C375" s="29"/>
      <c r="D375" s="32" t="str">
        <f t="shared" si="148"/>
        <v/>
      </c>
      <c r="E375" s="15"/>
      <c r="F375" s="15"/>
      <c r="G375" s="15"/>
      <c r="H375" s="15"/>
      <c r="I375" s="15"/>
      <c r="J375" s="29"/>
      <c r="K375" s="15"/>
      <c r="L375" s="29"/>
      <c r="M375" s="32" t="str">
        <f t="shared" si="149"/>
        <v/>
      </c>
      <c r="N375" s="15"/>
      <c r="O375" s="137"/>
      <c r="P375" s="15"/>
      <c r="Q375" s="15"/>
      <c r="R375" s="15"/>
      <c r="S375" s="15"/>
      <c r="T375" s="15"/>
      <c r="U375" s="32" t="str">
        <f t="shared" si="150"/>
        <v/>
      </c>
      <c r="V375" s="15"/>
      <c r="W375" s="15"/>
      <c r="X375" s="32" t="str">
        <f t="shared" si="151"/>
        <v/>
      </c>
      <c r="Y375" s="32" t="str">
        <f t="shared" si="152"/>
        <v/>
      </c>
      <c r="Z375" s="15"/>
      <c r="AA375" s="15"/>
      <c r="AB375" s="15"/>
    </row>
    <row r="376" spans="1:28" s="46" customFormat="1" ht="19.899999999999999" customHeight="1" x14ac:dyDescent="0.15">
      <c r="A376" s="34"/>
      <c r="B376" s="96"/>
      <c r="C376" s="29"/>
      <c r="D376" s="32" t="str">
        <f t="shared" si="148"/>
        <v/>
      </c>
      <c r="E376" s="15"/>
      <c r="F376" s="15"/>
      <c r="G376" s="15"/>
      <c r="H376" s="15"/>
      <c r="I376" s="15"/>
      <c r="J376" s="29"/>
      <c r="K376" s="15"/>
      <c r="L376" s="29"/>
      <c r="M376" s="32" t="str">
        <f t="shared" si="149"/>
        <v/>
      </c>
      <c r="N376" s="15"/>
      <c r="O376" s="137"/>
      <c r="P376" s="15"/>
      <c r="Q376" s="15"/>
      <c r="R376" s="15"/>
      <c r="S376" s="15"/>
      <c r="T376" s="15"/>
      <c r="U376" s="32" t="str">
        <f t="shared" si="150"/>
        <v/>
      </c>
      <c r="V376" s="15"/>
      <c r="W376" s="15"/>
      <c r="X376" s="32" t="str">
        <f t="shared" si="151"/>
        <v/>
      </c>
      <c r="Y376" s="32" t="str">
        <f t="shared" si="152"/>
        <v/>
      </c>
      <c r="Z376" s="15"/>
      <c r="AA376" s="15"/>
      <c r="AB376" s="15"/>
    </row>
    <row r="377" spans="1:28" s="46" customFormat="1" ht="19.899999999999999" customHeight="1" x14ac:dyDescent="0.15">
      <c r="A377" s="34"/>
      <c r="B377" s="96"/>
      <c r="C377" s="29"/>
      <c r="D377" s="32" t="str">
        <f t="shared" si="148"/>
        <v/>
      </c>
      <c r="E377" s="15"/>
      <c r="F377" s="15"/>
      <c r="G377" s="15"/>
      <c r="H377" s="15"/>
      <c r="I377" s="15"/>
      <c r="J377" s="29"/>
      <c r="K377" s="15"/>
      <c r="L377" s="29"/>
      <c r="M377" s="32" t="str">
        <f t="shared" si="149"/>
        <v/>
      </c>
      <c r="N377" s="15"/>
      <c r="O377" s="137"/>
      <c r="P377" s="15"/>
      <c r="Q377" s="15"/>
      <c r="R377" s="15"/>
      <c r="S377" s="15"/>
      <c r="T377" s="15"/>
      <c r="U377" s="32" t="str">
        <f t="shared" si="150"/>
        <v/>
      </c>
      <c r="V377" s="15"/>
      <c r="W377" s="15"/>
      <c r="X377" s="32" t="str">
        <f t="shared" si="151"/>
        <v/>
      </c>
      <c r="Y377" s="32" t="str">
        <f t="shared" si="152"/>
        <v/>
      </c>
      <c r="Z377" s="15"/>
      <c r="AA377" s="15"/>
      <c r="AB377" s="15"/>
    </row>
    <row r="378" spans="1:28" s="46" customFormat="1" ht="19.899999999999999" customHeight="1" x14ac:dyDescent="0.15">
      <c r="A378" s="34"/>
      <c r="B378" s="96"/>
      <c r="C378" s="29"/>
      <c r="D378" s="32" t="str">
        <f t="shared" si="148"/>
        <v/>
      </c>
      <c r="E378" s="15"/>
      <c r="F378" s="15"/>
      <c r="G378" s="15"/>
      <c r="H378" s="15"/>
      <c r="I378" s="15"/>
      <c r="J378" s="29"/>
      <c r="K378" s="15"/>
      <c r="L378" s="29"/>
      <c r="M378" s="32" t="str">
        <f t="shared" si="149"/>
        <v/>
      </c>
      <c r="N378" s="15"/>
      <c r="O378" s="137"/>
      <c r="P378" s="15"/>
      <c r="Q378" s="15"/>
      <c r="R378" s="15"/>
      <c r="S378" s="15"/>
      <c r="T378" s="15"/>
      <c r="U378" s="32" t="str">
        <f t="shared" si="150"/>
        <v/>
      </c>
      <c r="V378" s="15"/>
      <c r="W378" s="15"/>
      <c r="X378" s="32" t="str">
        <f t="shared" si="151"/>
        <v/>
      </c>
      <c r="Y378" s="32" t="str">
        <f t="shared" si="152"/>
        <v/>
      </c>
      <c r="Z378" s="15"/>
      <c r="AA378" s="15"/>
      <c r="AB378" s="15"/>
    </row>
    <row r="379" spans="1:28" s="46" customFormat="1" ht="19.899999999999999" customHeight="1" x14ac:dyDescent="0.15">
      <c r="A379" s="34"/>
      <c r="B379" s="96"/>
      <c r="C379" s="29"/>
      <c r="D379" s="32" t="str">
        <f t="shared" si="148"/>
        <v/>
      </c>
      <c r="E379" s="15"/>
      <c r="F379" s="15"/>
      <c r="G379" s="15"/>
      <c r="H379" s="15"/>
      <c r="I379" s="15"/>
      <c r="J379" s="29"/>
      <c r="K379" s="15"/>
      <c r="L379" s="29"/>
      <c r="M379" s="32" t="str">
        <f t="shared" si="149"/>
        <v/>
      </c>
      <c r="N379" s="15"/>
      <c r="O379" s="137"/>
      <c r="P379" s="15"/>
      <c r="Q379" s="15"/>
      <c r="R379" s="15"/>
      <c r="S379" s="15"/>
      <c r="T379" s="15"/>
      <c r="U379" s="32" t="str">
        <f t="shared" si="150"/>
        <v/>
      </c>
      <c r="V379" s="15"/>
      <c r="W379" s="15"/>
      <c r="X379" s="32" t="str">
        <f t="shared" si="151"/>
        <v/>
      </c>
      <c r="Y379" s="32" t="str">
        <f t="shared" si="152"/>
        <v/>
      </c>
      <c r="Z379" s="15"/>
      <c r="AA379" s="15"/>
      <c r="AB379" s="15"/>
    </row>
    <row r="380" spans="1:28" s="46" customFormat="1" ht="19.899999999999999" customHeight="1" x14ac:dyDescent="0.15">
      <c r="A380" s="34"/>
      <c r="B380" s="96"/>
      <c r="C380" s="29"/>
      <c r="D380" s="32" t="str">
        <f t="shared" si="148"/>
        <v/>
      </c>
      <c r="E380" s="15"/>
      <c r="F380" s="15"/>
      <c r="G380" s="15"/>
      <c r="H380" s="15"/>
      <c r="I380" s="15"/>
      <c r="J380" s="29"/>
      <c r="K380" s="15"/>
      <c r="L380" s="29"/>
      <c r="M380" s="32" t="str">
        <f t="shared" si="149"/>
        <v/>
      </c>
      <c r="N380" s="15"/>
      <c r="O380" s="137"/>
      <c r="P380" s="15"/>
      <c r="Q380" s="15"/>
      <c r="R380" s="15"/>
      <c r="S380" s="15"/>
      <c r="T380" s="15"/>
      <c r="U380" s="32" t="str">
        <f t="shared" si="150"/>
        <v/>
      </c>
      <c r="V380" s="15"/>
      <c r="W380" s="15"/>
      <c r="X380" s="32" t="str">
        <f t="shared" si="151"/>
        <v/>
      </c>
      <c r="Y380" s="32" t="str">
        <f t="shared" si="152"/>
        <v/>
      </c>
      <c r="Z380" s="15"/>
      <c r="AA380" s="15"/>
      <c r="AB380" s="15"/>
    </row>
    <row r="381" spans="1:28" s="46" customFormat="1" ht="19.899999999999999" customHeight="1" x14ac:dyDescent="0.15">
      <c r="A381" s="34"/>
      <c r="B381" s="96"/>
      <c r="C381" s="29"/>
      <c r="D381" s="32" t="str">
        <f t="shared" si="148"/>
        <v/>
      </c>
      <c r="E381" s="15"/>
      <c r="F381" s="15"/>
      <c r="G381" s="15"/>
      <c r="H381" s="15"/>
      <c r="I381" s="15"/>
      <c r="J381" s="29"/>
      <c r="K381" s="15"/>
      <c r="L381" s="29"/>
      <c r="M381" s="32" t="str">
        <f t="shared" si="149"/>
        <v/>
      </c>
      <c r="N381" s="15"/>
      <c r="O381" s="137"/>
      <c r="P381" s="15"/>
      <c r="Q381" s="15"/>
      <c r="R381" s="15"/>
      <c r="S381" s="15"/>
      <c r="T381" s="15"/>
      <c r="U381" s="32" t="str">
        <f t="shared" si="150"/>
        <v/>
      </c>
      <c r="V381" s="15"/>
      <c r="W381" s="15"/>
      <c r="X381" s="32" t="str">
        <f t="shared" si="151"/>
        <v/>
      </c>
      <c r="Y381" s="32" t="str">
        <f t="shared" si="152"/>
        <v/>
      </c>
      <c r="Z381" s="15"/>
      <c r="AA381" s="15"/>
      <c r="AB381" s="15"/>
    </row>
    <row r="382" spans="1:28" s="46" customFormat="1" ht="19.899999999999999" customHeight="1" x14ac:dyDescent="0.15">
      <c r="A382" s="34"/>
      <c r="B382" s="96"/>
      <c r="C382" s="29"/>
      <c r="D382" s="32" t="str">
        <f t="shared" ref="D382:D435" si="153">IF(C382="J1","常规化学品",IF(C382="J2","危险化学品",IF(C382="J3","标准物质",IF(C382="J4","玻璃仪器",IF(C382="J5","实验气体",IF(C382="J6","专用物耗",IF(C382="J7","备品配件",IF(C382="J8","专用工具",IF(C382="Z1","劳保物资",IF(C382="Z2","办公耗材",IF(C382="Z3","食品饮料",IF(C382="Z4","特殊物耗",IF(C382="Z5","通用物耗",IF(C382="Z6","通用工具",""))))))))))))))</f>
        <v/>
      </c>
      <c r="E382" s="15"/>
      <c r="F382" s="15"/>
      <c r="G382" s="15"/>
      <c r="H382" s="15"/>
      <c r="I382" s="15"/>
      <c r="J382" s="29"/>
      <c r="K382" s="15"/>
      <c r="L382" s="29"/>
      <c r="M382" s="32" t="str">
        <f t="shared" ref="M382:M435" si="154">IF(D382="危险化学品","五双",IF(D382="标准物资","严控",IF(D382&lt;&gt;"","常规","")))</f>
        <v/>
      </c>
      <c r="N382" s="15"/>
      <c r="O382" s="137"/>
      <c r="P382" s="15"/>
      <c r="Q382" s="15"/>
      <c r="R382" s="15"/>
      <c r="S382" s="15"/>
      <c r="T382" s="15"/>
      <c r="U382" s="32" t="str">
        <f t="shared" ref="U382:U435" si="155">IF(L382="","",L382)</f>
        <v/>
      </c>
      <c r="V382" s="15"/>
      <c r="W382" s="15"/>
      <c r="X382" s="32" t="str">
        <f t="shared" ref="X382:X435" si="156">IF((K382-T382)&lt;=0,"",K382-T382)</f>
        <v/>
      </c>
      <c r="Y382" s="32" t="str">
        <f t="shared" ref="Y382:Y435" si="157">IF(L382="","",L382)</f>
        <v/>
      </c>
      <c r="Z382" s="15"/>
      <c r="AA382" s="15"/>
      <c r="AB382" s="15"/>
    </row>
    <row r="383" spans="1:28" s="46" customFormat="1" ht="19.899999999999999" customHeight="1" x14ac:dyDescent="0.15">
      <c r="A383" s="34"/>
      <c r="B383" s="96"/>
      <c r="C383" s="29"/>
      <c r="D383" s="32" t="str">
        <f t="shared" si="153"/>
        <v/>
      </c>
      <c r="E383" s="15"/>
      <c r="F383" s="15"/>
      <c r="G383" s="15"/>
      <c r="H383" s="15"/>
      <c r="I383" s="15"/>
      <c r="J383" s="29"/>
      <c r="K383" s="15"/>
      <c r="L383" s="29"/>
      <c r="M383" s="32" t="str">
        <f t="shared" si="154"/>
        <v/>
      </c>
      <c r="N383" s="15"/>
      <c r="O383" s="137"/>
      <c r="P383" s="15"/>
      <c r="Q383" s="15"/>
      <c r="R383" s="15"/>
      <c r="S383" s="15"/>
      <c r="T383" s="15"/>
      <c r="U383" s="32" t="str">
        <f t="shared" si="155"/>
        <v/>
      </c>
      <c r="V383" s="15"/>
      <c r="W383" s="15"/>
      <c r="X383" s="32" t="str">
        <f t="shared" si="156"/>
        <v/>
      </c>
      <c r="Y383" s="32" t="str">
        <f t="shared" si="157"/>
        <v/>
      </c>
      <c r="Z383" s="15"/>
      <c r="AA383" s="15"/>
      <c r="AB383" s="15"/>
    </row>
    <row r="384" spans="1:28" s="46" customFormat="1" ht="19.899999999999999" customHeight="1" x14ac:dyDescent="0.15">
      <c r="A384" s="34"/>
      <c r="B384" s="96"/>
      <c r="C384" s="29"/>
      <c r="D384" s="32" t="str">
        <f t="shared" si="153"/>
        <v/>
      </c>
      <c r="E384" s="15"/>
      <c r="F384" s="15"/>
      <c r="G384" s="15"/>
      <c r="H384" s="15"/>
      <c r="I384" s="15"/>
      <c r="J384" s="29"/>
      <c r="K384" s="15"/>
      <c r="L384" s="29"/>
      <c r="M384" s="32" t="str">
        <f t="shared" si="154"/>
        <v/>
      </c>
      <c r="N384" s="15"/>
      <c r="O384" s="137"/>
      <c r="P384" s="15"/>
      <c r="Q384" s="15"/>
      <c r="R384" s="15"/>
      <c r="S384" s="15"/>
      <c r="T384" s="15"/>
      <c r="U384" s="32" t="str">
        <f t="shared" si="155"/>
        <v/>
      </c>
      <c r="V384" s="15"/>
      <c r="W384" s="15"/>
      <c r="X384" s="32" t="str">
        <f t="shared" si="156"/>
        <v/>
      </c>
      <c r="Y384" s="32" t="str">
        <f t="shared" si="157"/>
        <v/>
      </c>
      <c r="Z384" s="15"/>
      <c r="AA384" s="15"/>
      <c r="AB384" s="15"/>
    </row>
    <row r="385" spans="1:28" s="46" customFormat="1" ht="19.899999999999999" customHeight="1" x14ac:dyDescent="0.15">
      <c r="A385" s="34"/>
      <c r="B385" s="96"/>
      <c r="C385" s="29"/>
      <c r="D385" s="32" t="str">
        <f t="shared" si="153"/>
        <v/>
      </c>
      <c r="E385" s="15"/>
      <c r="F385" s="15"/>
      <c r="G385" s="15"/>
      <c r="H385" s="15"/>
      <c r="I385" s="15"/>
      <c r="J385" s="29"/>
      <c r="K385" s="15"/>
      <c r="L385" s="29"/>
      <c r="M385" s="32" t="str">
        <f t="shared" si="154"/>
        <v/>
      </c>
      <c r="N385" s="15"/>
      <c r="O385" s="137"/>
      <c r="P385" s="15"/>
      <c r="Q385" s="15"/>
      <c r="R385" s="15"/>
      <c r="S385" s="15"/>
      <c r="T385" s="15"/>
      <c r="U385" s="32" t="str">
        <f t="shared" si="155"/>
        <v/>
      </c>
      <c r="V385" s="15"/>
      <c r="W385" s="15"/>
      <c r="X385" s="32" t="str">
        <f t="shared" si="156"/>
        <v/>
      </c>
      <c r="Y385" s="32" t="str">
        <f t="shared" si="157"/>
        <v/>
      </c>
      <c r="Z385" s="15"/>
      <c r="AA385" s="15"/>
      <c r="AB385" s="15"/>
    </row>
    <row r="386" spans="1:28" s="46" customFormat="1" ht="19.899999999999999" customHeight="1" x14ac:dyDescent="0.15">
      <c r="A386" s="34"/>
      <c r="B386" s="96"/>
      <c r="C386" s="29"/>
      <c r="D386" s="32" t="str">
        <f t="shared" si="153"/>
        <v/>
      </c>
      <c r="E386" s="15"/>
      <c r="F386" s="15"/>
      <c r="G386" s="15"/>
      <c r="H386" s="15"/>
      <c r="I386" s="15"/>
      <c r="J386" s="29"/>
      <c r="K386" s="15"/>
      <c r="L386" s="29"/>
      <c r="M386" s="32" t="str">
        <f t="shared" si="154"/>
        <v/>
      </c>
      <c r="N386" s="15"/>
      <c r="O386" s="137"/>
      <c r="P386" s="15"/>
      <c r="Q386" s="15"/>
      <c r="R386" s="15"/>
      <c r="S386" s="15"/>
      <c r="T386" s="15"/>
      <c r="U386" s="32" t="str">
        <f t="shared" si="155"/>
        <v/>
      </c>
      <c r="V386" s="15"/>
      <c r="W386" s="15"/>
      <c r="X386" s="32" t="str">
        <f t="shared" si="156"/>
        <v/>
      </c>
      <c r="Y386" s="32" t="str">
        <f t="shared" si="157"/>
        <v/>
      </c>
      <c r="Z386" s="15"/>
      <c r="AA386" s="15"/>
      <c r="AB386" s="15"/>
    </row>
    <row r="387" spans="1:28" s="46" customFormat="1" ht="19.899999999999999" customHeight="1" x14ac:dyDescent="0.15">
      <c r="A387" s="34"/>
      <c r="B387" s="96"/>
      <c r="C387" s="29"/>
      <c r="D387" s="32" t="str">
        <f t="shared" si="153"/>
        <v/>
      </c>
      <c r="E387" s="15"/>
      <c r="F387" s="15"/>
      <c r="G387" s="15"/>
      <c r="H387" s="15"/>
      <c r="I387" s="15"/>
      <c r="J387" s="29"/>
      <c r="K387" s="15"/>
      <c r="L387" s="29"/>
      <c r="M387" s="32" t="str">
        <f t="shared" si="154"/>
        <v/>
      </c>
      <c r="N387" s="15"/>
      <c r="O387" s="137"/>
      <c r="P387" s="15"/>
      <c r="Q387" s="15"/>
      <c r="R387" s="15"/>
      <c r="S387" s="15"/>
      <c r="T387" s="15"/>
      <c r="U387" s="32" t="str">
        <f t="shared" si="155"/>
        <v/>
      </c>
      <c r="V387" s="15"/>
      <c r="W387" s="15"/>
      <c r="X387" s="32" t="str">
        <f t="shared" si="156"/>
        <v/>
      </c>
      <c r="Y387" s="32" t="str">
        <f t="shared" si="157"/>
        <v/>
      </c>
      <c r="Z387" s="15"/>
      <c r="AA387" s="15"/>
      <c r="AB387" s="15"/>
    </row>
    <row r="388" spans="1:28" s="46" customFormat="1" ht="19.899999999999999" customHeight="1" x14ac:dyDescent="0.15">
      <c r="A388" s="34"/>
      <c r="B388" s="96"/>
      <c r="C388" s="29"/>
      <c r="D388" s="32" t="str">
        <f t="shared" si="153"/>
        <v/>
      </c>
      <c r="E388" s="15"/>
      <c r="F388" s="15"/>
      <c r="G388" s="15"/>
      <c r="H388" s="15"/>
      <c r="I388" s="15"/>
      <c r="J388" s="29"/>
      <c r="K388" s="15"/>
      <c r="L388" s="29"/>
      <c r="M388" s="32" t="str">
        <f t="shared" si="154"/>
        <v/>
      </c>
      <c r="N388" s="15"/>
      <c r="O388" s="137"/>
      <c r="P388" s="15"/>
      <c r="Q388" s="15"/>
      <c r="R388" s="15"/>
      <c r="S388" s="15"/>
      <c r="T388" s="15"/>
      <c r="U388" s="32" t="str">
        <f t="shared" si="155"/>
        <v/>
      </c>
      <c r="V388" s="15"/>
      <c r="W388" s="15"/>
      <c r="X388" s="32" t="str">
        <f t="shared" si="156"/>
        <v/>
      </c>
      <c r="Y388" s="32" t="str">
        <f t="shared" si="157"/>
        <v/>
      </c>
      <c r="Z388" s="15"/>
      <c r="AA388" s="15"/>
      <c r="AB388" s="15"/>
    </row>
    <row r="389" spans="1:28" s="46" customFormat="1" ht="19.899999999999999" customHeight="1" x14ac:dyDescent="0.15">
      <c r="A389" s="34"/>
      <c r="B389" s="96"/>
      <c r="C389" s="29"/>
      <c r="D389" s="32" t="str">
        <f t="shared" si="153"/>
        <v/>
      </c>
      <c r="E389" s="15"/>
      <c r="F389" s="15"/>
      <c r="G389" s="15"/>
      <c r="H389" s="15"/>
      <c r="I389" s="15"/>
      <c r="J389" s="29"/>
      <c r="K389" s="15"/>
      <c r="L389" s="29"/>
      <c r="M389" s="32" t="str">
        <f t="shared" si="154"/>
        <v/>
      </c>
      <c r="N389" s="15"/>
      <c r="O389" s="137"/>
      <c r="P389" s="15"/>
      <c r="Q389" s="15"/>
      <c r="R389" s="15"/>
      <c r="S389" s="15"/>
      <c r="T389" s="15"/>
      <c r="U389" s="32" t="str">
        <f t="shared" si="155"/>
        <v/>
      </c>
      <c r="V389" s="15"/>
      <c r="W389" s="15"/>
      <c r="X389" s="32" t="str">
        <f t="shared" si="156"/>
        <v/>
      </c>
      <c r="Y389" s="32" t="str">
        <f t="shared" si="157"/>
        <v/>
      </c>
      <c r="Z389" s="15"/>
      <c r="AA389" s="15"/>
      <c r="AB389" s="15"/>
    </row>
    <row r="390" spans="1:28" s="46" customFormat="1" ht="19.899999999999999" customHeight="1" x14ac:dyDescent="0.15">
      <c r="A390" s="34"/>
      <c r="B390" s="96"/>
      <c r="C390" s="29"/>
      <c r="D390" s="32" t="str">
        <f t="shared" si="153"/>
        <v/>
      </c>
      <c r="E390" s="15"/>
      <c r="F390" s="15"/>
      <c r="G390" s="15"/>
      <c r="H390" s="15"/>
      <c r="I390" s="15"/>
      <c r="J390" s="29"/>
      <c r="K390" s="15"/>
      <c r="L390" s="29"/>
      <c r="M390" s="32" t="str">
        <f t="shared" si="154"/>
        <v/>
      </c>
      <c r="N390" s="15"/>
      <c r="O390" s="137"/>
      <c r="P390" s="15"/>
      <c r="Q390" s="15"/>
      <c r="R390" s="15"/>
      <c r="S390" s="15"/>
      <c r="T390" s="15"/>
      <c r="U390" s="32" t="str">
        <f t="shared" si="155"/>
        <v/>
      </c>
      <c r="V390" s="15"/>
      <c r="W390" s="15"/>
      <c r="X390" s="32" t="str">
        <f t="shared" si="156"/>
        <v/>
      </c>
      <c r="Y390" s="32" t="str">
        <f t="shared" si="157"/>
        <v/>
      </c>
      <c r="Z390" s="15"/>
      <c r="AA390" s="15"/>
      <c r="AB390" s="15"/>
    </row>
    <row r="391" spans="1:28" s="46" customFormat="1" ht="19.899999999999999" customHeight="1" x14ac:dyDescent="0.15">
      <c r="A391" s="34"/>
      <c r="B391" s="96"/>
      <c r="C391" s="29"/>
      <c r="D391" s="32" t="str">
        <f t="shared" si="153"/>
        <v/>
      </c>
      <c r="E391" s="15"/>
      <c r="F391" s="15"/>
      <c r="G391" s="15"/>
      <c r="H391" s="15"/>
      <c r="I391" s="15"/>
      <c r="J391" s="29"/>
      <c r="K391" s="15"/>
      <c r="L391" s="29"/>
      <c r="M391" s="32" t="str">
        <f t="shared" si="154"/>
        <v/>
      </c>
      <c r="N391" s="15"/>
      <c r="O391" s="137"/>
      <c r="P391" s="15"/>
      <c r="Q391" s="15"/>
      <c r="R391" s="15"/>
      <c r="S391" s="15"/>
      <c r="T391" s="15"/>
      <c r="U391" s="32" t="str">
        <f t="shared" si="155"/>
        <v/>
      </c>
      <c r="V391" s="15"/>
      <c r="W391" s="15"/>
      <c r="X391" s="32" t="str">
        <f t="shared" si="156"/>
        <v/>
      </c>
      <c r="Y391" s="32" t="str">
        <f t="shared" si="157"/>
        <v/>
      </c>
      <c r="Z391" s="15"/>
      <c r="AA391" s="15"/>
      <c r="AB391" s="15"/>
    </row>
    <row r="392" spans="1:28" s="46" customFormat="1" ht="19.899999999999999" customHeight="1" x14ac:dyDescent="0.15">
      <c r="A392" s="34"/>
      <c r="B392" s="96"/>
      <c r="C392" s="29"/>
      <c r="D392" s="32" t="str">
        <f t="shared" si="153"/>
        <v/>
      </c>
      <c r="E392" s="15"/>
      <c r="F392" s="15"/>
      <c r="G392" s="15"/>
      <c r="H392" s="15"/>
      <c r="I392" s="15"/>
      <c r="J392" s="29"/>
      <c r="K392" s="15"/>
      <c r="L392" s="29"/>
      <c r="M392" s="32" t="str">
        <f t="shared" si="154"/>
        <v/>
      </c>
      <c r="N392" s="15"/>
      <c r="O392" s="137"/>
      <c r="P392" s="15"/>
      <c r="Q392" s="15"/>
      <c r="R392" s="15"/>
      <c r="S392" s="15"/>
      <c r="T392" s="15"/>
      <c r="U392" s="32" t="str">
        <f t="shared" si="155"/>
        <v/>
      </c>
      <c r="V392" s="15"/>
      <c r="W392" s="15"/>
      <c r="X392" s="32" t="str">
        <f t="shared" si="156"/>
        <v/>
      </c>
      <c r="Y392" s="32" t="str">
        <f t="shared" si="157"/>
        <v/>
      </c>
      <c r="Z392" s="15"/>
      <c r="AA392" s="15"/>
      <c r="AB392" s="15"/>
    </row>
    <row r="393" spans="1:28" s="46" customFormat="1" ht="19.899999999999999" customHeight="1" x14ac:dyDescent="0.15">
      <c r="A393" s="34"/>
      <c r="B393" s="96"/>
      <c r="C393" s="29"/>
      <c r="D393" s="32" t="str">
        <f t="shared" si="153"/>
        <v/>
      </c>
      <c r="E393" s="15"/>
      <c r="F393" s="15"/>
      <c r="G393" s="15"/>
      <c r="H393" s="15"/>
      <c r="I393" s="15"/>
      <c r="J393" s="29"/>
      <c r="K393" s="15"/>
      <c r="L393" s="29"/>
      <c r="M393" s="32" t="str">
        <f t="shared" si="154"/>
        <v/>
      </c>
      <c r="N393" s="15"/>
      <c r="O393" s="137"/>
      <c r="P393" s="15"/>
      <c r="Q393" s="15"/>
      <c r="R393" s="15"/>
      <c r="S393" s="15"/>
      <c r="T393" s="15"/>
      <c r="U393" s="32" t="str">
        <f t="shared" si="155"/>
        <v/>
      </c>
      <c r="V393" s="15"/>
      <c r="W393" s="15"/>
      <c r="X393" s="32" t="str">
        <f t="shared" si="156"/>
        <v/>
      </c>
      <c r="Y393" s="32" t="str">
        <f t="shared" si="157"/>
        <v/>
      </c>
      <c r="Z393" s="15"/>
      <c r="AA393" s="15"/>
      <c r="AB393" s="15"/>
    </row>
    <row r="394" spans="1:28" s="46" customFormat="1" ht="19.899999999999999" customHeight="1" x14ac:dyDescent="0.15">
      <c r="A394" s="34"/>
      <c r="B394" s="96"/>
      <c r="C394" s="29"/>
      <c r="D394" s="32" t="str">
        <f t="shared" si="153"/>
        <v/>
      </c>
      <c r="E394" s="15"/>
      <c r="F394" s="15"/>
      <c r="G394" s="15"/>
      <c r="H394" s="15"/>
      <c r="I394" s="15"/>
      <c r="J394" s="29"/>
      <c r="K394" s="15"/>
      <c r="L394" s="29"/>
      <c r="M394" s="32" t="str">
        <f t="shared" si="154"/>
        <v/>
      </c>
      <c r="N394" s="15"/>
      <c r="O394" s="137"/>
      <c r="P394" s="15"/>
      <c r="Q394" s="15"/>
      <c r="R394" s="15"/>
      <c r="S394" s="15"/>
      <c r="T394" s="15"/>
      <c r="U394" s="32" t="str">
        <f t="shared" si="155"/>
        <v/>
      </c>
      <c r="V394" s="15"/>
      <c r="W394" s="15"/>
      <c r="X394" s="32" t="str">
        <f t="shared" si="156"/>
        <v/>
      </c>
      <c r="Y394" s="32" t="str">
        <f t="shared" si="157"/>
        <v/>
      </c>
      <c r="Z394" s="15"/>
      <c r="AA394" s="15"/>
      <c r="AB394" s="15"/>
    </row>
    <row r="395" spans="1:28" s="46" customFormat="1" ht="19.899999999999999" customHeight="1" x14ac:dyDescent="0.15">
      <c r="A395" s="34"/>
      <c r="B395" s="96"/>
      <c r="C395" s="29"/>
      <c r="D395" s="32" t="str">
        <f t="shared" si="153"/>
        <v/>
      </c>
      <c r="E395" s="15"/>
      <c r="F395" s="15"/>
      <c r="G395" s="15"/>
      <c r="H395" s="15"/>
      <c r="I395" s="15"/>
      <c r="J395" s="29"/>
      <c r="K395" s="15"/>
      <c r="L395" s="29"/>
      <c r="M395" s="32" t="str">
        <f t="shared" si="154"/>
        <v/>
      </c>
      <c r="N395" s="15"/>
      <c r="O395" s="137"/>
      <c r="P395" s="15"/>
      <c r="Q395" s="15"/>
      <c r="R395" s="15"/>
      <c r="S395" s="15"/>
      <c r="T395" s="15"/>
      <c r="U395" s="32" t="str">
        <f t="shared" si="155"/>
        <v/>
      </c>
      <c r="V395" s="15"/>
      <c r="W395" s="15"/>
      <c r="X395" s="32" t="str">
        <f t="shared" si="156"/>
        <v/>
      </c>
      <c r="Y395" s="32" t="str">
        <f t="shared" si="157"/>
        <v/>
      </c>
      <c r="Z395" s="15"/>
      <c r="AA395" s="15"/>
      <c r="AB395" s="15"/>
    </row>
    <row r="396" spans="1:28" s="46" customFormat="1" ht="19.899999999999999" customHeight="1" x14ac:dyDescent="0.15">
      <c r="A396" s="34"/>
      <c r="B396" s="96"/>
      <c r="C396" s="29"/>
      <c r="D396" s="32" t="str">
        <f t="shared" si="153"/>
        <v/>
      </c>
      <c r="E396" s="15"/>
      <c r="F396" s="15"/>
      <c r="G396" s="15"/>
      <c r="H396" s="15"/>
      <c r="I396" s="15"/>
      <c r="J396" s="29"/>
      <c r="K396" s="15"/>
      <c r="L396" s="29"/>
      <c r="M396" s="32" t="str">
        <f t="shared" si="154"/>
        <v/>
      </c>
      <c r="N396" s="15"/>
      <c r="O396" s="137"/>
      <c r="P396" s="15"/>
      <c r="Q396" s="15"/>
      <c r="R396" s="15"/>
      <c r="S396" s="15"/>
      <c r="T396" s="15"/>
      <c r="U396" s="32" t="str">
        <f t="shared" si="155"/>
        <v/>
      </c>
      <c r="V396" s="15"/>
      <c r="W396" s="15"/>
      <c r="X396" s="32" t="str">
        <f t="shared" si="156"/>
        <v/>
      </c>
      <c r="Y396" s="32" t="str">
        <f t="shared" si="157"/>
        <v/>
      </c>
      <c r="Z396" s="15"/>
      <c r="AA396" s="15"/>
      <c r="AB396" s="15"/>
    </row>
    <row r="397" spans="1:28" s="46" customFormat="1" ht="19.899999999999999" customHeight="1" x14ac:dyDescent="0.15">
      <c r="A397" s="34"/>
      <c r="B397" s="96"/>
      <c r="C397" s="29"/>
      <c r="D397" s="32" t="str">
        <f t="shared" si="153"/>
        <v/>
      </c>
      <c r="E397" s="15"/>
      <c r="F397" s="15"/>
      <c r="G397" s="15"/>
      <c r="H397" s="15"/>
      <c r="I397" s="15"/>
      <c r="J397" s="29"/>
      <c r="K397" s="15"/>
      <c r="L397" s="29"/>
      <c r="M397" s="32" t="str">
        <f t="shared" si="154"/>
        <v/>
      </c>
      <c r="N397" s="15"/>
      <c r="O397" s="137"/>
      <c r="P397" s="15"/>
      <c r="Q397" s="15"/>
      <c r="R397" s="15"/>
      <c r="S397" s="15"/>
      <c r="T397" s="15"/>
      <c r="U397" s="32" t="str">
        <f t="shared" si="155"/>
        <v/>
      </c>
      <c r="V397" s="15"/>
      <c r="W397" s="15"/>
      <c r="X397" s="32" t="str">
        <f t="shared" si="156"/>
        <v/>
      </c>
      <c r="Y397" s="32" t="str">
        <f t="shared" si="157"/>
        <v/>
      </c>
      <c r="Z397" s="15"/>
      <c r="AA397" s="15"/>
      <c r="AB397" s="15"/>
    </row>
    <row r="398" spans="1:28" s="46" customFormat="1" ht="19.899999999999999" customHeight="1" x14ac:dyDescent="0.15">
      <c r="A398" s="34"/>
      <c r="B398" s="96"/>
      <c r="C398" s="29"/>
      <c r="D398" s="32" t="str">
        <f t="shared" si="153"/>
        <v/>
      </c>
      <c r="E398" s="15"/>
      <c r="F398" s="15"/>
      <c r="G398" s="15"/>
      <c r="H398" s="15"/>
      <c r="I398" s="15"/>
      <c r="J398" s="29"/>
      <c r="K398" s="15"/>
      <c r="L398" s="29"/>
      <c r="M398" s="32" t="str">
        <f t="shared" si="154"/>
        <v/>
      </c>
      <c r="N398" s="15"/>
      <c r="O398" s="137"/>
      <c r="P398" s="15"/>
      <c r="Q398" s="15"/>
      <c r="R398" s="15"/>
      <c r="S398" s="15"/>
      <c r="T398" s="15"/>
      <c r="U398" s="32" t="str">
        <f t="shared" si="155"/>
        <v/>
      </c>
      <c r="V398" s="15"/>
      <c r="W398" s="15"/>
      <c r="X398" s="32" t="str">
        <f t="shared" si="156"/>
        <v/>
      </c>
      <c r="Y398" s="32" t="str">
        <f t="shared" si="157"/>
        <v/>
      </c>
      <c r="Z398" s="15"/>
      <c r="AA398" s="15"/>
      <c r="AB398" s="15"/>
    </row>
    <row r="399" spans="1:28" s="46" customFormat="1" ht="19.899999999999999" customHeight="1" x14ac:dyDescent="0.15">
      <c r="A399" s="34"/>
      <c r="B399" s="96"/>
      <c r="C399" s="29"/>
      <c r="D399" s="32" t="str">
        <f t="shared" si="153"/>
        <v/>
      </c>
      <c r="E399" s="15"/>
      <c r="F399" s="15"/>
      <c r="G399" s="15"/>
      <c r="H399" s="15"/>
      <c r="I399" s="15"/>
      <c r="J399" s="29"/>
      <c r="K399" s="15"/>
      <c r="L399" s="29"/>
      <c r="M399" s="32" t="str">
        <f t="shared" si="154"/>
        <v/>
      </c>
      <c r="N399" s="15"/>
      <c r="O399" s="137"/>
      <c r="P399" s="15"/>
      <c r="Q399" s="15"/>
      <c r="R399" s="15"/>
      <c r="S399" s="15"/>
      <c r="T399" s="15"/>
      <c r="U399" s="32" t="str">
        <f t="shared" si="155"/>
        <v/>
      </c>
      <c r="V399" s="15"/>
      <c r="W399" s="15"/>
      <c r="X399" s="32" t="str">
        <f t="shared" si="156"/>
        <v/>
      </c>
      <c r="Y399" s="32" t="str">
        <f t="shared" si="157"/>
        <v/>
      </c>
      <c r="Z399" s="15"/>
      <c r="AA399" s="15"/>
      <c r="AB399" s="15"/>
    </row>
    <row r="400" spans="1:28" s="46" customFormat="1" ht="19.899999999999999" customHeight="1" x14ac:dyDescent="0.15">
      <c r="A400" s="34"/>
      <c r="B400" s="96"/>
      <c r="C400" s="29"/>
      <c r="D400" s="32" t="str">
        <f t="shared" si="153"/>
        <v/>
      </c>
      <c r="E400" s="15"/>
      <c r="F400" s="15"/>
      <c r="G400" s="15"/>
      <c r="H400" s="15"/>
      <c r="I400" s="15"/>
      <c r="J400" s="29"/>
      <c r="K400" s="15"/>
      <c r="L400" s="29"/>
      <c r="M400" s="32" t="str">
        <f t="shared" si="154"/>
        <v/>
      </c>
      <c r="N400" s="15"/>
      <c r="O400" s="137"/>
      <c r="P400" s="15"/>
      <c r="Q400" s="15"/>
      <c r="R400" s="15"/>
      <c r="S400" s="15"/>
      <c r="T400" s="15"/>
      <c r="U400" s="32" t="str">
        <f t="shared" si="155"/>
        <v/>
      </c>
      <c r="V400" s="15"/>
      <c r="W400" s="15"/>
      <c r="X400" s="32" t="str">
        <f t="shared" si="156"/>
        <v/>
      </c>
      <c r="Y400" s="32" t="str">
        <f t="shared" si="157"/>
        <v/>
      </c>
      <c r="Z400" s="15"/>
      <c r="AA400" s="15"/>
      <c r="AB400" s="15"/>
    </row>
    <row r="401" spans="1:28" s="46" customFormat="1" ht="19.899999999999999" customHeight="1" x14ac:dyDescent="0.15">
      <c r="A401" s="34"/>
      <c r="B401" s="96"/>
      <c r="C401" s="29"/>
      <c r="D401" s="32" t="str">
        <f t="shared" si="153"/>
        <v/>
      </c>
      <c r="E401" s="15"/>
      <c r="F401" s="15"/>
      <c r="G401" s="15"/>
      <c r="H401" s="15"/>
      <c r="I401" s="15"/>
      <c r="J401" s="29"/>
      <c r="K401" s="15"/>
      <c r="L401" s="29"/>
      <c r="M401" s="32" t="str">
        <f t="shared" si="154"/>
        <v/>
      </c>
      <c r="N401" s="15"/>
      <c r="O401" s="137"/>
      <c r="P401" s="15"/>
      <c r="Q401" s="15"/>
      <c r="R401" s="15"/>
      <c r="S401" s="15"/>
      <c r="T401" s="15"/>
      <c r="U401" s="32" t="str">
        <f t="shared" si="155"/>
        <v/>
      </c>
      <c r="V401" s="15"/>
      <c r="W401" s="15"/>
      <c r="X401" s="32" t="str">
        <f t="shared" si="156"/>
        <v/>
      </c>
      <c r="Y401" s="32" t="str">
        <f t="shared" si="157"/>
        <v/>
      </c>
      <c r="Z401" s="15"/>
      <c r="AA401" s="15"/>
      <c r="AB401" s="15"/>
    </row>
    <row r="402" spans="1:28" s="46" customFormat="1" ht="19.899999999999999" customHeight="1" x14ac:dyDescent="0.15">
      <c r="A402" s="34"/>
      <c r="B402" s="96"/>
      <c r="C402" s="29"/>
      <c r="D402" s="32" t="str">
        <f t="shared" si="153"/>
        <v/>
      </c>
      <c r="E402" s="15"/>
      <c r="F402" s="15"/>
      <c r="G402" s="15"/>
      <c r="H402" s="15"/>
      <c r="I402" s="15"/>
      <c r="J402" s="29"/>
      <c r="K402" s="15"/>
      <c r="L402" s="29"/>
      <c r="M402" s="32" t="str">
        <f t="shared" si="154"/>
        <v/>
      </c>
      <c r="N402" s="15"/>
      <c r="O402" s="137"/>
      <c r="P402" s="15"/>
      <c r="Q402" s="15"/>
      <c r="R402" s="15"/>
      <c r="S402" s="15"/>
      <c r="T402" s="15"/>
      <c r="U402" s="32" t="str">
        <f t="shared" si="155"/>
        <v/>
      </c>
      <c r="V402" s="15"/>
      <c r="W402" s="15"/>
      <c r="X402" s="32" t="str">
        <f t="shared" si="156"/>
        <v/>
      </c>
      <c r="Y402" s="32" t="str">
        <f t="shared" si="157"/>
        <v/>
      </c>
      <c r="Z402" s="15"/>
      <c r="AA402" s="15"/>
      <c r="AB402" s="15"/>
    </row>
    <row r="403" spans="1:28" s="46" customFormat="1" ht="19.899999999999999" customHeight="1" x14ac:dyDescent="0.15">
      <c r="A403" s="34"/>
      <c r="B403" s="96"/>
      <c r="C403" s="29"/>
      <c r="D403" s="32" t="str">
        <f t="shared" si="153"/>
        <v/>
      </c>
      <c r="E403" s="15"/>
      <c r="F403" s="15"/>
      <c r="G403" s="15"/>
      <c r="H403" s="15"/>
      <c r="I403" s="15"/>
      <c r="J403" s="29"/>
      <c r="K403" s="15"/>
      <c r="L403" s="29"/>
      <c r="M403" s="32" t="str">
        <f t="shared" si="154"/>
        <v/>
      </c>
      <c r="N403" s="15"/>
      <c r="O403" s="137"/>
      <c r="P403" s="15"/>
      <c r="Q403" s="15"/>
      <c r="R403" s="15"/>
      <c r="S403" s="15"/>
      <c r="T403" s="15"/>
      <c r="U403" s="32" t="str">
        <f t="shared" si="155"/>
        <v/>
      </c>
      <c r="V403" s="15"/>
      <c r="W403" s="15"/>
      <c r="X403" s="32" t="str">
        <f t="shared" si="156"/>
        <v/>
      </c>
      <c r="Y403" s="32" t="str">
        <f t="shared" si="157"/>
        <v/>
      </c>
      <c r="Z403" s="15"/>
      <c r="AA403" s="15"/>
      <c r="AB403" s="15"/>
    </row>
    <row r="404" spans="1:28" s="46" customFormat="1" ht="19.899999999999999" customHeight="1" x14ac:dyDescent="0.15">
      <c r="A404" s="34"/>
      <c r="B404" s="96"/>
      <c r="C404" s="29"/>
      <c r="D404" s="32" t="str">
        <f t="shared" si="153"/>
        <v/>
      </c>
      <c r="E404" s="15"/>
      <c r="F404" s="15"/>
      <c r="G404" s="15"/>
      <c r="H404" s="15"/>
      <c r="I404" s="15"/>
      <c r="J404" s="29"/>
      <c r="K404" s="15"/>
      <c r="L404" s="29"/>
      <c r="M404" s="32" t="str">
        <f t="shared" si="154"/>
        <v/>
      </c>
      <c r="N404" s="15"/>
      <c r="O404" s="137"/>
      <c r="P404" s="15"/>
      <c r="Q404" s="15"/>
      <c r="R404" s="15"/>
      <c r="S404" s="15"/>
      <c r="T404" s="15"/>
      <c r="U404" s="32" t="str">
        <f t="shared" si="155"/>
        <v/>
      </c>
      <c r="V404" s="15"/>
      <c r="W404" s="15"/>
      <c r="X404" s="32" t="str">
        <f t="shared" si="156"/>
        <v/>
      </c>
      <c r="Y404" s="32" t="str">
        <f t="shared" si="157"/>
        <v/>
      </c>
      <c r="Z404" s="15"/>
      <c r="AA404" s="15"/>
      <c r="AB404" s="15"/>
    </row>
    <row r="405" spans="1:28" s="46" customFormat="1" ht="19.899999999999999" customHeight="1" x14ac:dyDescent="0.15">
      <c r="A405" s="34"/>
      <c r="B405" s="96"/>
      <c r="C405" s="29"/>
      <c r="D405" s="32" t="str">
        <f t="shared" si="153"/>
        <v/>
      </c>
      <c r="E405" s="15"/>
      <c r="F405" s="15"/>
      <c r="G405" s="15"/>
      <c r="H405" s="15"/>
      <c r="I405" s="15"/>
      <c r="J405" s="29"/>
      <c r="K405" s="15"/>
      <c r="L405" s="29"/>
      <c r="M405" s="32" t="str">
        <f t="shared" si="154"/>
        <v/>
      </c>
      <c r="N405" s="15"/>
      <c r="O405" s="137"/>
      <c r="P405" s="15"/>
      <c r="Q405" s="15"/>
      <c r="R405" s="15"/>
      <c r="S405" s="15"/>
      <c r="T405" s="15"/>
      <c r="U405" s="32" t="str">
        <f t="shared" si="155"/>
        <v/>
      </c>
      <c r="V405" s="15"/>
      <c r="W405" s="15"/>
      <c r="X405" s="32" t="str">
        <f t="shared" si="156"/>
        <v/>
      </c>
      <c r="Y405" s="32" t="str">
        <f t="shared" si="157"/>
        <v/>
      </c>
      <c r="Z405" s="15"/>
      <c r="AA405" s="15"/>
      <c r="AB405" s="15"/>
    </row>
    <row r="406" spans="1:28" s="46" customFormat="1" ht="19.899999999999999" customHeight="1" x14ac:dyDescent="0.15">
      <c r="A406" s="34"/>
      <c r="B406" s="96"/>
      <c r="C406" s="29"/>
      <c r="D406" s="32" t="str">
        <f t="shared" si="153"/>
        <v/>
      </c>
      <c r="E406" s="15"/>
      <c r="F406" s="15"/>
      <c r="G406" s="15"/>
      <c r="H406" s="15"/>
      <c r="I406" s="15"/>
      <c r="J406" s="29"/>
      <c r="K406" s="15"/>
      <c r="L406" s="29"/>
      <c r="M406" s="32" t="str">
        <f t="shared" si="154"/>
        <v/>
      </c>
      <c r="N406" s="15"/>
      <c r="O406" s="137"/>
      <c r="P406" s="15"/>
      <c r="Q406" s="15"/>
      <c r="R406" s="15"/>
      <c r="S406" s="15"/>
      <c r="T406" s="15"/>
      <c r="U406" s="32" t="str">
        <f t="shared" si="155"/>
        <v/>
      </c>
      <c r="V406" s="15"/>
      <c r="W406" s="15"/>
      <c r="X406" s="32" t="str">
        <f t="shared" si="156"/>
        <v/>
      </c>
      <c r="Y406" s="32" t="str">
        <f t="shared" si="157"/>
        <v/>
      </c>
      <c r="Z406" s="15"/>
      <c r="AA406" s="15"/>
      <c r="AB406" s="15"/>
    </row>
    <row r="407" spans="1:28" s="46" customFormat="1" ht="19.899999999999999" customHeight="1" x14ac:dyDescent="0.15">
      <c r="A407" s="34"/>
      <c r="B407" s="96"/>
      <c r="C407" s="29"/>
      <c r="D407" s="32" t="str">
        <f t="shared" si="153"/>
        <v/>
      </c>
      <c r="E407" s="15"/>
      <c r="F407" s="15"/>
      <c r="G407" s="15"/>
      <c r="H407" s="15"/>
      <c r="I407" s="15"/>
      <c r="J407" s="29"/>
      <c r="K407" s="15"/>
      <c r="L407" s="29"/>
      <c r="M407" s="32" t="str">
        <f t="shared" si="154"/>
        <v/>
      </c>
      <c r="N407" s="15"/>
      <c r="O407" s="137"/>
      <c r="P407" s="15"/>
      <c r="Q407" s="15"/>
      <c r="R407" s="15"/>
      <c r="S407" s="15"/>
      <c r="T407" s="15"/>
      <c r="U407" s="32" t="str">
        <f t="shared" si="155"/>
        <v/>
      </c>
      <c r="V407" s="15"/>
      <c r="W407" s="15"/>
      <c r="X407" s="32" t="str">
        <f t="shared" si="156"/>
        <v/>
      </c>
      <c r="Y407" s="32" t="str">
        <f t="shared" si="157"/>
        <v/>
      </c>
      <c r="Z407" s="15"/>
      <c r="AA407" s="15"/>
      <c r="AB407" s="15"/>
    </row>
    <row r="408" spans="1:28" s="46" customFormat="1" ht="19.899999999999999" customHeight="1" x14ac:dyDescent="0.15">
      <c r="A408" s="34"/>
      <c r="B408" s="96"/>
      <c r="C408" s="29"/>
      <c r="D408" s="32" t="str">
        <f t="shared" si="153"/>
        <v/>
      </c>
      <c r="E408" s="15"/>
      <c r="F408" s="15"/>
      <c r="G408" s="15"/>
      <c r="H408" s="15"/>
      <c r="I408" s="15"/>
      <c r="J408" s="29"/>
      <c r="K408" s="15"/>
      <c r="L408" s="29"/>
      <c r="M408" s="32" t="str">
        <f t="shared" si="154"/>
        <v/>
      </c>
      <c r="N408" s="15"/>
      <c r="O408" s="137"/>
      <c r="P408" s="15"/>
      <c r="Q408" s="15"/>
      <c r="R408" s="15"/>
      <c r="S408" s="15"/>
      <c r="T408" s="15"/>
      <c r="U408" s="32" t="str">
        <f t="shared" si="155"/>
        <v/>
      </c>
      <c r="V408" s="15"/>
      <c r="W408" s="15"/>
      <c r="X408" s="32" t="str">
        <f t="shared" si="156"/>
        <v/>
      </c>
      <c r="Y408" s="32" t="str">
        <f t="shared" si="157"/>
        <v/>
      </c>
      <c r="Z408" s="15"/>
      <c r="AA408" s="15"/>
      <c r="AB408" s="15"/>
    </row>
    <row r="409" spans="1:28" s="46" customFormat="1" ht="19.899999999999999" customHeight="1" x14ac:dyDescent="0.15">
      <c r="A409" s="34"/>
      <c r="B409" s="96"/>
      <c r="C409" s="29"/>
      <c r="D409" s="32" t="str">
        <f t="shared" si="153"/>
        <v/>
      </c>
      <c r="E409" s="15"/>
      <c r="F409" s="15"/>
      <c r="G409" s="15"/>
      <c r="H409" s="15"/>
      <c r="I409" s="15"/>
      <c r="J409" s="29"/>
      <c r="K409" s="15"/>
      <c r="L409" s="29"/>
      <c r="M409" s="32" t="str">
        <f t="shared" si="154"/>
        <v/>
      </c>
      <c r="N409" s="15"/>
      <c r="O409" s="137"/>
      <c r="P409" s="15"/>
      <c r="Q409" s="15"/>
      <c r="R409" s="15"/>
      <c r="S409" s="15"/>
      <c r="T409" s="15"/>
      <c r="U409" s="32" t="str">
        <f t="shared" si="155"/>
        <v/>
      </c>
      <c r="V409" s="15"/>
      <c r="W409" s="15"/>
      <c r="X409" s="32" t="str">
        <f t="shared" si="156"/>
        <v/>
      </c>
      <c r="Y409" s="32" t="str">
        <f t="shared" si="157"/>
        <v/>
      </c>
      <c r="Z409" s="15"/>
      <c r="AA409" s="15"/>
      <c r="AB409" s="15"/>
    </row>
    <row r="410" spans="1:28" s="46" customFormat="1" ht="19.899999999999999" customHeight="1" x14ac:dyDescent="0.15">
      <c r="A410" s="34"/>
      <c r="B410" s="96"/>
      <c r="C410" s="29"/>
      <c r="D410" s="32" t="str">
        <f t="shared" si="153"/>
        <v/>
      </c>
      <c r="E410" s="15"/>
      <c r="F410" s="15"/>
      <c r="G410" s="15"/>
      <c r="H410" s="15"/>
      <c r="I410" s="15"/>
      <c r="J410" s="29"/>
      <c r="K410" s="15"/>
      <c r="L410" s="29"/>
      <c r="M410" s="32" t="str">
        <f t="shared" si="154"/>
        <v/>
      </c>
      <c r="N410" s="15"/>
      <c r="O410" s="137"/>
      <c r="P410" s="15"/>
      <c r="Q410" s="15"/>
      <c r="R410" s="15"/>
      <c r="S410" s="15"/>
      <c r="T410" s="15"/>
      <c r="U410" s="32" t="str">
        <f t="shared" si="155"/>
        <v/>
      </c>
      <c r="V410" s="15"/>
      <c r="W410" s="15"/>
      <c r="X410" s="32" t="str">
        <f t="shared" si="156"/>
        <v/>
      </c>
      <c r="Y410" s="32" t="str">
        <f t="shared" si="157"/>
        <v/>
      </c>
      <c r="Z410" s="15"/>
      <c r="AA410" s="15"/>
      <c r="AB410" s="15"/>
    </row>
    <row r="411" spans="1:28" s="46" customFormat="1" ht="19.899999999999999" customHeight="1" x14ac:dyDescent="0.15">
      <c r="A411" s="34"/>
      <c r="B411" s="96"/>
      <c r="C411" s="29"/>
      <c r="D411" s="32" t="str">
        <f t="shared" si="153"/>
        <v/>
      </c>
      <c r="E411" s="15"/>
      <c r="F411" s="15"/>
      <c r="G411" s="15"/>
      <c r="H411" s="15"/>
      <c r="I411" s="15"/>
      <c r="J411" s="29"/>
      <c r="K411" s="15"/>
      <c r="L411" s="29"/>
      <c r="M411" s="32" t="str">
        <f t="shared" si="154"/>
        <v/>
      </c>
      <c r="N411" s="15"/>
      <c r="O411" s="137"/>
      <c r="P411" s="15"/>
      <c r="Q411" s="15"/>
      <c r="R411" s="15"/>
      <c r="S411" s="15"/>
      <c r="T411" s="15"/>
      <c r="U411" s="32" t="str">
        <f t="shared" si="155"/>
        <v/>
      </c>
      <c r="V411" s="15"/>
      <c r="W411" s="15"/>
      <c r="X411" s="32" t="str">
        <f t="shared" si="156"/>
        <v/>
      </c>
      <c r="Y411" s="32" t="str">
        <f t="shared" si="157"/>
        <v/>
      </c>
      <c r="Z411" s="15"/>
      <c r="AA411" s="15"/>
      <c r="AB411" s="15"/>
    </row>
    <row r="412" spans="1:28" s="46" customFormat="1" ht="19.899999999999999" customHeight="1" x14ac:dyDescent="0.15">
      <c r="A412" s="34"/>
      <c r="B412" s="96"/>
      <c r="C412" s="29"/>
      <c r="D412" s="32" t="str">
        <f t="shared" si="153"/>
        <v/>
      </c>
      <c r="E412" s="15"/>
      <c r="F412" s="15"/>
      <c r="G412" s="15"/>
      <c r="H412" s="15"/>
      <c r="I412" s="15"/>
      <c r="J412" s="29"/>
      <c r="K412" s="15"/>
      <c r="L412" s="29"/>
      <c r="M412" s="32" t="str">
        <f t="shared" si="154"/>
        <v/>
      </c>
      <c r="N412" s="15"/>
      <c r="O412" s="137"/>
      <c r="P412" s="15"/>
      <c r="Q412" s="15"/>
      <c r="R412" s="15"/>
      <c r="S412" s="15"/>
      <c r="T412" s="15"/>
      <c r="U412" s="32" t="str">
        <f t="shared" si="155"/>
        <v/>
      </c>
      <c r="V412" s="15"/>
      <c r="W412" s="15"/>
      <c r="X412" s="32" t="str">
        <f t="shared" si="156"/>
        <v/>
      </c>
      <c r="Y412" s="32" t="str">
        <f t="shared" si="157"/>
        <v/>
      </c>
      <c r="Z412" s="15"/>
      <c r="AA412" s="15"/>
      <c r="AB412" s="15"/>
    </row>
    <row r="413" spans="1:28" s="46" customFormat="1" ht="19.899999999999999" customHeight="1" x14ac:dyDescent="0.15">
      <c r="A413" s="34"/>
      <c r="B413" s="96"/>
      <c r="C413" s="29"/>
      <c r="D413" s="32" t="str">
        <f t="shared" si="153"/>
        <v/>
      </c>
      <c r="E413" s="15"/>
      <c r="F413" s="15"/>
      <c r="G413" s="15"/>
      <c r="H413" s="15"/>
      <c r="I413" s="15"/>
      <c r="J413" s="29"/>
      <c r="K413" s="15"/>
      <c r="L413" s="29"/>
      <c r="M413" s="32" t="str">
        <f t="shared" si="154"/>
        <v/>
      </c>
      <c r="N413" s="15"/>
      <c r="O413" s="137"/>
      <c r="P413" s="15"/>
      <c r="Q413" s="15"/>
      <c r="R413" s="15"/>
      <c r="S413" s="15"/>
      <c r="T413" s="15"/>
      <c r="U413" s="32" t="str">
        <f t="shared" si="155"/>
        <v/>
      </c>
      <c r="V413" s="15"/>
      <c r="W413" s="15"/>
      <c r="X413" s="32" t="str">
        <f t="shared" si="156"/>
        <v/>
      </c>
      <c r="Y413" s="32" t="str">
        <f t="shared" si="157"/>
        <v/>
      </c>
      <c r="Z413" s="15"/>
      <c r="AA413" s="15"/>
      <c r="AB413" s="15"/>
    </row>
    <row r="414" spans="1:28" s="46" customFormat="1" ht="19.899999999999999" customHeight="1" x14ac:dyDescent="0.15">
      <c r="A414" s="34"/>
      <c r="B414" s="96"/>
      <c r="C414" s="29"/>
      <c r="D414" s="32" t="str">
        <f t="shared" si="153"/>
        <v/>
      </c>
      <c r="E414" s="15"/>
      <c r="F414" s="15"/>
      <c r="G414" s="15"/>
      <c r="H414" s="15"/>
      <c r="I414" s="15"/>
      <c r="J414" s="29"/>
      <c r="K414" s="15"/>
      <c r="L414" s="29"/>
      <c r="M414" s="32" t="str">
        <f t="shared" si="154"/>
        <v/>
      </c>
      <c r="N414" s="15"/>
      <c r="O414" s="137"/>
      <c r="P414" s="15"/>
      <c r="Q414" s="15"/>
      <c r="R414" s="15"/>
      <c r="S414" s="15"/>
      <c r="T414" s="15"/>
      <c r="U414" s="32" t="str">
        <f t="shared" si="155"/>
        <v/>
      </c>
      <c r="V414" s="15"/>
      <c r="W414" s="15"/>
      <c r="X414" s="32" t="str">
        <f t="shared" si="156"/>
        <v/>
      </c>
      <c r="Y414" s="32" t="str">
        <f t="shared" si="157"/>
        <v/>
      </c>
      <c r="Z414" s="15"/>
      <c r="AA414" s="15"/>
      <c r="AB414" s="15"/>
    </row>
    <row r="415" spans="1:28" s="46" customFormat="1" ht="19.899999999999999" customHeight="1" x14ac:dyDescent="0.15">
      <c r="A415" s="34"/>
      <c r="B415" s="96"/>
      <c r="C415" s="29"/>
      <c r="D415" s="32" t="str">
        <f t="shared" si="153"/>
        <v/>
      </c>
      <c r="E415" s="15"/>
      <c r="F415" s="15"/>
      <c r="G415" s="15"/>
      <c r="H415" s="15"/>
      <c r="I415" s="15"/>
      <c r="J415" s="29"/>
      <c r="K415" s="15"/>
      <c r="L415" s="29"/>
      <c r="M415" s="32" t="str">
        <f t="shared" si="154"/>
        <v/>
      </c>
      <c r="N415" s="15"/>
      <c r="O415" s="137"/>
      <c r="P415" s="15"/>
      <c r="Q415" s="15"/>
      <c r="R415" s="15"/>
      <c r="S415" s="15"/>
      <c r="T415" s="15"/>
      <c r="U415" s="32" t="str">
        <f t="shared" si="155"/>
        <v/>
      </c>
      <c r="V415" s="15"/>
      <c r="W415" s="15"/>
      <c r="X415" s="32" t="str">
        <f t="shared" si="156"/>
        <v/>
      </c>
      <c r="Y415" s="32" t="str">
        <f t="shared" si="157"/>
        <v/>
      </c>
      <c r="Z415" s="15"/>
      <c r="AA415" s="15"/>
      <c r="AB415" s="15"/>
    </row>
    <row r="416" spans="1:28" s="46" customFormat="1" ht="19.899999999999999" customHeight="1" x14ac:dyDescent="0.15">
      <c r="A416" s="34"/>
      <c r="B416" s="96"/>
      <c r="C416" s="29"/>
      <c r="D416" s="32" t="str">
        <f t="shared" si="153"/>
        <v/>
      </c>
      <c r="E416" s="15"/>
      <c r="F416" s="15"/>
      <c r="G416" s="15"/>
      <c r="H416" s="15"/>
      <c r="I416" s="15"/>
      <c r="J416" s="29"/>
      <c r="K416" s="15"/>
      <c r="L416" s="29"/>
      <c r="M416" s="32" t="str">
        <f t="shared" si="154"/>
        <v/>
      </c>
      <c r="N416" s="15"/>
      <c r="O416" s="137"/>
      <c r="P416" s="15"/>
      <c r="Q416" s="15"/>
      <c r="R416" s="15"/>
      <c r="S416" s="15"/>
      <c r="T416" s="15"/>
      <c r="U416" s="32" t="str">
        <f t="shared" si="155"/>
        <v/>
      </c>
      <c r="V416" s="15"/>
      <c r="W416" s="15"/>
      <c r="X416" s="32" t="str">
        <f t="shared" si="156"/>
        <v/>
      </c>
      <c r="Y416" s="32" t="str">
        <f t="shared" si="157"/>
        <v/>
      </c>
      <c r="Z416" s="15"/>
      <c r="AA416" s="15"/>
      <c r="AB416" s="15"/>
    </row>
    <row r="417" spans="1:28" s="46" customFormat="1" ht="19.899999999999999" customHeight="1" x14ac:dyDescent="0.15">
      <c r="A417" s="34"/>
      <c r="B417" s="96"/>
      <c r="C417" s="29"/>
      <c r="D417" s="32" t="str">
        <f t="shared" si="153"/>
        <v/>
      </c>
      <c r="E417" s="15"/>
      <c r="F417" s="15"/>
      <c r="G417" s="15"/>
      <c r="H417" s="15"/>
      <c r="I417" s="15"/>
      <c r="J417" s="29"/>
      <c r="K417" s="15"/>
      <c r="L417" s="29"/>
      <c r="M417" s="32" t="str">
        <f t="shared" si="154"/>
        <v/>
      </c>
      <c r="N417" s="15"/>
      <c r="O417" s="137"/>
      <c r="P417" s="15"/>
      <c r="Q417" s="15"/>
      <c r="R417" s="15"/>
      <c r="S417" s="15"/>
      <c r="T417" s="15"/>
      <c r="U417" s="32" t="str">
        <f t="shared" si="155"/>
        <v/>
      </c>
      <c r="V417" s="15"/>
      <c r="W417" s="15"/>
      <c r="X417" s="32" t="str">
        <f t="shared" si="156"/>
        <v/>
      </c>
      <c r="Y417" s="32" t="str">
        <f t="shared" si="157"/>
        <v/>
      </c>
      <c r="Z417" s="15"/>
      <c r="AA417" s="15"/>
      <c r="AB417" s="15"/>
    </row>
    <row r="418" spans="1:28" s="46" customFormat="1" ht="19.899999999999999" customHeight="1" x14ac:dyDescent="0.15">
      <c r="A418" s="34"/>
      <c r="B418" s="96"/>
      <c r="C418" s="29"/>
      <c r="D418" s="32" t="str">
        <f t="shared" si="153"/>
        <v/>
      </c>
      <c r="E418" s="15"/>
      <c r="F418" s="15"/>
      <c r="G418" s="15"/>
      <c r="H418" s="15"/>
      <c r="I418" s="15"/>
      <c r="J418" s="29"/>
      <c r="K418" s="15"/>
      <c r="L418" s="29"/>
      <c r="M418" s="32" t="str">
        <f t="shared" si="154"/>
        <v/>
      </c>
      <c r="N418" s="15"/>
      <c r="O418" s="137"/>
      <c r="P418" s="15"/>
      <c r="Q418" s="15"/>
      <c r="R418" s="15"/>
      <c r="S418" s="15"/>
      <c r="T418" s="15"/>
      <c r="U418" s="32" t="str">
        <f t="shared" si="155"/>
        <v/>
      </c>
      <c r="V418" s="15"/>
      <c r="W418" s="15"/>
      <c r="X418" s="32" t="str">
        <f t="shared" si="156"/>
        <v/>
      </c>
      <c r="Y418" s="32" t="str">
        <f t="shared" si="157"/>
        <v/>
      </c>
      <c r="Z418" s="15"/>
      <c r="AA418" s="15"/>
      <c r="AB418" s="15"/>
    </row>
    <row r="419" spans="1:28" s="46" customFormat="1" ht="19.899999999999999" customHeight="1" x14ac:dyDescent="0.15">
      <c r="A419" s="34"/>
      <c r="B419" s="96"/>
      <c r="C419" s="29"/>
      <c r="D419" s="32" t="str">
        <f t="shared" si="153"/>
        <v/>
      </c>
      <c r="E419" s="15"/>
      <c r="F419" s="15"/>
      <c r="G419" s="15"/>
      <c r="H419" s="15"/>
      <c r="I419" s="15"/>
      <c r="J419" s="29"/>
      <c r="K419" s="15"/>
      <c r="L419" s="29"/>
      <c r="M419" s="32" t="str">
        <f t="shared" si="154"/>
        <v/>
      </c>
      <c r="N419" s="15"/>
      <c r="O419" s="137"/>
      <c r="P419" s="15"/>
      <c r="Q419" s="15"/>
      <c r="R419" s="15"/>
      <c r="S419" s="15"/>
      <c r="T419" s="15"/>
      <c r="U419" s="32" t="str">
        <f t="shared" si="155"/>
        <v/>
      </c>
      <c r="V419" s="15"/>
      <c r="W419" s="15"/>
      <c r="X419" s="32" t="str">
        <f t="shared" si="156"/>
        <v/>
      </c>
      <c r="Y419" s="32" t="str">
        <f t="shared" si="157"/>
        <v/>
      </c>
      <c r="Z419" s="15"/>
      <c r="AA419" s="15"/>
      <c r="AB419" s="15"/>
    </row>
    <row r="420" spans="1:28" s="46" customFormat="1" ht="19.899999999999999" customHeight="1" x14ac:dyDescent="0.15">
      <c r="A420" s="34"/>
      <c r="B420" s="96"/>
      <c r="C420" s="29"/>
      <c r="D420" s="32" t="str">
        <f t="shared" si="153"/>
        <v/>
      </c>
      <c r="E420" s="15"/>
      <c r="F420" s="15"/>
      <c r="G420" s="15"/>
      <c r="H420" s="15"/>
      <c r="I420" s="15"/>
      <c r="J420" s="29"/>
      <c r="K420" s="15"/>
      <c r="L420" s="29"/>
      <c r="M420" s="32" t="str">
        <f t="shared" si="154"/>
        <v/>
      </c>
      <c r="N420" s="15"/>
      <c r="O420" s="137"/>
      <c r="P420" s="15"/>
      <c r="Q420" s="15"/>
      <c r="R420" s="15"/>
      <c r="S420" s="15"/>
      <c r="T420" s="15"/>
      <c r="U420" s="32" t="str">
        <f t="shared" si="155"/>
        <v/>
      </c>
      <c r="V420" s="15"/>
      <c r="W420" s="15"/>
      <c r="X420" s="32" t="str">
        <f t="shared" si="156"/>
        <v/>
      </c>
      <c r="Y420" s="32" t="str">
        <f t="shared" si="157"/>
        <v/>
      </c>
      <c r="Z420" s="15"/>
      <c r="AA420" s="15"/>
      <c r="AB420" s="15"/>
    </row>
    <row r="421" spans="1:28" s="46" customFormat="1" ht="19.899999999999999" customHeight="1" x14ac:dyDescent="0.15">
      <c r="A421" s="34"/>
      <c r="B421" s="96"/>
      <c r="C421" s="29"/>
      <c r="D421" s="32" t="str">
        <f t="shared" si="153"/>
        <v/>
      </c>
      <c r="E421" s="15"/>
      <c r="F421" s="15"/>
      <c r="G421" s="15"/>
      <c r="H421" s="15"/>
      <c r="I421" s="15"/>
      <c r="J421" s="29"/>
      <c r="K421" s="15"/>
      <c r="L421" s="29"/>
      <c r="M421" s="32" t="str">
        <f t="shared" si="154"/>
        <v/>
      </c>
      <c r="N421" s="15"/>
      <c r="O421" s="137"/>
      <c r="P421" s="15"/>
      <c r="Q421" s="15"/>
      <c r="R421" s="15"/>
      <c r="S421" s="15"/>
      <c r="T421" s="15"/>
      <c r="U421" s="32" t="str">
        <f t="shared" si="155"/>
        <v/>
      </c>
      <c r="V421" s="15"/>
      <c r="W421" s="15"/>
      <c r="X421" s="32" t="str">
        <f t="shared" si="156"/>
        <v/>
      </c>
      <c r="Y421" s="32" t="str">
        <f t="shared" si="157"/>
        <v/>
      </c>
      <c r="Z421" s="15"/>
      <c r="AA421" s="15"/>
      <c r="AB421" s="15"/>
    </row>
    <row r="422" spans="1:28" s="46" customFormat="1" ht="19.899999999999999" customHeight="1" x14ac:dyDescent="0.15">
      <c r="A422" s="34"/>
      <c r="B422" s="96"/>
      <c r="C422" s="29"/>
      <c r="D422" s="32" t="str">
        <f t="shared" si="153"/>
        <v/>
      </c>
      <c r="E422" s="15"/>
      <c r="F422" s="15"/>
      <c r="G422" s="15"/>
      <c r="H422" s="15"/>
      <c r="I422" s="15"/>
      <c r="J422" s="29"/>
      <c r="K422" s="15"/>
      <c r="L422" s="29"/>
      <c r="M422" s="32" t="str">
        <f t="shared" si="154"/>
        <v/>
      </c>
      <c r="N422" s="15"/>
      <c r="O422" s="137"/>
      <c r="P422" s="15"/>
      <c r="Q422" s="15"/>
      <c r="R422" s="15"/>
      <c r="S422" s="15"/>
      <c r="T422" s="15"/>
      <c r="U422" s="32" t="str">
        <f t="shared" si="155"/>
        <v/>
      </c>
      <c r="V422" s="15"/>
      <c r="W422" s="15"/>
      <c r="X422" s="32" t="str">
        <f t="shared" si="156"/>
        <v/>
      </c>
      <c r="Y422" s="32" t="str">
        <f t="shared" si="157"/>
        <v/>
      </c>
      <c r="Z422" s="15"/>
      <c r="AA422" s="15"/>
      <c r="AB422" s="15"/>
    </row>
    <row r="423" spans="1:28" s="46" customFormat="1" ht="19.899999999999999" customHeight="1" x14ac:dyDescent="0.15">
      <c r="A423" s="34"/>
      <c r="B423" s="96"/>
      <c r="C423" s="29"/>
      <c r="D423" s="32" t="str">
        <f t="shared" si="153"/>
        <v/>
      </c>
      <c r="E423" s="15"/>
      <c r="F423" s="15"/>
      <c r="G423" s="15"/>
      <c r="H423" s="15"/>
      <c r="I423" s="15"/>
      <c r="J423" s="29"/>
      <c r="K423" s="15"/>
      <c r="L423" s="29"/>
      <c r="M423" s="32" t="str">
        <f t="shared" si="154"/>
        <v/>
      </c>
      <c r="N423" s="15"/>
      <c r="O423" s="137"/>
      <c r="P423" s="15"/>
      <c r="Q423" s="15"/>
      <c r="R423" s="15"/>
      <c r="S423" s="15"/>
      <c r="T423" s="15"/>
      <c r="U423" s="32" t="str">
        <f t="shared" si="155"/>
        <v/>
      </c>
      <c r="V423" s="15"/>
      <c r="W423" s="15"/>
      <c r="X423" s="32" t="str">
        <f t="shared" si="156"/>
        <v/>
      </c>
      <c r="Y423" s="32" t="str">
        <f t="shared" si="157"/>
        <v/>
      </c>
      <c r="Z423" s="15"/>
      <c r="AA423" s="15"/>
      <c r="AB423" s="15"/>
    </row>
    <row r="424" spans="1:28" s="46" customFormat="1" ht="19.899999999999999" customHeight="1" x14ac:dyDescent="0.15">
      <c r="A424" s="34"/>
      <c r="B424" s="96"/>
      <c r="C424" s="29"/>
      <c r="D424" s="32" t="str">
        <f t="shared" si="153"/>
        <v/>
      </c>
      <c r="E424" s="15"/>
      <c r="F424" s="15"/>
      <c r="G424" s="15"/>
      <c r="H424" s="15"/>
      <c r="I424" s="15"/>
      <c r="J424" s="29"/>
      <c r="K424" s="15"/>
      <c r="L424" s="29"/>
      <c r="M424" s="32" t="str">
        <f t="shared" si="154"/>
        <v/>
      </c>
      <c r="N424" s="15"/>
      <c r="O424" s="137"/>
      <c r="P424" s="15"/>
      <c r="Q424" s="15"/>
      <c r="R424" s="15"/>
      <c r="S424" s="15"/>
      <c r="T424" s="15"/>
      <c r="U424" s="32" t="str">
        <f t="shared" si="155"/>
        <v/>
      </c>
      <c r="V424" s="15"/>
      <c r="W424" s="15"/>
      <c r="X424" s="32" t="str">
        <f t="shared" si="156"/>
        <v/>
      </c>
      <c r="Y424" s="32" t="str">
        <f t="shared" si="157"/>
        <v/>
      </c>
      <c r="Z424" s="15"/>
      <c r="AA424" s="15"/>
      <c r="AB424" s="15"/>
    </row>
    <row r="425" spans="1:28" s="46" customFormat="1" ht="19.899999999999999" customHeight="1" x14ac:dyDescent="0.15">
      <c r="A425" s="34"/>
      <c r="B425" s="96"/>
      <c r="C425" s="29"/>
      <c r="D425" s="32" t="str">
        <f t="shared" si="153"/>
        <v/>
      </c>
      <c r="E425" s="15"/>
      <c r="F425" s="15"/>
      <c r="G425" s="15"/>
      <c r="H425" s="15"/>
      <c r="I425" s="15"/>
      <c r="J425" s="29"/>
      <c r="K425" s="15"/>
      <c r="L425" s="29"/>
      <c r="M425" s="32" t="str">
        <f t="shared" si="154"/>
        <v/>
      </c>
      <c r="N425" s="15"/>
      <c r="O425" s="137"/>
      <c r="P425" s="15"/>
      <c r="Q425" s="15"/>
      <c r="R425" s="15"/>
      <c r="S425" s="15"/>
      <c r="T425" s="15"/>
      <c r="U425" s="32" t="str">
        <f t="shared" si="155"/>
        <v/>
      </c>
      <c r="V425" s="15"/>
      <c r="W425" s="15"/>
      <c r="X425" s="32" t="str">
        <f t="shared" si="156"/>
        <v/>
      </c>
      <c r="Y425" s="32" t="str">
        <f t="shared" si="157"/>
        <v/>
      </c>
      <c r="Z425" s="15"/>
      <c r="AA425" s="15"/>
      <c r="AB425" s="15"/>
    </row>
    <row r="426" spans="1:28" s="46" customFormat="1" ht="19.899999999999999" customHeight="1" x14ac:dyDescent="0.15">
      <c r="A426" s="34"/>
      <c r="B426" s="96"/>
      <c r="C426" s="29"/>
      <c r="D426" s="32" t="str">
        <f t="shared" si="153"/>
        <v/>
      </c>
      <c r="E426" s="15"/>
      <c r="F426" s="15"/>
      <c r="G426" s="15"/>
      <c r="H426" s="15"/>
      <c r="I426" s="15"/>
      <c r="J426" s="29"/>
      <c r="K426" s="15"/>
      <c r="L426" s="29"/>
      <c r="M426" s="32" t="str">
        <f t="shared" si="154"/>
        <v/>
      </c>
      <c r="N426" s="15"/>
      <c r="O426" s="137"/>
      <c r="P426" s="15"/>
      <c r="Q426" s="15"/>
      <c r="R426" s="15"/>
      <c r="S426" s="15"/>
      <c r="T426" s="15"/>
      <c r="U426" s="32" t="str">
        <f t="shared" si="155"/>
        <v/>
      </c>
      <c r="V426" s="15"/>
      <c r="W426" s="15"/>
      <c r="X426" s="32" t="str">
        <f t="shared" si="156"/>
        <v/>
      </c>
      <c r="Y426" s="32" t="str">
        <f t="shared" si="157"/>
        <v/>
      </c>
      <c r="Z426" s="15"/>
      <c r="AA426" s="15"/>
      <c r="AB426" s="15"/>
    </row>
    <row r="427" spans="1:28" s="46" customFormat="1" ht="19.899999999999999" customHeight="1" x14ac:dyDescent="0.15">
      <c r="A427" s="34"/>
      <c r="B427" s="96"/>
      <c r="C427" s="29"/>
      <c r="D427" s="32" t="str">
        <f t="shared" si="153"/>
        <v/>
      </c>
      <c r="E427" s="15"/>
      <c r="F427" s="15"/>
      <c r="G427" s="15"/>
      <c r="H427" s="15"/>
      <c r="I427" s="15"/>
      <c r="J427" s="29"/>
      <c r="K427" s="15"/>
      <c r="L427" s="29"/>
      <c r="M427" s="32" t="str">
        <f t="shared" si="154"/>
        <v/>
      </c>
      <c r="N427" s="15"/>
      <c r="O427" s="137"/>
      <c r="P427" s="15"/>
      <c r="Q427" s="15"/>
      <c r="R427" s="15"/>
      <c r="S427" s="15"/>
      <c r="T427" s="15"/>
      <c r="U427" s="32" t="str">
        <f t="shared" si="155"/>
        <v/>
      </c>
      <c r="V427" s="15"/>
      <c r="W427" s="15"/>
      <c r="X427" s="32" t="str">
        <f t="shared" si="156"/>
        <v/>
      </c>
      <c r="Y427" s="32" t="str">
        <f t="shared" si="157"/>
        <v/>
      </c>
      <c r="Z427" s="15"/>
      <c r="AA427" s="15"/>
      <c r="AB427" s="15"/>
    </row>
    <row r="428" spans="1:28" s="46" customFormat="1" ht="19.899999999999999" customHeight="1" x14ac:dyDescent="0.15">
      <c r="A428" s="34"/>
      <c r="B428" s="96"/>
      <c r="C428" s="29"/>
      <c r="D428" s="32" t="str">
        <f t="shared" si="153"/>
        <v/>
      </c>
      <c r="E428" s="15"/>
      <c r="F428" s="15"/>
      <c r="G428" s="15"/>
      <c r="H428" s="15"/>
      <c r="I428" s="15"/>
      <c r="J428" s="29"/>
      <c r="K428" s="15"/>
      <c r="L428" s="29"/>
      <c r="M428" s="32" t="str">
        <f t="shared" si="154"/>
        <v/>
      </c>
      <c r="N428" s="15"/>
      <c r="O428" s="137"/>
      <c r="P428" s="15"/>
      <c r="Q428" s="15"/>
      <c r="R428" s="15"/>
      <c r="S428" s="15"/>
      <c r="T428" s="15"/>
      <c r="U428" s="32" t="str">
        <f t="shared" si="155"/>
        <v/>
      </c>
      <c r="V428" s="15"/>
      <c r="W428" s="15"/>
      <c r="X428" s="32" t="str">
        <f t="shared" si="156"/>
        <v/>
      </c>
      <c r="Y428" s="32" t="str">
        <f t="shared" si="157"/>
        <v/>
      </c>
      <c r="Z428" s="15"/>
      <c r="AA428" s="15"/>
      <c r="AB428" s="15"/>
    </row>
    <row r="429" spans="1:28" s="46" customFormat="1" ht="19.899999999999999" customHeight="1" x14ac:dyDescent="0.15">
      <c r="A429" s="34"/>
      <c r="B429" s="96"/>
      <c r="C429" s="29"/>
      <c r="D429" s="32" t="str">
        <f t="shared" si="153"/>
        <v/>
      </c>
      <c r="E429" s="15"/>
      <c r="F429" s="15"/>
      <c r="G429" s="15"/>
      <c r="H429" s="15"/>
      <c r="I429" s="15"/>
      <c r="J429" s="29"/>
      <c r="K429" s="15"/>
      <c r="L429" s="29"/>
      <c r="M429" s="32" t="str">
        <f t="shared" si="154"/>
        <v/>
      </c>
      <c r="N429" s="15"/>
      <c r="O429" s="137"/>
      <c r="P429" s="15"/>
      <c r="Q429" s="15"/>
      <c r="R429" s="15"/>
      <c r="S429" s="15"/>
      <c r="T429" s="15"/>
      <c r="U429" s="32" t="str">
        <f t="shared" si="155"/>
        <v/>
      </c>
      <c r="V429" s="15"/>
      <c r="W429" s="15"/>
      <c r="X429" s="32" t="str">
        <f t="shared" si="156"/>
        <v/>
      </c>
      <c r="Y429" s="32" t="str">
        <f t="shared" si="157"/>
        <v/>
      </c>
      <c r="Z429" s="15"/>
      <c r="AA429" s="15"/>
      <c r="AB429" s="15"/>
    </row>
    <row r="430" spans="1:28" s="46" customFormat="1" ht="19.899999999999999" customHeight="1" x14ac:dyDescent="0.15">
      <c r="A430" s="34"/>
      <c r="B430" s="96"/>
      <c r="C430" s="29"/>
      <c r="D430" s="32" t="str">
        <f t="shared" si="153"/>
        <v/>
      </c>
      <c r="E430" s="15"/>
      <c r="F430" s="15"/>
      <c r="G430" s="15"/>
      <c r="H430" s="15"/>
      <c r="I430" s="15"/>
      <c r="J430" s="29"/>
      <c r="K430" s="15"/>
      <c r="L430" s="29"/>
      <c r="M430" s="32" t="str">
        <f t="shared" si="154"/>
        <v/>
      </c>
      <c r="N430" s="15"/>
      <c r="O430" s="137"/>
      <c r="P430" s="15"/>
      <c r="Q430" s="15"/>
      <c r="R430" s="15"/>
      <c r="S430" s="15"/>
      <c r="T430" s="15"/>
      <c r="U430" s="32" t="str">
        <f t="shared" si="155"/>
        <v/>
      </c>
      <c r="V430" s="15"/>
      <c r="W430" s="15"/>
      <c r="X430" s="32" t="str">
        <f t="shared" si="156"/>
        <v/>
      </c>
      <c r="Y430" s="32" t="str">
        <f t="shared" si="157"/>
        <v/>
      </c>
      <c r="Z430" s="15"/>
      <c r="AA430" s="15"/>
      <c r="AB430" s="15"/>
    </row>
    <row r="431" spans="1:28" s="46" customFormat="1" ht="19.899999999999999" customHeight="1" x14ac:dyDescent="0.15">
      <c r="A431" s="34"/>
      <c r="B431" s="96"/>
      <c r="C431" s="29"/>
      <c r="D431" s="32" t="str">
        <f t="shared" si="153"/>
        <v/>
      </c>
      <c r="E431" s="15"/>
      <c r="F431" s="15"/>
      <c r="G431" s="15"/>
      <c r="H431" s="15"/>
      <c r="I431" s="15"/>
      <c r="J431" s="29"/>
      <c r="K431" s="15"/>
      <c r="L431" s="29"/>
      <c r="M431" s="32" t="str">
        <f t="shared" si="154"/>
        <v/>
      </c>
      <c r="N431" s="15"/>
      <c r="O431" s="137"/>
      <c r="P431" s="15"/>
      <c r="Q431" s="15"/>
      <c r="R431" s="15"/>
      <c r="S431" s="15"/>
      <c r="T431" s="15"/>
      <c r="U431" s="32" t="str">
        <f t="shared" si="155"/>
        <v/>
      </c>
      <c r="V431" s="15"/>
      <c r="W431" s="15"/>
      <c r="X431" s="32" t="str">
        <f t="shared" si="156"/>
        <v/>
      </c>
      <c r="Y431" s="32" t="str">
        <f t="shared" si="157"/>
        <v/>
      </c>
      <c r="Z431" s="15"/>
      <c r="AA431" s="15"/>
      <c r="AB431" s="15"/>
    </row>
    <row r="432" spans="1:28" s="46" customFormat="1" ht="19.899999999999999" customHeight="1" x14ac:dyDescent="0.15">
      <c r="A432" s="34"/>
      <c r="B432" s="96"/>
      <c r="C432" s="29"/>
      <c r="D432" s="32" t="str">
        <f t="shared" si="153"/>
        <v/>
      </c>
      <c r="E432" s="15"/>
      <c r="F432" s="15"/>
      <c r="G432" s="15"/>
      <c r="H432" s="15"/>
      <c r="I432" s="15"/>
      <c r="J432" s="29"/>
      <c r="K432" s="15"/>
      <c r="L432" s="29"/>
      <c r="M432" s="32" t="str">
        <f t="shared" si="154"/>
        <v/>
      </c>
      <c r="N432" s="15"/>
      <c r="O432" s="137"/>
      <c r="P432" s="15"/>
      <c r="Q432" s="15"/>
      <c r="R432" s="15"/>
      <c r="S432" s="15"/>
      <c r="T432" s="15"/>
      <c r="U432" s="32" t="str">
        <f t="shared" si="155"/>
        <v/>
      </c>
      <c r="V432" s="15"/>
      <c r="W432" s="15"/>
      <c r="X432" s="32" t="str">
        <f t="shared" si="156"/>
        <v/>
      </c>
      <c r="Y432" s="32" t="str">
        <f t="shared" si="157"/>
        <v/>
      </c>
      <c r="Z432" s="15"/>
      <c r="AA432" s="15"/>
      <c r="AB432" s="15"/>
    </row>
    <row r="433" spans="1:28" s="46" customFormat="1" ht="19.899999999999999" customHeight="1" x14ac:dyDescent="0.15">
      <c r="A433" s="34"/>
      <c r="B433" s="96"/>
      <c r="C433" s="29"/>
      <c r="D433" s="32" t="str">
        <f t="shared" si="153"/>
        <v/>
      </c>
      <c r="E433" s="15"/>
      <c r="F433" s="15"/>
      <c r="G433" s="15"/>
      <c r="H433" s="15"/>
      <c r="I433" s="15"/>
      <c r="J433" s="29"/>
      <c r="K433" s="15"/>
      <c r="L433" s="29"/>
      <c r="M433" s="32" t="str">
        <f t="shared" si="154"/>
        <v/>
      </c>
      <c r="N433" s="15"/>
      <c r="O433" s="137"/>
      <c r="P433" s="15"/>
      <c r="Q433" s="15"/>
      <c r="R433" s="15"/>
      <c r="S433" s="15"/>
      <c r="T433" s="15"/>
      <c r="U433" s="32" t="str">
        <f t="shared" si="155"/>
        <v/>
      </c>
      <c r="V433" s="15"/>
      <c r="W433" s="15"/>
      <c r="X433" s="32" t="str">
        <f t="shared" si="156"/>
        <v/>
      </c>
      <c r="Y433" s="32" t="str">
        <f t="shared" si="157"/>
        <v/>
      </c>
      <c r="Z433" s="15"/>
      <c r="AA433" s="15"/>
      <c r="AB433" s="15"/>
    </row>
    <row r="434" spans="1:28" s="46" customFormat="1" ht="19.899999999999999" customHeight="1" x14ac:dyDescent="0.15">
      <c r="A434" s="34"/>
      <c r="B434" s="96"/>
      <c r="C434" s="29"/>
      <c r="D434" s="32" t="str">
        <f t="shared" si="153"/>
        <v/>
      </c>
      <c r="E434" s="15"/>
      <c r="F434" s="15"/>
      <c r="G434" s="15"/>
      <c r="H434" s="15"/>
      <c r="I434" s="15"/>
      <c r="J434" s="29"/>
      <c r="K434" s="15"/>
      <c r="L434" s="29"/>
      <c r="M434" s="32" t="str">
        <f t="shared" si="154"/>
        <v/>
      </c>
      <c r="N434" s="15"/>
      <c r="O434" s="137"/>
      <c r="P434" s="15"/>
      <c r="Q434" s="15"/>
      <c r="R434" s="15"/>
      <c r="S434" s="15"/>
      <c r="T434" s="15"/>
      <c r="U434" s="32" t="str">
        <f t="shared" si="155"/>
        <v/>
      </c>
      <c r="V434" s="15"/>
      <c r="W434" s="15"/>
      <c r="X434" s="32" t="str">
        <f t="shared" si="156"/>
        <v/>
      </c>
      <c r="Y434" s="32" t="str">
        <f t="shared" si="157"/>
        <v/>
      </c>
      <c r="Z434" s="15"/>
      <c r="AA434" s="15"/>
      <c r="AB434" s="15"/>
    </row>
    <row r="435" spans="1:28" s="46" customFormat="1" ht="19.899999999999999" customHeight="1" x14ac:dyDescent="0.15">
      <c r="A435" s="34"/>
      <c r="B435" s="96"/>
      <c r="C435" s="29"/>
      <c r="D435" s="32" t="str">
        <f t="shared" si="153"/>
        <v/>
      </c>
      <c r="E435" s="15"/>
      <c r="F435" s="15"/>
      <c r="G435" s="15"/>
      <c r="H435" s="15"/>
      <c r="I435" s="15"/>
      <c r="J435" s="29"/>
      <c r="K435" s="15"/>
      <c r="L435" s="29"/>
      <c r="M435" s="32" t="str">
        <f t="shared" si="154"/>
        <v/>
      </c>
      <c r="N435" s="15"/>
      <c r="O435" s="137"/>
      <c r="P435" s="15"/>
      <c r="Q435" s="15"/>
      <c r="R435" s="15"/>
      <c r="S435" s="15"/>
      <c r="T435" s="15"/>
      <c r="U435" s="32" t="str">
        <f t="shared" si="155"/>
        <v/>
      </c>
      <c r="V435" s="15"/>
      <c r="W435" s="15"/>
      <c r="X435" s="32" t="str">
        <f t="shared" si="156"/>
        <v/>
      </c>
      <c r="Y435" s="32" t="str">
        <f t="shared" si="157"/>
        <v/>
      </c>
      <c r="Z435" s="15"/>
      <c r="AA435" s="15"/>
      <c r="AB435" s="15"/>
    </row>
  </sheetData>
  <sheetProtection formatCells="0" insertRows="0" deleteRows="0" autoFilter="0"/>
  <sortState xmlns:xlrd2="http://schemas.microsoft.com/office/spreadsheetml/2017/richdata2" ref="A4:AH753">
    <sortCondition ref="C4:C753"/>
  </sortState>
  <mergeCells count="16">
    <mergeCell ref="M2:M3"/>
    <mergeCell ref="H2:H3"/>
    <mergeCell ref="I2:I3"/>
    <mergeCell ref="J2:J3"/>
    <mergeCell ref="K2:K3"/>
    <mergeCell ref="L2:L3"/>
    <mergeCell ref="A2:A3"/>
    <mergeCell ref="B2:B3"/>
    <mergeCell ref="E2:E3"/>
    <mergeCell ref="F2:F3"/>
    <mergeCell ref="G2:G3"/>
    <mergeCell ref="R2:R3"/>
    <mergeCell ref="W2:W3"/>
    <mergeCell ref="AA2:AA3"/>
    <mergeCell ref="AB2:AB3"/>
    <mergeCell ref="N2:N3"/>
  </mergeCells>
  <phoneticPr fontId="36" type="noConversion"/>
  <dataValidations count="3">
    <dataValidation type="list" allowBlank="1" showInputMessage="1" showErrorMessage="1" sqref="L4:L246 L248 L251" xr:uid="{00000000-0002-0000-0300-000000000000}">
      <formula1>"μg,mg,g,kg,t,mL,L,mm,cm,m,Pa,kPa,MPa,%,个,支,只,顶,扇,件,粒,颗,部,台,本,张,把,桶,瓶,罐,壶,口,框,盒,包,箱,堆,卷,袋,叠,套,双,副,待定"</formula1>
    </dataValidation>
    <dataValidation type="list" allowBlank="1" showInputMessage="1" showErrorMessage="1" sqref="J4:J246 J248 J251" xr:uid="{00000000-0002-0000-0300-000001000000}">
      <formula1>"购置,返还,其它"</formula1>
    </dataValidation>
    <dataValidation type="list" allowBlank="1" showInputMessage="1" showErrorMessage="1" sqref="C4:C246 C248 C251" xr:uid="{00000000-0002-0000-0300-000002000000}">
      <formula1>"J1,J2,J3,J4,J5,J6,J7,J8,Z1,Z2,Z3,Z4,Z5,Z6"</formula1>
    </dataValidation>
  </dataValidations>
  <hyperlinks>
    <hyperlink ref="B16" r:id="rId1" tooltip="CNWBOND Si硅胶 SPE 小柱" display="CNWBOND Si硅胶 SPE 小柱" xr:uid="{00000000-0004-0000-0300-000000000000}"/>
  </hyperlinks>
  <printOptions horizontalCentered="1"/>
  <pageMargins left="0.196850393700787" right="0.196850393700787" top="0.59055118110236204" bottom="0.59055118110236204" header="0.196850393700787" footer="0.196850393700787"/>
  <pageSetup paperSize="9" scale="90" orientation="landscape" horizontalDpi="1200" verticalDpi="1200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mergeFile xmlns="https://web.wps.cn/et/2018/main" xmlns:s="http://schemas.openxmlformats.org/spreadsheetml/2006/main">
  <listFile/>
</mergeFile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5"/>
</pixelators>
</file>

<file path=customXml/item3.xml><?xml version="1.0" encoding="utf-8"?>
<sheetInterline xmlns="https://web.wps.cn/et/2018/main" xmlns:s="http://schemas.openxmlformats.org/spreadsheetml/2006/main">
  <interlineItem sheetStid="1" interlineOnOff="0" interlineColor="0"/>
  <interlineItem sheetStid="4" interlineOnOff="0" interlineColor="0"/>
  <interlineItem sheetStid="5" interlineOnOff="0" interlineColor="0"/>
</sheetInterline>
</file>

<file path=customXml/item4.xml><?xml version="1.0" encoding="utf-8"?>
<comments xmlns="https://web.wps.cn/et/2018/main" xmlns:s="http://schemas.openxmlformats.org/spreadsheetml/2006/main">
  <commentList sheetStid="1">
    <comment s:ref="A1" rgbClr="FF0000">
      <item id="{5729584c-5854-491b-a3af-796e741132fa}" isNormal="1">
        <s:text>
          <s:r>
            <s:t xml:space="preserve">消耗性有形资产：检测物耗共八类、综管物耗共四类通过本表盘点。</s:t>
          </s:r>
        </s:text>
      </item>
    </comment>
    <comment s:ref="K2" rgbClr="FF0000">
      <item id="{569585df-c1a2-4c12-ba21-cf545eb55bdf}" isNormal="1">
        <s:text>
          <s:r>
            <s:t xml:space="preserve">注：检测物耗标识了物耗送达人、验检入库人（单人、双人）、日期、物耗属性等。</s:t>
          </s:r>
        </s:text>
      </item>
    </comment>
    <comment s:ref="N2" rgbClr="FF0000">
      <item id="{d9c170fb-68b2-4c8f-b593-efc9ccf8128d}" isNormal="1">
        <s:text>
          <s:r>
            <s:t xml:space="preserve">注：检测耗材根据八类物耗的验检入库记录，验检结果栏内为“入库”，即选“已办”。综管耗材依据送货单录入。</s:t>
          </s:r>
        </s:text>
      </item>
    </comment>
    <comment s:ref="T2" rgbClr="FF0000">
      <item id="{bc2659cd-e2c3-40eb-955c-7b791fcc0cb4}" isNormal="1">
        <s:text>
          <s:r>
            <s:t xml:space="preserve">注：若下拉菜单中无所要计量单位，可直接填写，后续模板中加入该计量单位。</s:t>
          </s:r>
        </s:text>
      </item>
    </comment>
    <comment s:ref="U2" rgbClr="FF0000">
      <item id="{3c27accc-3dbd-4c33-b4c2-f5e04a1f6b98}" isNormal="1">
        <s:text>
          <s:r>
            <s:t xml:space="preserve">注：该列自动生成，无需填写！</s:t>
          </s:r>
        </s:text>
      </item>
    </comment>
    <comment s:ref="Y2" rgbClr="FF0000">
      <item id="{7047658b-baac-4646-803f-bb3ec471b3b1}" isNormal="1">
        <s:text>
          <s:r>
            <s:t xml:space="preserve">注：硫酸、盐酸、乙醚、三氯甲烷、高锰酸钾、甲苯、丙酮，须在易制毒系统上备案。</s:t>
          </s:r>
        </s:text>
      </item>
    </comment>
    <comment s:ref="AF2" rgbClr="FF0000">
      <item id="{e27a5e16-2e87-482f-bb44-148cea3615cf}" isNormal="1">
        <s:text>
          <s:r>
            <s:t xml:space="preserve">注：特指累计已消耗掉的的物耗总量。数据来源：标准物质、重要试剂来源于《标准物质配置使用记录》、《重要试剂配置使用记录》；其它来源于盘点核销及使用原始记录。</s:t>
          </s:r>
        </s:text>
      </item>
    </comment>
    <comment s:ref="AH2" rgbClr="FF0000">
      <item id="{a5b975f6-8a39-4ae6-a939-9311a3521db4}" isNormal="1">
        <s:text>
          <s:r>
            <s:t xml:space="preserve">注：1.特指无需再次入库，存余在实验室的未配置物耗；2.如需入库的，另起一行登记入库。
</s:t>
          </s:r>
        </s:text>
      </item>
    </comment>
    <comment s:ref="AN2" rgbClr="FF0000">
      <item id="{8db7f03e-acc0-4dcc-8e42-95be0950798f}" isNormal="1">
        <s:text>
          <s:r>
            <s:t xml:space="preserve">注：包含配置部门、配置人员、配置日期、有效期至等信息。</s:t>
          </s:r>
        </s:text>
      </item>
    </comment>
    <comment s:ref="V3" rgbClr="FF0000">
      <item id="{070dc375-e821-49a4-9564-c01b49238a4d}" isNormal="1">
        <s:text>
          <s:r>
            <s:t xml:space="preserve">注：按“柜屉箱架编号汇总”确定。</s:t>
          </s:r>
        </s:text>
      </item>
    </comment>
    <comment s:ref="W3" rgbClr="FF0000">
      <item id="{bb0aa2d9-ca2f-49ee-8952-e98e5e23038e}" isNormal="1">
        <s:text>
          <s:r>
            <s:t xml:space="preserve">注：按已张贴标识编号确定，未标识的自下而上确定。</s:t>
          </s:r>
        </s:text>
      </item>
    </comment>
    <comment s:ref="AA3" rgbClr="FF0000">
      <item id="{eef3da82-2f22-4a17-b46e-74c5ff103108}" isNormal="1">
        <s:text>
          <s:r>
            <s:t xml:space="preserve">注：标识了出库管理人、物耗领用人（单人、双人）、日期、物耗属性等。</s:t>
          </s:r>
        </s:text>
      </item>
    </comment>
    <comment s:ref="AJ3" rgbClr="FF0000">
      <item id="{3142b158-3fba-4ddf-8c4f-47d4ab9c3a38}" isNormal="1">
        <s:text>
          <s:r>
            <s:t xml:space="preserve">注：按“柜屉箱架编号汇总”确定。</s:t>
          </s:r>
        </s:text>
      </item>
    </comment>
    <comment s:ref="AK3" rgbClr="FF0000">
      <item id="{ae0714ec-bc0a-44b7-988f-99f326fc2379}" isNormal="1">
        <s:text>
          <s:r>
            <s:t xml:space="preserve">注：按已张贴标识编号确定，未标识的自下而上确定。</s:t>
          </s:r>
        </s:text>
      </item>
    </comment>
    <comment s:ref="AO3" rgbClr="FF0000">
      <item id="{54184ab7-c9a8-4285-8375-9287659a5768}" isNormal="1">
        <s:text>
          <s:r>
            <s:t xml:space="preserve">注：按“柜屉箱架编号汇总”确定。</s:t>
          </s:r>
        </s:text>
      </item>
    </comment>
    <comment s:ref="AP3" rgbClr="FF0000">
      <item id="{9dcae76b-db51-4934-a7ed-2840316d869f}" isNormal="1">
        <s:text>
          <s:r>
            <s:t xml:space="preserve">注：按已张贴标识编号确定，未标识的自下而上确定。</s:t>
          </s:r>
        </s:text>
      </item>
    </comment>
  </commentList>
</comments>
</file>

<file path=customXml/item5.xml><?xml version="1.0" encoding="utf-8"?>
<allowEditUser xmlns="https://web.wps.cn/et/2018/main" xmlns:s="http://schemas.openxmlformats.org/spreadsheetml/2006/main">
  <rangeList sheetStid="1" master=""/>
  <rangeList sheetStid="4" master=""/>
  <rangeList sheetStid="5" master=""/>
</allowEditUser>
</file>

<file path=customXml/item6.xml><?xml version="1.0" encoding="utf-8"?>
<settings xmlns="https://web.wps.cn/et/2018/main" xmlns:s="http://schemas.openxmlformats.org/spreadsheetml/2006/main">
  <bookSettings>
    <isFilterShared>1</isFilterShared>
  </bookSettings>
</settings>
</file>

<file path=customXml/itemProps1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分类目录</vt:lpstr>
      <vt:lpstr>J4-玻璃仪器</vt:lpstr>
      <vt:lpstr>J6-专用物耗</vt:lpstr>
      <vt:lpstr>J8-专用工具</vt:lpstr>
      <vt:lpstr>J7-备品配件</vt:lpstr>
      <vt:lpstr>'J4-玻璃仪器'!Print_Area</vt:lpstr>
      <vt:lpstr>'J6-专用物耗'!Print_Titles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UHTI-106-09</dc:creator>
  <cp:lastModifiedBy>ZRJ</cp:lastModifiedBy>
  <cp:lastPrinted>2025-07-23T07:28:24Z</cp:lastPrinted>
  <dcterms:created xsi:type="dcterms:W3CDTF">2018-10-29T17:34:00Z</dcterms:created>
  <dcterms:modified xsi:type="dcterms:W3CDTF">2025-12-22T07:29:03Z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